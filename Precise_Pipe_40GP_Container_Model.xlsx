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Container_Calculator" sheetId="1" state="visible" r:id="rId1"/>
    <sheet name="2_Selectable_Master_Table" sheetId="2" state="visible" r:id="rId2"/>
    <sheet name="3_ASME_Spec_DB" sheetId="3" state="visible" r:id="rId3"/>
  </sheets>
  <definedNames>
    <definedName name="_xlnm._FilterDatabase" localSheetId="1" hidden="1">'2_Selectable_Master_Table'!$A$10:$U$717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0.0000000"/>
    <numFmt numFmtId="165" formatCode="0.000"/>
    <numFmt numFmtId="166" formatCode="0.0%"/>
    <numFmt numFmtId="167" formatCode="$#,##0"/>
    <numFmt numFmtId="168" formatCode="#,##0&quot; pcs&quot;"/>
    <numFmt numFmtId="169" formatCode="#,##0.00&quot; MT&quot;"/>
    <numFmt numFmtId="170" formatCode="#,##0.000"/>
  </numFmts>
  <fonts count="20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E2E8F0"/>
      <sz val="10"/>
    </font>
    <font>
      <name val="Calibri"/>
      <b val="1"/>
      <color rgb="000F2C59"/>
      <sz val="11"/>
    </font>
    <font>
      <name val="Calibri"/>
      <b val="1"/>
      <color rgb="00FFFFFF"/>
      <sz val="10"/>
    </font>
    <font>
      <name val="Calibri"/>
      <b val="1"/>
      <color rgb="000F172A"/>
      <sz val="10"/>
    </font>
    <font>
      <name val="Calibri"/>
      <color rgb="001E293B"/>
      <sz val="10"/>
    </font>
    <font>
      <name val="Calibri"/>
      <i val="1"/>
      <color rgb="0094A3B8"/>
      <sz val="9"/>
    </font>
    <font>
      <name val="Calibri"/>
      <b val="1"/>
      <color rgb="001E293B"/>
      <sz val="10"/>
    </font>
    <font>
      <name val="Calibri"/>
      <b val="1"/>
      <color rgb="000F2C59"/>
      <sz val="10"/>
    </font>
    <font>
      <name val="Calibri"/>
      <b val="1"/>
      <color rgb="00B45309"/>
      <sz val="10"/>
    </font>
    <font>
      <name val="Calibri"/>
      <b val="1"/>
      <color rgb="001E3A8A"/>
      <sz val="10"/>
    </font>
    <font>
      <name val="Calibri"/>
      <b val="1"/>
      <color rgb="00065F46"/>
      <sz val="10"/>
    </font>
    <font>
      <name val="Calibri"/>
      <b val="1"/>
      <color rgb="000F766E"/>
      <sz val="10"/>
    </font>
    <font>
      <name val="Calibri"/>
      <b val="1"/>
      <color rgb="00FFFFFF"/>
      <sz val="16"/>
    </font>
    <font>
      <name val="Calibri"/>
      <b val="1"/>
      <color rgb="00B45309"/>
      <sz val="11"/>
    </font>
    <font>
      <name val="Calibri"/>
      <b val="1"/>
      <color rgb="00047857"/>
      <sz val="22"/>
    </font>
    <font>
      <name val="Calibri"/>
      <i val="1"/>
      <color rgb="00475569"/>
      <sz val="9"/>
    </font>
    <font>
      <name val="Calibri"/>
      <b val="1"/>
      <color rgb="001D4ED8"/>
      <sz val="22"/>
    </font>
    <font>
      <name val="Calibri"/>
      <b val="1"/>
      <color rgb="00B45309"/>
      <sz val="15"/>
    </font>
  </fonts>
  <fills count="16">
    <fill>
      <patternFill/>
    </fill>
    <fill>
      <patternFill patternType="gray125"/>
    </fill>
    <fill>
      <patternFill patternType="solid">
        <fgColor rgb="000F2C59"/>
        <bgColor rgb="000F2C59"/>
      </patternFill>
    </fill>
    <fill>
      <patternFill patternType="solid">
        <fgColor rgb="001E3A8A"/>
        <bgColor rgb="001E3A8A"/>
      </patternFill>
    </fill>
    <fill>
      <patternFill patternType="solid">
        <fgColor rgb="00334155"/>
        <bgColor rgb="00334155"/>
      </patternFill>
    </fill>
    <fill>
      <patternFill patternType="solid">
        <fgColor rgb="00EFF6FF"/>
        <bgColor rgb="00EFF6FF"/>
      </patternFill>
    </fill>
    <fill>
      <patternFill patternType="solid">
        <fgColor rgb="000D9488"/>
        <bgColor rgb="000D9488"/>
      </patternFill>
    </fill>
    <fill>
      <patternFill patternType="solid">
        <fgColor rgb="00FFFFFF"/>
        <bgColor rgb="00FFFFFF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  <fill>
      <patternFill patternType="solid">
        <fgColor rgb="001E293B"/>
        <bgColor rgb="001E293B"/>
      </patternFill>
    </fill>
    <fill>
      <patternFill patternType="solid">
        <fgColor rgb="00FFFBEB"/>
        <bgColor rgb="00FFFBEB"/>
      </patternFill>
    </fill>
    <fill>
      <patternFill patternType="solid">
        <fgColor rgb="00047857"/>
        <bgColor rgb="00047857"/>
      </patternFill>
    </fill>
    <fill>
      <patternFill patternType="solid">
        <fgColor rgb="00ECFDF5"/>
        <bgColor rgb="00ECFDF5"/>
      </patternFill>
    </fill>
    <fill>
      <patternFill patternType="solid">
        <fgColor rgb="003730A3"/>
        <bgColor rgb="003730A3"/>
      </patternFill>
    </fill>
    <fill>
      <patternFill patternType="solid">
        <fgColor rgb="00F0FDFA"/>
        <bgColor rgb="00F0FDFA"/>
      </patternFill>
    </fill>
  </fills>
  <borders count="1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medium">
        <color rgb="000F2C59"/>
      </top>
      <bottom style="medium">
        <color rgb="000F2C59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F59E0B"/>
      </left>
      <right style="thin">
        <color rgb="00F59E0B"/>
      </right>
      <top style="thin">
        <color rgb="00F59E0B"/>
      </top>
      <bottom style="thin">
        <color rgb="00F59E0B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/>
      <right/>
      <top style="thin">
        <color rgb="00F59E0B"/>
      </top>
      <bottom/>
      <diagonal/>
    </border>
    <border>
      <left/>
      <right style="thin">
        <color rgb="00F59E0B"/>
      </right>
      <top style="thin">
        <color rgb="00F59E0B"/>
      </top>
      <bottom/>
      <diagonal/>
    </border>
    <border>
      <left/>
      <right style="thin">
        <color rgb="00F59E0B"/>
      </right>
      <top style="thin">
        <color rgb="00F59E0B"/>
      </top>
      <bottom style="thin">
        <color rgb="00F59E0B"/>
      </bottom>
      <diagonal/>
    </border>
    <border>
      <left style="medium">
        <color rgb="00047857"/>
      </left>
      <right style="medium">
        <color rgb="00047857"/>
      </right>
      <top style="medium">
        <color rgb="00047857"/>
      </top>
      <bottom style="medium">
        <color rgb="00047857"/>
      </bottom>
    </border>
    <border>
      <left style="medium">
        <color rgb="000F2C59"/>
      </left>
      <right style="medium">
        <color rgb="000F2C59"/>
      </right>
      <top style="medium">
        <color rgb="000F2C59"/>
      </top>
      <bottom style="medium">
        <color rgb="000F2C59"/>
      </bottom>
    </border>
    <border>
      <left style="medium">
        <color rgb="00D97706"/>
      </left>
      <right style="medium">
        <color rgb="00D97706"/>
      </right>
      <top style="medium">
        <color rgb="00D97706"/>
      </top>
      <bottom style="medium">
        <color rgb="00D97706"/>
      </bottom>
    </border>
  </borders>
  <cellStyleXfs count="1">
    <xf numFmtId="0" fontId="0" fillId="0" borderId="0"/>
  </cellStyleXfs>
  <cellXfs count="10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0" borderId="0" pivotButton="0" quotePrefix="0" xfId="0"/>
    <xf numFmtId="0" fontId="4" fillId="4" borderId="1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/>
    </xf>
    <xf numFmtId="0" fontId="6" fillId="5" borderId="2" applyAlignment="1" pivotButton="0" quotePrefix="0" xfId="0">
      <alignment horizontal="left" vertical="center"/>
    </xf>
    <xf numFmtId="2" fontId="6" fillId="5" borderId="2" applyAlignment="1" pivotButton="0" quotePrefix="0" xfId="0">
      <alignment horizontal="right" vertical="center"/>
    </xf>
    <xf numFmtId="164" fontId="6" fillId="5" borderId="2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165" fontId="6" fillId="7" borderId="2" applyAlignment="1" pivotButton="0" quotePrefix="0" xfId="0">
      <alignment horizontal="right" vertical="center"/>
    </xf>
    <xf numFmtId="2" fontId="5" fillId="7" borderId="2" applyAlignment="1" pivotButton="0" quotePrefix="0" xfId="0">
      <alignment horizontal="right" vertical="center"/>
    </xf>
    <xf numFmtId="0" fontId="7" fillId="8" borderId="2" applyAlignment="1" pivotButton="0" quotePrefix="0" xfId="0">
      <alignment horizontal="center" vertical="center"/>
    </xf>
    <xf numFmtId="2" fontId="6" fillId="7" borderId="2" applyAlignment="1" pivotButton="0" quotePrefix="0" xfId="0">
      <alignment horizontal="right" vertical="center"/>
    </xf>
    <xf numFmtId="0" fontId="5" fillId="9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165" fontId="6" fillId="9" borderId="2" applyAlignment="1" pivotButton="0" quotePrefix="0" xfId="0">
      <alignment horizontal="right" vertical="center"/>
    </xf>
    <xf numFmtId="2" fontId="5" fillId="9" borderId="2" applyAlignment="1" pivotButton="0" quotePrefix="0" xfId="0">
      <alignment horizontal="right" vertical="center"/>
    </xf>
    <xf numFmtId="2" fontId="6" fillId="9" borderId="2" applyAlignment="1" pivotButton="0" quotePrefix="0" xfId="0">
      <alignment horizontal="right" vertical="center"/>
    </xf>
    <xf numFmtId="165" fontId="5" fillId="7" borderId="2" applyAlignment="1" pivotButton="0" quotePrefix="0" xfId="0">
      <alignment horizontal="right" vertical="center"/>
    </xf>
    <xf numFmtId="165" fontId="5" fillId="9" borderId="2" applyAlignment="1" pivotButton="0" quotePrefix="0" xfId="0">
      <alignment horizontal="right" vertical="center"/>
    </xf>
    <xf numFmtId="0" fontId="4" fillId="10" borderId="0" applyAlignment="1" pivotButton="0" quotePrefix="0" xfId="0">
      <alignment horizontal="center" vertical="center"/>
    </xf>
    <xf numFmtId="0" fontId="8" fillId="8" borderId="2" applyAlignment="1" pivotButton="0" quotePrefix="0" xfId="0">
      <alignment horizontal="left" vertical="center" indent="1"/>
    </xf>
    <xf numFmtId="0" fontId="0" fillId="8" borderId="2" pivotButton="0" quotePrefix="0" xfId="0"/>
    <xf numFmtId="165" fontId="9" fillId="5" borderId="2" applyAlignment="1" pivotButton="0" quotePrefix="0" xfId="0">
      <alignment horizontal="center" vertical="center"/>
    </xf>
    <xf numFmtId="0" fontId="0" fillId="5" borderId="2" pivotButton="0" quotePrefix="0" xfId="0"/>
    <xf numFmtId="2" fontId="10" fillId="11" borderId="3" applyAlignment="1" pivotButton="0" quotePrefix="0" xfId="0">
      <alignment horizontal="center" vertical="center"/>
    </xf>
    <xf numFmtId="0" fontId="0" fillId="11" borderId="3" pivotButton="0" quotePrefix="0" xfId="0"/>
    <xf numFmtId="1" fontId="9" fillId="5" borderId="2" applyAlignment="1" pivotButton="0" quotePrefix="0" xfId="0">
      <alignment horizontal="center" vertical="center"/>
    </xf>
    <xf numFmtId="3" fontId="9" fillId="5" borderId="2" applyAlignment="1" pivotButton="0" quotePrefix="0" xfId="0">
      <alignment horizontal="center" vertical="center"/>
    </xf>
    <xf numFmtId="3" fontId="10" fillId="11" borderId="3" applyAlignment="1" pivotButton="0" quotePrefix="0" xfId="0">
      <alignment horizontal="center" vertical="center"/>
    </xf>
    <xf numFmtId="0" fontId="10" fillId="11" borderId="3" applyAlignment="1" pivotButton="0" quotePrefix="0" xfId="0">
      <alignment horizontal="center" vertical="center"/>
    </xf>
    <xf numFmtId="164" fontId="9" fillId="5" borderId="2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 wrapText="1"/>
    </xf>
    <xf numFmtId="3" fontId="6" fillId="7" borderId="2" applyAlignment="1" pivotButton="0" quotePrefix="0" xfId="0">
      <alignment horizontal="center" vertical="center"/>
    </xf>
    <xf numFmtId="0" fontId="11" fillId="7" borderId="2" applyAlignment="1" pivotButton="0" quotePrefix="0" xfId="0">
      <alignment horizontal="left" vertical="center" indent="1"/>
    </xf>
    <xf numFmtId="4" fontId="6" fillId="7" borderId="2" applyAlignment="1" pivotButton="0" quotePrefix="0" xfId="0">
      <alignment horizontal="right" vertical="center"/>
    </xf>
    <xf numFmtId="3" fontId="6" fillId="7" borderId="2" applyAlignment="1" pivotButton="0" quotePrefix="0" xfId="0">
      <alignment horizontal="right" vertical="center"/>
    </xf>
    <xf numFmtId="3" fontId="12" fillId="13" borderId="2" applyAlignment="1" pivotButton="0" quotePrefix="0" xfId="0">
      <alignment horizontal="right" vertical="center"/>
    </xf>
    <xf numFmtId="4" fontId="12" fillId="13" borderId="2" applyAlignment="1" pivotButton="0" quotePrefix="0" xfId="0">
      <alignment horizontal="right" vertical="center"/>
    </xf>
    <xf numFmtId="166" fontId="6" fillId="7" borderId="2" applyAlignment="1" pivotButton="0" quotePrefix="0" xfId="0">
      <alignment horizontal="right" vertical="center"/>
    </xf>
    <xf numFmtId="3" fontId="6" fillId="9" borderId="2" applyAlignment="1" pivotButton="0" quotePrefix="0" xfId="0">
      <alignment horizontal="center" vertical="center"/>
    </xf>
    <xf numFmtId="0" fontId="11" fillId="9" borderId="2" applyAlignment="1" pivotButton="0" quotePrefix="0" xfId="0">
      <alignment horizontal="left" vertical="center" indent="1"/>
    </xf>
    <xf numFmtId="4" fontId="6" fillId="9" borderId="2" applyAlignment="1" pivotButton="0" quotePrefix="0" xfId="0">
      <alignment horizontal="right" vertical="center"/>
    </xf>
    <xf numFmtId="3" fontId="6" fillId="9" borderId="2" applyAlignment="1" pivotButton="0" quotePrefix="0" xfId="0">
      <alignment horizontal="right" vertical="center"/>
    </xf>
    <xf numFmtId="166" fontId="6" fillId="9" borderId="2" applyAlignment="1" pivotButton="0" quotePrefix="0" xfId="0">
      <alignment horizontal="right" vertical="center"/>
    </xf>
    <xf numFmtId="0" fontId="13" fillId="9" borderId="2" applyAlignment="1" pivotButton="0" quotePrefix="0" xfId="0">
      <alignment horizontal="left" vertical="center" indent="1"/>
    </xf>
    <xf numFmtId="0" fontId="13" fillId="7" borderId="2" applyAlignment="1" pivotButton="0" quotePrefix="0" xfId="0">
      <alignment horizontal="left" vertical="center" indent="1"/>
    </xf>
    <xf numFmtId="0" fontId="14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0" fillId="3" borderId="0" pivotButton="0" quotePrefix="0" xfId="0"/>
    <xf numFmtId="0" fontId="4" fillId="10" borderId="1" applyAlignment="1" pivotButton="0" quotePrefix="0" xfId="0">
      <alignment horizontal="left" vertical="center" indent="1"/>
    </xf>
    <xf numFmtId="0" fontId="0" fillId="10" borderId="1" pivotButton="0" quotePrefix="0" xfId="0"/>
    <xf numFmtId="0" fontId="4" fillId="12" borderId="1" applyAlignment="1" pivotButton="0" quotePrefix="0" xfId="0">
      <alignment horizontal="center" vertical="center"/>
    </xf>
    <xf numFmtId="0" fontId="0" fillId="12" borderId="1" pivotButton="0" quotePrefix="0" xfId="0"/>
    <xf numFmtId="0" fontId="4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14" borderId="1" applyAlignment="1" pivotButton="0" quotePrefix="0" xfId="0">
      <alignment horizontal="center" vertical="center"/>
    </xf>
    <xf numFmtId="0" fontId="0" fillId="14" borderId="1" pivotButton="0" quotePrefix="0" xfId="0"/>
    <xf numFmtId="49" fontId="15" fillId="11" borderId="3" applyAlignment="1" pivotButton="0" quotePrefix="0" xfId="0">
      <alignment horizontal="center" vertical="center"/>
    </xf>
    <xf numFmtId="168" fontId="16" fillId="13" borderId="10" applyAlignment="1" pivotButton="0" quotePrefix="0" xfId="0">
      <alignment horizontal="center" vertical="center"/>
    </xf>
    <xf numFmtId="0" fontId="0" fillId="13" borderId="10" pivotButton="0" quotePrefix="0" xfId="0"/>
    <xf numFmtId="169" fontId="18" fillId="5" borderId="11" applyAlignment="1" pivotButton="0" quotePrefix="0" xfId="0">
      <alignment horizontal="center" vertical="center"/>
    </xf>
    <xf numFmtId="0" fontId="0" fillId="5" borderId="11" pivotButton="0" quotePrefix="0" xfId="0"/>
    <xf numFmtId="0" fontId="19" fillId="11" borderId="12" applyAlignment="1" pivotButton="0" quotePrefix="0" xfId="0">
      <alignment horizontal="center" vertical="center"/>
    </xf>
    <xf numFmtId="0" fontId="0" fillId="11" borderId="12" pivotButton="0" quotePrefix="0" xfId="0"/>
    <xf numFmtId="0" fontId="9" fillId="11" borderId="2" applyAlignment="1" pivotButton="0" quotePrefix="0" xfId="0">
      <alignment horizontal="center" vertical="center"/>
    </xf>
    <xf numFmtId="0" fontId="0" fillId="11" borderId="2" pivotButton="0" quotePrefix="0" xfId="0"/>
    <xf numFmtId="2" fontId="15" fillId="11" borderId="3" applyAlignment="1" pivotButton="0" quotePrefix="0" xfId="0">
      <alignment horizontal="center" vertical="center"/>
    </xf>
    <xf numFmtId="0" fontId="17" fillId="13" borderId="2" applyAlignment="1" pivotButton="0" quotePrefix="0" xfId="0">
      <alignment horizontal="center" vertical="center"/>
    </xf>
    <xf numFmtId="0" fontId="0" fillId="13" borderId="2" pivotButton="0" quotePrefix="0" xfId="0"/>
    <xf numFmtId="0" fontId="17" fillId="5" borderId="2" applyAlignment="1" pivotButton="0" quotePrefix="0" xfId="0">
      <alignment horizontal="center" vertical="center"/>
    </xf>
    <xf numFmtId="0" fontId="17" fillId="11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indent="1"/>
    </xf>
    <xf numFmtId="0" fontId="0" fillId="4" borderId="1" pivotButton="0" quotePrefix="0" xfId="0"/>
    <xf numFmtId="2" fontId="9" fillId="7" borderId="2" applyAlignment="1" pivotButton="0" quotePrefix="0" xfId="0">
      <alignment horizontal="right" vertical="center"/>
    </xf>
    <xf numFmtId="0" fontId="0" fillId="7" borderId="2" pivotButton="0" quotePrefix="0" xfId="0"/>
    <xf numFmtId="165" fontId="6" fillId="7" borderId="2" applyAlignment="1" pivotButton="0" quotePrefix="0" xfId="0">
      <alignment horizontal="center" vertical="center"/>
    </xf>
    <xf numFmtId="3" fontId="15" fillId="11" borderId="3" applyAlignment="1" pivotButton="0" quotePrefix="0" xfId="0">
      <alignment horizontal="center" vertical="center"/>
    </xf>
    <xf numFmtId="164" fontId="6" fillId="7" borderId="2" applyAlignment="1" pivotButton="0" quotePrefix="0" xfId="0">
      <alignment horizontal="right" vertical="center"/>
    </xf>
    <xf numFmtId="0" fontId="15" fillId="11" borderId="3" applyAlignment="1" pivotButton="0" quotePrefix="0" xfId="0">
      <alignment horizontal="center" vertical="center"/>
    </xf>
    <xf numFmtId="170" fontId="9" fillId="7" borderId="2" applyAlignment="1" pivotButton="0" quotePrefix="0" xfId="0">
      <alignment horizontal="right" vertical="center"/>
    </xf>
    <xf numFmtId="3" fontId="9" fillId="13" borderId="2" applyAlignment="1" pivotButton="0" quotePrefix="0" xfId="0">
      <alignment horizontal="right" vertical="center"/>
    </xf>
    <xf numFmtId="167" fontId="15" fillId="11" borderId="3" applyAlignment="1" pivotButton="0" quotePrefix="0" xfId="0">
      <alignment horizontal="center" vertical="center"/>
    </xf>
    <xf numFmtId="170" fontId="6" fillId="7" borderId="2" applyAlignment="1" pivotButton="0" quotePrefix="0" xfId="0">
      <alignment horizontal="right" vertical="center"/>
    </xf>
    <xf numFmtId="4" fontId="9" fillId="13" borderId="2" applyAlignment="1" pivotButton="0" quotePrefix="0" xfId="0">
      <alignment horizontal="right" vertical="center"/>
    </xf>
    <xf numFmtId="4" fontId="9" fillId="7" borderId="2" applyAlignment="1" pivotButton="0" quotePrefix="0" xfId="0">
      <alignment horizontal="right" vertical="center"/>
    </xf>
    <xf numFmtId="0" fontId="13" fillId="15" borderId="10" applyAlignment="1" pivotButton="0" quotePrefix="0" xfId="0">
      <alignment horizontal="left" vertical="center" indent="1"/>
    </xf>
    <xf numFmtId="0" fontId="0" fillId="15" borderId="10" pivotButton="0" quotePrefix="0" xfId="0"/>
    <xf numFmtId="0" fontId="4" fillId="2" borderId="1" applyAlignment="1" pivotButton="0" quotePrefix="0" xfId="0">
      <alignment horizontal="left" vertical="center" indent="1"/>
    </xf>
    <xf numFmtId="0" fontId="0" fillId="2" borderId="1" pivotButton="0" quotePrefix="0" xfId="0"/>
    <xf numFmtId="0" fontId="4" fillId="14" borderId="1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center" vertical="center"/>
    </xf>
    <xf numFmtId="0" fontId="9" fillId="9" borderId="2" applyAlignment="1" pivotButton="0" quotePrefix="0" xfId="0">
      <alignment horizontal="center" vertical="center"/>
    </xf>
    <xf numFmtId="170" fontId="6" fillId="9" borderId="2" applyAlignment="1" pivotButton="0" quotePrefix="0" xfId="0">
      <alignment horizontal="right" vertical="center"/>
    </xf>
    <xf numFmtId="0" fontId="0" fillId="0" borderId="6" pivotButton="0" quotePrefix="0" xfId="0"/>
    <xf numFmtId="0" fontId="0" fillId="0" borderId="9" pivotButton="0" quotePrefix="0" xfId="0"/>
  </cellXfs>
  <cellStyles count="1">
    <cellStyle name="Normal" xfId="0" builtinId="0" hidden="0"/>
  </cellStyles>
  <dxfs count="4">
    <dxf>
      <font>
        <name val="Calibri"/>
        <b val="1"/>
        <color rgb="00B45309"/>
        <sz val="10"/>
      </font>
      <fill>
        <patternFill patternType="solid">
          <fgColor rgb="00FEF3C7"/>
          <bgColor rgb="00FEF3C7"/>
        </patternFill>
      </fill>
    </dxf>
    <dxf>
      <font>
        <name val="Calibri"/>
        <b val="1"/>
        <color rgb="001D4ED8"/>
        <sz val="10"/>
      </font>
      <fill>
        <patternFill patternType="solid">
          <fgColor rgb="00DBEAFE"/>
          <bgColor rgb="00DBEAFE"/>
        </patternFill>
      </fill>
    </dxf>
    <dxf>
      <font>
        <name val="Calibri"/>
        <b val="1"/>
        <color rgb="0015803D"/>
        <sz val="10"/>
      </font>
      <fill>
        <patternFill patternType="solid">
          <fgColor rgb="00DCFCE7"/>
          <bgColor rgb="00DCFCE7"/>
        </patternFill>
      </fill>
    </dxf>
    <dxf>
      <font>
        <name val="Calibri"/>
        <i val="1"/>
        <color rgb="0094A3B8"/>
        <sz val="9"/>
      </font>
      <fill>
        <patternFill patternType="solid">
          <fgColor rgb="00F1F5F9"/>
          <bgColor rgb="00F1F5F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1" customWidth="1" min="3" max="3"/>
    <col width="13" customWidth="1" min="4" max="4"/>
    <col width="13" customWidth="1" min="5" max="5"/>
    <col width="11" customWidth="1" min="6" max="6"/>
    <col width="13" customWidth="1" min="7" max="7"/>
    <col width="13" customWidth="1" min="8" max="8"/>
    <col width="13" customWidth="1" min="9" max="9"/>
    <col width="13" customWidth="1" min="10" max="10"/>
    <col width="15" customWidth="1" min="11" max="11"/>
    <col width="16" customWidth="1" min="12" max="12"/>
    <col width="13" customWidth="1" min="13" max="13"/>
    <col width="16" customWidth="1" min="14" max="14"/>
  </cols>
  <sheetData>
    <row r="1" ht="32" customHeight="1">
      <c r="A1" s="52" t="inlineStr">
        <is>
          <t>PRECISE PIPE — 40GP CONTAINER LOADING &amp; COMMERCIAL ESTIMATOR MODEL</t>
        </is>
      </c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3" t="n"/>
    </row>
    <row r="2" ht="20" customHeight="1">
      <c r="A2" s="2" t="inlineStr">
        <is>
          <t>Interactive Calculator &amp; Schedule Matrix | Select Pipe Size (NPS), Schedule &amp; Material in Yellow Cells (Col D) | ASME B36.10M (CS) &amp; B36.19M (SS)</t>
        </is>
      </c>
      <c r="B2" s="54" t="n"/>
      <c r="C2" s="54" t="n"/>
      <c r="D2" s="54" t="n"/>
      <c r="E2" s="54" t="n"/>
      <c r="F2" s="54" t="n"/>
      <c r="G2" s="54" t="n"/>
      <c r="H2" s="54" t="n"/>
      <c r="I2" s="54" t="n"/>
      <c r="J2" s="54" t="n"/>
      <c r="K2" s="54" t="n"/>
      <c r="L2" s="54" t="n"/>
      <c r="M2" s="54" t="n"/>
      <c r="N2" s="54" t="n"/>
    </row>
    <row r="3" ht="10" customHeight="1"/>
    <row r="4" ht="24" customHeight="1">
      <c r="A4" s="55" t="inlineStr">
        <is>
          <t>1. PIPE SPECIFICATION INPUTS (SELECT DROPDOWNS)</t>
        </is>
      </c>
      <c r="B4" s="56" t="n"/>
      <c r="C4" s="56" t="n"/>
      <c r="D4" s="56" t="n"/>
      <c r="E4" s="56" t="n"/>
      <c r="G4" s="57" t="inlineStr">
        <is>
          <t>OUTPUT 1: 40GP TOTAL PIECES</t>
        </is>
      </c>
      <c r="H4" s="58" t="n"/>
      <c r="I4" s="58" t="n"/>
      <c r="J4" s="59" t="inlineStr">
        <is>
          <t>OUTPUT 2: 40GP METRIC TONS (MT)</t>
        </is>
      </c>
      <c r="K4" s="60" t="n"/>
      <c r="L4" s="60" t="n"/>
      <c r="M4" s="61" t="inlineStr">
        <is>
          <t>BOTTLENECK &amp; FREIGHT</t>
        </is>
      </c>
      <c r="N4" s="62" t="n"/>
    </row>
    <row r="5" ht="22" customHeight="1">
      <c r="A5" s="26" t="inlineStr">
        <is>
          <t>Material Grade [Select]</t>
        </is>
      </c>
      <c r="B5" s="27" t="n"/>
      <c r="C5" s="27" t="n"/>
      <c r="D5" s="63" t="inlineStr">
        <is>
          <t>Carbon Steel (CS)</t>
        </is>
      </c>
      <c r="E5" s="31" t="n"/>
      <c r="G5" s="64">
        <f>IF(ISNUMBER(I12), M16, 0)</f>
        <v/>
      </c>
      <c r="H5" s="65" t="n"/>
      <c r="I5" s="65" t="n"/>
      <c r="J5" s="66">
        <f>IF(ISNUMBER(I12), M17, 0)</f>
        <v/>
      </c>
      <c r="K5" s="67" t="n"/>
      <c r="L5" s="67" t="n"/>
      <c r="M5" s="68">
        <f>IF(G5=0, "N/A", IF(M15&lt;=M14, "WEIGHT LIMITED", "VOLUME LIMITED"))</f>
        <v/>
      </c>
      <c r="N5" s="69" t="n"/>
    </row>
    <row r="6" ht="22" customHeight="1">
      <c r="A6" s="26" t="inlineStr">
        <is>
          <t>Nominal Pipe Size - NPS [Select]</t>
        </is>
      </c>
      <c r="B6" s="27" t="n"/>
      <c r="C6" s="27" t="n"/>
      <c r="D6" s="63" t="inlineStr">
        <is>
          <t>6''</t>
        </is>
      </c>
      <c r="E6" s="31" t="n"/>
      <c r="G6" s="65" t="n"/>
      <c r="H6" s="65" t="n"/>
      <c r="I6" s="65" t="n"/>
      <c r="J6" s="67" t="n"/>
      <c r="K6" s="67" t="n"/>
      <c r="L6" s="67" t="n"/>
      <c r="M6" s="69" t="n"/>
      <c r="N6" s="69" t="n"/>
    </row>
    <row r="7" ht="22" customHeight="1">
      <c r="A7" s="26" t="inlineStr">
        <is>
          <t>Pipe Schedule [Select]</t>
        </is>
      </c>
      <c r="B7" s="27" t="n"/>
      <c r="C7" s="27" t="n"/>
      <c r="D7" s="63" t="inlineStr">
        <is>
          <t>40</t>
        </is>
      </c>
      <c r="E7" s="31" t="n"/>
      <c r="G7" s="65" t="n"/>
      <c r="H7" s="65" t="n"/>
      <c r="I7" s="65" t="n"/>
      <c r="J7" s="67" t="n"/>
      <c r="K7" s="67" t="n"/>
      <c r="L7" s="67" t="n"/>
      <c r="M7" s="70">
        <f>IF(J5&gt;0, "Freight: $" &amp; TEXT(D17/J5, "#,##0.00") &amp; " / MT", "Freight: N/A")</f>
        <v/>
      </c>
      <c r="N7" s="71" t="n"/>
    </row>
    <row r="8" ht="22" customHeight="1">
      <c r="A8" s="26" t="inlineStr">
        <is>
          <t>Single Pipe Length (m) [Select]</t>
        </is>
      </c>
      <c r="B8" s="27" t="n"/>
      <c r="C8" s="27" t="n"/>
      <c r="D8" s="72" t="n">
        <v>11.8</v>
      </c>
      <c r="E8" s="31" t="n"/>
      <c r="G8" s="73">
        <f>"Total Length: " &amp; TEXT(G5*D8, "#,##0.0") &amp; " m (" &amp; TEXT(G5*D8*3.28084, "#,##0") &amp; " ft)"</f>
        <v/>
      </c>
      <c r="H8" s="74" t="n"/>
      <c r="I8" s="74" t="n"/>
      <c r="J8" s="75">
        <f>"Net Weight: " &amp; TEXT(J5*1000, "#,##0") &amp; " kg (" &amp; TEXT(J5*2204.62, "#,##0") &amp; " lbs)"</f>
        <v/>
      </c>
      <c r="K8" s="29" t="n"/>
      <c r="L8" s="29" t="n"/>
      <c r="M8" s="76">
        <f>IF(G5&gt;0, "Unit Freight: $" &amp; TEXT(D17/(G5*D8), "0.00") &amp; " / m", "Unit Freight: N/A")</f>
        <v/>
      </c>
      <c r="N8" s="71" t="n"/>
    </row>
    <row r="9" ht="22" customHeight="1">
      <c r="A9" s="26" t="inlineStr">
        <is>
          <t>ASME Spec Status</t>
        </is>
      </c>
      <c r="B9" s="27" t="n"/>
      <c r="C9" s="27" t="n"/>
      <c r="D9" s="77">
        <f>IF(ISNUMBER(I12), "VALID ASME SPEC", "SCHEDULE N/A FOR THIS NPS (SEE TABLE BELOW)")</f>
        <v/>
      </c>
      <c r="E9" s="29" t="n"/>
    </row>
    <row r="10" ht="22" customHeight="1">
      <c r="G10" s="78" t="inlineStr">
        <is>
          <t>3. SELECTED PIPE PHYSICAL SPECS (ASME)</t>
        </is>
      </c>
      <c r="H10" s="79" t="n"/>
      <c r="I10" s="79" t="n"/>
      <c r="J10" s="79" t="n"/>
      <c r="K10" s="78" t="inlineStr">
        <is>
          <t>4. 40GP CONTAINER PACKING GEOMETRY</t>
        </is>
      </c>
      <c r="L10" s="79" t="n"/>
      <c r="M10" s="79" t="n"/>
      <c r="N10" s="79" t="n"/>
    </row>
    <row r="11" ht="21" customHeight="1">
      <c r="A11" s="55" t="inlineStr">
        <is>
          <t>2. 40GP CONTAINER &amp; COMMERCIAL PARAMETERS</t>
        </is>
      </c>
      <c r="B11" s="56" t="n"/>
      <c r="C11" s="56" t="n"/>
      <c r="D11" s="56" t="n"/>
      <c r="E11" s="56" t="n"/>
      <c r="G11" s="26" t="inlineStr">
        <is>
          <t>Outer Diameter - OD (mm)</t>
        </is>
      </c>
      <c r="H11" s="27" t="n"/>
      <c r="I11" s="80">
        <f>IFERROR(INDEX('3_ASME_Spec_DB'!$D$12:$D$47, MATCH(D6, '3_ASME_Spec_DB'!$A$12:$A$47, 0)), 0)</f>
        <v/>
      </c>
      <c r="J11" s="81" t="n"/>
      <c r="K11" s="26" t="inlineStr">
        <is>
          <t>Lengthwise Tiers in 40GP</t>
        </is>
      </c>
      <c r="L11" s="27" t="n"/>
      <c r="M11" s="41">
        <f>INT(D12 / D8)</f>
        <v/>
      </c>
      <c r="N11" s="81" t="n"/>
    </row>
    <row r="12" ht="21" customHeight="1">
      <c r="A12" s="26" t="inlineStr">
        <is>
          <t>40GP Internal Length (m)</t>
        </is>
      </c>
      <c r="B12" s="27" t="n"/>
      <c r="C12" s="27" t="n"/>
      <c r="D12" s="82" t="n">
        <v>12.032</v>
      </c>
      <c r="E12" s="81" t="n"/>
      <c r="G12" s="26" t="inlineStr">
        <is>
          <t>Wall Thickness - WT (mm)</t>
        </is>
      </c>
      <c r="H12" s="27" t="n"/>
      <c r="I12" s="80">
        <f>IFERROR(INDEX('3_ASME_Spec_DB'!$E$12:$V$47, MATCH(D6, '3_ASME_Spec_DB'!$A$12:$A$47, 0), MATCH("Sch "&amp;D7, '3_ASME_Spec_DB'!$E$11:$V$11, 0)), "N/A")</f>
        <v/>
      </c>
      <c r="J12" s="81" t="n"/>
      <c r="K12" s="26" t="inlineStr">
        <is>
          <t>Bottom Row Fit (pcs / row)</t>
        </is>
      </c>
      <c r="L12" s="27" t="n"/>
      <c r="M12" s="41">
        <f>IF(I11&gt;0, INT(D13 / I11), 0)</f>
        <v/>
      </c>
      <c r="N12" s="81" t="n"/>
    </row>
    <row r="13" ht="21" customHeight="1">
      <c r="A13" s="26" t="inlineStr">
        <is>
          <t>Effective Loading Width (mm) [Input]</t>
        </is>
      </c>
      <c r="B13" s="27" t="n"/>
      <c r="C13" s="27" t="n"/>
      <c r="D13" s="83" t="n">
        <v>2300</v>
      </c>
      <c r="E13" s="31" t="n"/>
      <c r="G13" s="26" t="inlineStr">
        <is>
          <t>Outer / Wall (Inches)</t>
        </is>
      </c>
      <c r="H13" s="27" t="n"/>
      <c r="I13" s="13">
        <f>TEXT(I11/25.4,"0.000") &amp; " in OD x " &amp; IF(ISNUMBER(I12), TEXT(I12/25.4,"0.000") &amp; " in WT", "N/A")</f>
        <v/>
      </c>
      <c r="J13" s="81" t="n"/>
      <c r="K13" s="26" t="inlineStr">
        <is>
          <t>Vertical Stacked Layers</t>
        </is>
      </c>
      <c r="L13" s="27" t="n"/>
      <c r="M13" s="41">
        <f>IF(M12=0, 0, IF(OR(D16="Square Grid", M12=1), INT(D14/I11), IF(D14&lt;I11, 0, 1+INT((D14-I11)/(0.8660254*I11)))))</f>
        <v/>
      </c>
      <c r="N13" s="81" t="n"/>
    </row>
    <row r="14" ht="21" customHeight="1">
      <c r="A14" s="26" t="inlineStr">
        <is>
          <t>Effective Loading Height (mm) [Input]</t>
        </is>
      </c>
      <c r="B14" s="27" t="n"/>
      <c r="C14" s="27" t="n"/>
      <c r="D14" s="83" t="n">
        <v>2280</v>
      </c>
      <c r="E14" s="31" t="n"/>
      <c r="G14" s="26" t="inlineStr">
        <is>
          <t>Inner Diameter - ID (mm)</t>
        </is>
      </c>
      <c r="H14" s="27" t="n"/>
      <c r="I14" s="17">
        <f>IF(ISNUMBER(I12), ROUND(I11 - 2*I12, 2), "N/A")</f>
        <v/>
      </c>
      <c r="J14" s="81" t="n"/>
      <c r="K14" s="26" t="inlineStr">
        <is>
          <t>Max Pieces by Volume (pcs)</t>
        </is>
      </c>
      <c r="L14" s="27" t="n"/>
      <c r="M14" s="41">
        <f>IF(OR(M12=0,M13=0), 0, IF(OR(D16="Square Grid", M12=1), M12*M13*M11, (INT((M13+1)/2)*M12 + INT(M13/2)*IF((D13-M12*I11)&gt;=0.5*I11, M12, M12-1))*M11))</f>
        <v/>
      </c>
      <c r="N14" s="81" t="n"/>
    </row>
    <row r="15" ht="21" customHeight="1">
      <c r="A15" s="26" t="inlineStr">
        <is>
          <t>Max Container Payload (MT) [Input]</t>
        </is>
      </c>
      <c r="B15" s="27" t="n"/>
      <c r="C15" s="27" t="n"/>
      <c r="D15" s="72" t="n">
        <v>26</v>
      </c>
      <c r="E15" s="31" t="n"/>
      <c r="G15" s="26" t="inlineStr">
        <is>
          <t>Material Weight Factor C</t>
        </is>
      </c>
      <c r="H15" s="27" t="n"/>
      <c r="I15" s="84">
        <f>IF(D5="Carbon Steel (CS)", '3_ASME_Spec_DB'!D6, IF(D5="Stainless Steel 304 (SS304)", '3_ASME_Spec_DB'!D7, '3_ASME_Spec_DB'!D8))</f>
        <v/>
      </c>
      <c r="J15" s="81" t="n"/>
      <c r="K15" s="26" t="inlineStr">
        <is>
          <t>Max Pieces by Weight (pcs)</t>
        </is>
      </c>
      <c r="L15" s="27" t="n"/>
      <c r="M15" s="41">
        <f>IF(I18&gt;0, INT((D15*1000) / I18), 0)</f>
        <v/>
      </c>
      <c r="N15" s="81" t="n"/>
    </row>
    <row r="16" ht="21" customHeight="1">
      <c r="A16" s="26" t="inlineStr">
        <is>
          <t>Cross-Section Packing Mode [Select]</t>
        </is>
      </c>
      <c r="B16" s="27" t="n"/>
      <c r="C16" s="27" t="n"/>
      <c r="D16" s="85" t="inlineStr">
        <is>
          <t>Staggered (Hexagonal)</t>
        </is>
      </c>
      <c r="E16" s="31" t="n"/>
      <c r="G16" s="26" t="inlineStr">
        <is>
          <t>Linear Unit Weight (kg/m)</t>
        </is>
      </c>
      <c r="H16" s="27" t="n"/>
      <c r="I16" s="86">
        <f>IF(ISNUMBER(I12), ROUND((I11 - I12) * I12 * I15, 3), 0)</f>
        <v/>
      </c>
      <c r="J16" s="81" t="n"/>
      <c r="K16" s="26" t="inlineStr">
        <is>
          <t>40GP Actual Loaded Pieces</t>
        </is>
      </c>
      <c r="L16" s="27" t="n"/>
      <c r="M16" s="87">
        <f>IF(ISNUMBER(I12), MIN(M14, M15), 0)</f>
        <v/>
      </c>
      <c r="N16" s="74" t="n"/>
    </row>
    <row r="17" ht="21" customHeight="1">
      <c r="A17" s="26" t="inlineStr">
        <is>
          <t>Est. Ocean Freight / 40GP (USD) [Input]</t>
        </is>
      </c>
      <c r="B17" s="27" t="n"/>
      <c r="C17" s="27" t="n"/>
      <c r="D17" s="88" t="n">
        <v>3500</v>
      </c>
      <c r="E17" s="31" t="n"/>
      <c r="G17" s="26" t="inlineStr">
        <is>
          <t>Linear Unit Weight (lb/ft)</t>
        </is>
      </c>
      <c r="H17" s="27" t="n"/>
      <c r="I17" s="89">
        <f>IF(ISNUMBER(I12), ROUND(I16 * 0.671969, 3), 0)</f>
        <v/>
      </c>
      <c r="J17" s="81" t="n"/>
      <c r="K17" s="26" t="inlineStr">
        <is>
          <t>40GP Actual Net Weight (MT)</t>
        </is>
      </c>
      <c r="L17" s="27" t="n"/>
      <c r="M17" s="90">
        <f>ROUND((M16 * I18) / 1000, 2)</f>
        <v/>
      </c>
      <c r="N17" s="74" t="n"/>
    </row>
    <row r="18" ht="21" customHeight="1">
      <c r="A18" s="26" t="inlineStr">
        <is>
          <t>Nested Pipe Clearance Margin (mm)</t>
        </is>
      </c>
      <c r="B18" s="27" t="n"/>
      <c r="C18" s="27" t="n"/>
      <c r="D18" s="83" t="n">
        <v>25</v>
      </c>
      <c r="E18" s="31" t="n"/>
      <c r="G18" s="26" t="inlineStr">
        <is>
          <t>Single Pipe Weight (kg/pc)</t>
        </is>
      </c>
      <c r="H18" s="27" t="n"/>
      <c r="I18" s="91">
        <f>IF(ISNUMBER(I12), ROUND(I16 * D8, 2), 0)</f>
        <v/>
      </c>
      <c r="J18" s="81" t="n"/>
      <c r="K18" s="26" t="inlineStr">
        <is>
          <t>Weight Util. / Space Slot Util.</t>
        </is>
      </c>
      <c r="L18" s="27" t="n"/>
      <c r="M18" s="13">
        <f>TEXT(IF(D15&gt;0, M17/D15, 0), "0.0%") &amp; " Wt  |  " &amp; TEXT(IF(M14&gt;0, M16/M14, 0), "0.0%") &amp; " Space"</f>
        <v/>
      </c>
      <c r="N18" s="81" t="n"/>
    </row>
    <row r="19" ht="8" customHeight="1"/>
    <row r="20" ht="26" customHeight="1">
      <c r="A20" s="92">
        <f>IF(NOT(ISNUMBER(I12)), "COMMERCIAL ADVISOR: Selected Schedule (" &amp; D7 &amp; ") is not standard for NPS " &amp; D6 &amp; ". Review the live table below for all valid Schedules for NPS " &amp; D6 &amp; ".", IF(M15&lt;=M14, "COMMERCIAL ADVISOR [WEIGHT LIMITED]: Container reaches Max Payload (" &amp; TEXT(M17,"0.00") &amp; " MT) at " &amp; TEXT(M16/M14,"0.0%") &amp; " space occupancy. Increasing container weight limit or using lighter wall schedule increases piece count per box.", IF(I14&gt;80, "COMMERCIAL ADVISOR [VOLUME LIMITED — PIPE NESTING OPPORTUNITY]: Space is 100% full at only " &amp; TEXT(M17,"0.00") &amp; " MT (" &amp; TEXT(D15-M17,"0.00") &amp; " MT unused payload!). Inner Diameter is " &amp; TEXT(I14,"0.0") &amp; " mm -&gt; You can telescope/nest smaller pipes (OD &lt;= " &amp; TEXT(I14-D18,"0") &amp; " mm) inside each pipe to ship extra tonnage for FREE ocean freight!", "COMMERCIAL ADVISOR [VOLUME LIMITED]: Container space is 100% utilized (" &amp; TEXT(M16,"#,##0") &amp; " pcs / " &amp; TEXT(M17,"0.00") &amp; " MT).")))</f>
        <v/>
      </c>
      <c r="B20" s="93" t="n"/>
      <c r="C20" s="93" t="n"/>
      <c r="D20" s="93" t="n"/>
      <c r="E20" s="93" t="n"/>
      <c r="F20" s="93" t="n"/>
      <c r="G20" s="93" t="n"/>
      <c r="H20" s="93" t="n"/>
      <c r="I20" s="93" t="n"/>
      <c r="J20" s="93" t="n"/>
      <c r="K20" s="93" t="n"/>
      <c r="L20" s="93" t="n"/>
      <c r="M20" s="93" t="n"/>
      <c r="N20" s="93" t="n"/>
    </row>
    <row r="21" ht="8" customHeight="1"/>
    <row r="22" ht="24" customHeight="1">
      <c r="A22" s="94">
        <f>"5. ALL PIPE SCHEDULES COMPARISON MATRIX FOR SELECTED SIZE: NPS " &amp; D6 &amp; " (" &amp; D5 &amp; " | Pipe Length: " &amp; TEXT(D8,"0.00") &amp; "m)"</f>
        <v/>
      </c>
      <c r="B22" s="95" t="n"/>
      <c r="C22" s="95" t="n"/>
      <c r="D22" s="95" t="n"/>
      <c r="E22" s="95" t="n"/>
      <c r="F22" s="95" t="n"/>
      <c r="G22" s="95" t="n"/>
      <c r="H22" s="95" t="n"/>
      <c r="I22" s="95" t="n"/>
      <c r="J22" s="95" t="n"/>
      <c r="K22" s="95" t="n"/>
      <c r="L22" s="95" t="n"/>
      <c r="M22" s="95" t="n"/>
      <c r="N22" s="95" t="n"/>
    </row>
    <row r="23" ht="28" customHeight="1">
      <c r="A23" s="9" t="inlineStr">
        <is>
          <t>Schedule</t>
        </is>
      </c>
      <c r="B23" s="9" t="inlineStr">
        <is>
          <t>Spec Status</t>
        </is>
      </c>
      <c r="C23" s="11" t="inlineStr">
        <is>
          <t>OD (mm)</t>
        </is>
      </c>
      <c r="D23" s="11" t="inlineStr">
        <is>
          <t>WT (in)</t>
        </is>
      </c>
      <c r="E23" s="11" t="inlineStr">
        <is>
          <t>WT (mm)</t>
        </is>
      </c>
      <c r="F23" s="11" t="inlineStr">
        <is>
          <t>ID (mm)</t>
        </is>
      </c>
      <c r="G23" s="11" t="inlineStr">
        <is>
          <t>Unit Wt
(kg/m)</t>
        </is>
      </c>
      <c r="H23" s="11" t="inlineStr">
        <is>
          <t>Piece Wt
(kg/pc)</t>
        </is>
      </c>
      <c r="I23" s="11" t="inlineStr">
        <is>
          <t>Max Pieces
(Volume)</t>
        </is>
      </c>
      <c r="J23" s="11" t="inlineStr">
        <is>
          <t>Max Pieces
(Weight)</t>
        </is>
      </c>
      <c r="K23" s="37" t="inlineStr">
        <is>
          <t>40GP Actual
Pieces (pcs)</t>
        </is>
      </c>
      <c r="L23" s="37" t="inlineStr">
        <is>
          <t>40GP Actual
Metric Tons (MT)</t>
        </is>
      </c>
      <c r="M23" s="96" t="inlineStr">
        <is>
          <t>Payload
Util. (%)</t>
        </is>
      </c>
      <c r="N23" s="96" t="inlineStr">
        <is>
          <t>Limiting Factor
(Bottleneck)</t>
        </is>
      </c>
    </row>
    <row r="24" ht="19" customHeight="1">
      <c r="A24" s="97" t="inlineStr">
        <is>
          <t>5S</t>
        </is>
      </c>
      <c r="B24" s="97">
        <f>IF(ISNUMBER(E24), "Available", "N/A")</f>
        <v/>
      </c>
      <c r="C24" s="40">
        <f>IF(ISNUMBER(E24), $I$11, "-")</f>
        <v/>
      </c>
      <c r="D24" s="89">
        <f>IF(ISNUMBER(E24), ROUND(E24/25.4, 3), "-")</f>
        <v/>
      </c>
      <c r="E24" s="40">
        <f>IFERROR(INDEX('3_ASME_Spec_DB'!$E$12:$E$47, MATCH($D$6, '3_ASME_Spec_DB'!$A$12:$A$47, 0)), "-")</f>
        <v/>
      </c>
      <c r="F24" s="40">
        <f>IF(ISNUMBER(E24), ROUND(C24-2*E24, 2), "-")</f>
        <v/>
      </c>
      <c r="G24" s="89">
        <f>IF(ISNUMBER(E24), ROUND((C24-E24)*E24*$I$15, 3), "-")</f>
        <v/>
      </c>
      <c r="H24" s="40">
        <f>IF(ISNUMBER(E24), ROUND(G24*$D$8, 2), "-")</f>
        <v/>
      </c>
      <c r="I24" s="41">
        <f>IF(ISNUMBER(E24), $M$14, "-")</f>
        <v/>
      </c>
      <c r="J24" s="41">
        <f>IF(ISNUMBER(E24), INT(($D$15*1000)/H24), "-")</f>
        <v/>
      </c>
      <c r="K24" s="87">
        <f>IF(ISNUMBER(E24), MIN(I24, J24), "-")</f>
        <v/>
      </c>
      <c r="L24" s="90">
        <f>IF(ISNUMBER(E24), ROUND((K24*H24)/1000, 2), "-")</f>
        <v/>
      </c>
      <c r="M24" s="44">
        <f>IF(ISNUMBER(E24), L24/$D$15, "-")</f>
        <v/>
      </c>
      <c r="N24" s="97">
        <f>IF(NOT(ISNUMBER(E24)), "-", IF(J24&lt;=I24, "Weight Limited", "Volume Limited"))</f>
        <v/>
      </c>
    </row>
    <row r="25" ht="19" customHeight="1">
      <c r="A25" s="98" t="inlineStr">
        <is>
          <t>5</t>
        </is>
      </c>
      <c r="B25" s="98">
        <f>IF(ISNUMBER(E25), "Available", "N/A")</f>
        <v/>
      </c>
      <c r="C25" s="47">
        <f>IF(ISNUMBER(E25), $I$11, "-")</f>
        <v/>
      </c>
      <c r="D25" s="99">
        <f>IF(ISNUMBER(E25), ROUND(E25/25.4, 3), "-")</f>
        <v/>
      </c>
      <c r="E25" s="47">
        <f>IFERROR(INDEX('3_ASME_Spec_DB'!$F$12:$F$47, MATCH($D$6, '3_ASME_Spec_DB'!$A$12:$A$47, 0)), "-")</f>
        <v/>
      </c>
      <c r="F25" s="47">
        <f>IF(ISNUMBER(E25), ROUND(C25-2*E25, 2), "-")</f>
        <v/>
      </c>
      <c r="G25" s="99">
        <f>IF(ISNUMBER(E25), ROUND((C25-E25)*E25*$I$15, 3), "-")</f>
        <v/>
      </c>
      <c r="H25" s="47">
        <f>IF(ISNUMBER(E25), ROUND(G25*$D$8, 2), "-")</f>
        <v/>
      </c>
      <c r="I25" s="48">
        <f>IF(ISNUMBER(E25), $M$14, "-")</f>
        <v/>
      </c>
      <c r="J25" s="48">
        <f>IF(ISNUMBER(E25), INT(($D$15*1000)/H25), "-")</f>
        <v/>
      </c>
      <c r="K25" s="87">
        <f>IF(ISNUMBER(E25), MIN(I25, J25), "-")</f>
        <v/>
      </c>
      <c r="L25" s="90">
        <f>IF(ISNUMBER(E25), ROUND((K25*H25)/1000, 2), "-")</f>
        <v/>
      </c>
      <c r="M25" s="49">
        <f>IF(ISNUMBER(E25), L25/$D$15, "-")</f>
        <v/>
      </c>
      <c r="N25" s="98">
        <f>IF(NOT(ISNUMBER(E25)), "-", IF(J25&lt;=I25, "Weight Limited", "Volume Limited"))</f>
        <v/>
      </c>
    </row>
    <row r="26" ht="19" customHeight="1">
      <c r="A26" s="97" t="inlineStr">
        <is>
          <t>10S</t>
        </is>
      </c>
      <c r="B26" s="97">
        <f>IF(ISNUMBER(E26), "Available", "N/A")</f>
        <v/>
      </c>
      <c r="C26" s="40">
        <f>IF(ISNUMBER(E26), $I$11, "-")</f>
        <v/>
      </c>
      <c r="D26" s="89">
        <f>IF(ISNUMBER(E26), ROUND(E26/25.4, 3), "-")</f>
        <v/>
      </c>
      <c r="E26" s="40">
        <f>IFERROR(INDEX('3_ASME_Spec_DB'!$G$12:$G$47, MATCH($D$6, '3_ASME_Spec_DB'!$A$12:$A$47, 0)), "-")</f>
        <v/>
      </c>
      <c r="F26" s="40">
        <f>IF(ISNUMBER(E26), ROUND(C26-2*E26, 2), "-")</f>
        <v/>
      </c>
      <c r="G26" s="89">
        <f>IF(ISNUMBER(E26), ROUND((C26-E26)*E26*$I$15, 3), "-")</f>
        <v/>
      </c>
      <c r="H26" s="40">
        <f>IF(ISNUMBER(E26), ROUND(G26*$D$8, 2), "-")</f>
        <v/>
      </c>
      <c r="I26" s="41">
        <f>IF(ISNUMBER(E26), $M$14, "-")</f>
        <v/>
      </c>
      <c r="J26" s="41">
        <f>IF(ISNUMBER(E26), INT(($D$15*1000)/H26), "-")</f>
        <v/>
      </c>
      <c r="K26" s="87">
        <f>IF(ISNUMBER(E26), MIN(I26, J26), "-")</f>
        <v/>
      </c>
      <c r="L26" s="90">
        <f>IF(ISNUMBER(E26), ROUND((K26*H26)/1000, 2), "-")</f>
        <v/>
      </c>
      <c r="M26" s="44">
        <f>IF(ISNUMBER(E26), L26/$D$15, "-")</f>
        <v/>
      </c>
      <c r="N26" s="97">
        <f>IF(NOT(ISNUMBER(E26)), "-", IF(J26&lt;=I26, "Weight Limited", "Volume Limited"))</f>
        <v/>
      </c>
    </row>
    <row r="27" ht="19" customHeight="1">
      <c r="A27" s="98" t="inlineStr">
        <is>
          <t>10</t>
        </is>
      </c>
      <c r="B27" s="98">
        <f>IF(ISNUMBER(E27), "Available", "N/A")</f>
        <v/>
      </c>
      <c r="C27" s="47">
        <f>IF(ISNUMBER(E27), $I$11, "-")</f>
        <v/>
      </c>
      <c r="D27" s="99">
        <f>IF(ISNUMBER(E27), ROUND(E27/25.4, 3), "-")</f>
        <v/>
      </c>
      <c r="E27" s="47">
        <f>IFERROR(INDEX('3_ASME_Spec_DB'!$H$12:$H$47, MATCH($D$6, '3_ASME_Spec_DB'!$A$12:$A$47, 0)), "-")</f>
        <v/>
      </c>
      <c r="F27" s="47">
        <f>IF(ISNUMBER(E27), ROUND(C27-2*E27, 2), "-")</f>
        <v/>
      </c>
      <c r="G27" s="99">
        <f>IF(ISNUMBER(E27), ROUND((C27-E27)*E27*$I$15, 3), "-")</f>
        <v/>
      </c>
      <c r="H27" s="47">
        <f>IF(ISNUMBER(E27), ROUND(G27*$D$8, 2), "-")</f>
        <v/>
      </c>
      <c r="I27" s="48">
        <f>IF(ISNUMBER(E27), $M$14, "-")</f>
        <v/>
      </c>
      <c r="J27" s="48">
        <f>IF(ISNUMBER(E27), INT(($D$15*1000)/H27), "-")</f>
        <v/>
      </c>
      <c r="K27" s="87">
        <f>IF(ISNUMBER(E27), MIN(I27, J27), "-")</f>
        <v/>
      </c>
      <c r="L27" s="90">
        <f>IF(ISNUMBER(E27), ROUND((K27*H27)/1000, 2), "-")</f>
        <v/>
      </c>
      <c r="M27" s="49">
        <f>IF(ISNUMBER(E27), L27/$D$15, "-")</f>
        <v/>
      </c>
      <c r="N27" s="98">
        <f>IF(NOT(ISNUMBER(E27)), "-", IF(J27&lt;=I27, "Weight Limited", "Volume Limited"))</f>
        <v/>
      </c>
    </row>
    <row r="28" ht="19" customHeight="1">
      <c r="A28" s="97" t="inlineStr">
        <is>
          <t>20</t>
        </is>
      </c>
      <c r="B28" s="97">
        <f>IF(ISNUMBER(E28), "Available", "N/A")</f>
        <v/>
      </c>
      <c r="C28" s="40">
        <f>IF(ISNUMBER(E28), $I$11, "-")</f>
        <v/>
      </c>
      <c r="D28" s="89">
        <f>IF(ISNUMBER(E28), ROUND(E28/25.4, 3), "-")</f>
        <v/>
      </c>
      <c r="E28" s="40">
        <f>IFERROR(INDEX('3_ASME_Spec_DB'!$I$12:$I$47, MATCH($D$6, '3_ASME_Spec_DB'!$A$12:$A$47, 0)), "-")</f>
        <v/>
      </c>
      <c r="F28" s="40">
        <f>IF(ISNUMBER(E28), ROUND(C28-2*E28, 2), "-")</f>
        <v/>
      </c>
      <c r="G28" s="89">
        <f>IF(ISNUMBER(E28), ROUND((C28-E28)*E28*$I$15, 3), "-")</f>
        <v/>
      </c>
      <c r="H28" s="40">
        <f>IF(ISNUMBER(E28), ROUND(G28*$D$8, 2), "-")</f>
        <v/>
      </c>
      <c r="I28" s="41">
        <f>IF(ISNUMBER(E28), $M$14, "-")</f>
        <v/>
      </c>
      <c r="J28" s="41">
        <f>IF(ISNUMBER(E28), INT(($D$15*1000)/H28), "-")</f>
        <v/>
      </c>
      <c r="K28" s="87">
        <f>IF(ISNUMBER(E28), MIN(I28, J28), "-")</f>
        <v/>
      </c>
      <c r="L28" s="90">
        <f>IF(ISNUMBER(E28), ROUND((K28*H28)/1000, 2), "-")</f>
        <v/>
      </c>
      <c r="M28" s="44">
        <f>IF(ISNUMBER(E28), L28/$D$15, "-")</f>
        <v/>
      </c>
      <c r="N28" s="97">
        <f>IF(NOT(ISNUMBER(E28)), "-", IF(J28&lt;=I28, "Weight Limited", "Volume Limited"))</f>
        <v/>
      </c>
    </row>
    <row r="29" ht="19" customHeight="1">
      <c r="A29" s="98" t="inlineStr">
        <is>
          <t>30</t>
        </is>
      </c>
      <c r="B29" s="98">
        <f>IF(ISNUMBER(E29), "Available", "N/A")</f>
        <v/>
      </c>
      <c r="C29" s="47">
        <f>IF(ISNUMBER(E29), $I$11, "-")</f>
        <v/>
      </c>
      <c r="D29" s="99">
        <f>IF(ISNUMBER(E29), ROUND(E29/25.4, 3), "-")</f>
        <v/>
      </c>
      <c r="E29" s="47">
        <f>IFERROR(INDEX('3_ASME_Spec_DB'!$J$12:$J$47, MATCH($D$6, '3_ASME_Spec_DB'!$A$12:$A$47, 0)), "-")</f>
        <v/>
      </c>
      <c r="F29" s="47">
        <f>IF(ISNUMBER(E29), ROUND(C29-2*E29, 2), "-")</f>
        <v/>
      </c>
      <c r="G29" s="99">
        <f>IF(ISNUMBER(E29), ROUND((C29-E29)*E29*$I$15, 3), "-")</f>
        <v/>
      </c>
      <c r="H29" s="47">
        <f>IF(ISNUMBER(E29), ROUND(G29*$D$8, 2), "-")</f>
        <v/>
      </c>
      <c r="I29" s="48">
        <f>IF(ISNUMBER(E29), $M$14, "-")</f>
        <v/>
      </c>
      <c r="J29" s="48">
        <f>IF(ISNUMBER(E29), INT(($D$15*1000)/H29), "-")</f>
        <v/>
      </c>
      <c r="K29" s="87">
        <f>IF(ISNUMBER(E29), MIN(I29, J29), "-")</f>
        <v/>
      </c>
      <c r="L29" s="90">
        <f>IF(ISNUMBER(E29), ROUND((K29*H29)/1000, 2), "-")</f>
        <v/>
      </c>
      <c r="M29" s="49">
        <f>IF(ISNUMBER(E29), L29/$D$15, "-")</f>
        <v/>
      </c>
      <c r="N29" s="98">
        <f>IF(NOT(ISNUMBER(E29)), "-", IF(J29&lt;=I29, "Weight Limited", "Volume Limited"))</f>
        <v/>
      </c>
    </row>
    <row r="30" ht="19" customHeight="1">
      <c r="A30" s="97" t="inlineStr">
        <is>
          <t>40S</t>
        </is>
      </c>
      <c r="B30" s="97">
        <f>IF(ISNUMBER(E30), "Available", "N/A")</f>
        <v/>
      </c>
      <c r="C30" s="40">
        <f>IF(ISNUMBER(E30), $I$11, "-")</f>
        <v/>
      </c>
      <c r="D30" s="89">
        <f>IF(ISNUMBER(E30), ROUND(E30/25.4, 3), "-")</f>
        <v/>
      </c>
      <c r="E30" s="40">
        <f>IFERROR(INDEX('3_ASME_Spec_DB'!$K$12:$K$47, MATCH($D$6, '3_ASME_Spec_DB'!$A$12:$A$47, 0)), "-")</f>
        <v/>
      </c>
      <c r="F30" s="40">
        <f>IF(ISNUMBER(E30), ROUND(C30-2*E30, 2), "-")</f>
        <v/>
      </c>
      <c r="G30" s="89">
        <f>IF(ISNUMBER(E30), ROUND((C30-E30)*E30*$I$15, 3), "-")</f>
        <v/>
      </c>
      <c r="H30" s="40">
        <f>IF(ISNUMBER(E30), ROUND(G30*$D$8, 2), "-")</f>
        <v/>
      </c>
      <c r="I30" s="41">
        <f>IF(ISNUMBER(E30), $M$14, "-")</f>
        <v/>
      </c>
      <c r="J30" s="41">
        <f>IF(ISNUMBER(E30), INT(($D$15*1000)/H30), "-")</f>
        <v/>
      </c>
      <c r="K30" s="87">
        <f>IF(ISNUMBER(E30), MIN(I30, J30), "-")</f>
        <v/>
      </c>
      <c r="L30" s="90">
        <f>IF(ISNUMBER(E30), ROUND((K30*H30)/1000, 2), "-")</f>
        <v/>
      </c>
      <c r="M30" s="44">
        <f>IF(ISNUMBER(E30), L30/$D$15, "-")</f>
        <v/>
      </c>
      <c r="N30" s="97">
        <f>IF(NOT(ISNUMBER(E30)), "-", IF(J30&lt;=I30, "Weight Limited", "Volume Limited"))</f>
        <v/>
      </c>
    </row>
    <row r="31" ht="19" customHeight="1">
      <c r="A31" s="98" t="inlineStr">
        <is>
          <t>STD</t>
        </is>
      </c>
      <c r="B31" s="98">
        <f>IF(ISNUMBER(E31), "Available", "N/A")</f>
        <v/>
      </c>
      <c r="C31" s="47">
        <f>IF(ISNUMBER(E31), $I$11, "-")</f>
        <v/>
      </c>
      <c r="D31" s="99">
        <f>IF(ISNUMBER(E31), ROUND(E31/25.4, 3), "-")</f>
        <v/>
      </c>
      <c r="E31" s="47">
        <f>IFERROR(INDEX('3_ASME_Spec_DB'!$L$12:$L$47, MATCH($D$6, '3_ASME_Spec_DB'!$A$12:$A$47, 0)), "-")</f>
        <v/>
      </c>
      <c r="F31" s="47">
        <f>IF(ISNUMBER(E31), ROUND(C31-2*E31, 2), "-")</f>
        <v/>
      </c>
      <c r="G31" s="99">
        <f>IF(ISNUMBER(E31), ROUND((C31-E31)*E31*$I$15, 3), "-")</f>
        <v/>
      </c>
      <c r="H31" s="47">
        <f>IF(ISNUMBER(E31), ROUND(G31*$D$8, 2), "-")</f>
        <v/>
      </c>
      <c r="I31" s="48">
        <f>IF(ISNUMBER(E31), $M$14, "-")</f>
        <v/>
      </c>
      <c r="J31" s="48">
        <f>IF(ISNUMBER(E31), INT(($D$15*1000)/H31), "-")</f>
        <v/>
      </c>
      <c r="K31" s="87">
        <f>IF(ISNUMBER(E31), MIN(I31, J31), "-")</f>
        <v/>
      </c>
      <c r="L31" s="90">
        <f>IF(ISNUMBER(E31), ROUND((K31*H31)/1000, 2), "-")</f>
        <v/>
      </c>
      <c r="M31" s="49">
        <f>IF(ISNUMBER(E31), L31/$D$15, "-")</f>
        <v/>
      </c>
      <c r="N31" s="98">
        <f>IF(NOT(ISNUMBER(E31)), "-", IF(J31&lt;=I31, "Weight Limited", "Volume Limited"))</f>
        <v/>
      </c>
    </row>
    <row r="32" ht="19" customHeight="1">
      <c r="A32" s="97" t="inlineStr">
        <is>
          <t>40</t>
        </is>
      </c>
      <c r="B32" s="97">
        <f>IF(ISNUMBER(E32), "Available", "N/A")</f>
        <v/>
      </c>
      <c r="C32" s="40">
        <f>IF(ISNUMBER(E32), $I$11, "-")</f>
        <v/>
      </c>
      <c r="D32" s="89">
        <f>IF(ISNUMBER(E32), ROUND(E32/25.4, 3), "-")</f>
        <v/>
      </c>
      <c r="E32" s="40">
        <f>IFERROR(INDEX('3_ASME_Spec_DB'!$M$12:$M$47, MATCH($D$6, '3_ASME_Spec_DB'!$A$12:$A$47, 0)), "-")</f>
        <v/>
      </c>
      <c r="F32" s="40">
        <f>IF(ISNUMBER(E32), ROUND(C32-2*E32, 2), "-")</f>
        <v/>
      </c>
      <c r="G32" s="89">
        <f>IF(ISNUMBER(E32), ROUND((C32-E32)*E32*$I$15, 3), "-")</f>
        <v/>
      </c>
      <c r="H32" s="40">
        <f>IF(ISNUMBER(E32), ROUND(G32*$D$8, 2), "-")</f>
        <v/>
      </c>
      <c r="I32" s="41">
        <f>IF(ISNUMBER(E32), $M$14, "-")</f>
        <v/>
      </c>
      <c r="J32" s="41">
        <f>IF(ISNUMBER(E32), INT(($D$15*1000)/H32), "-")</f>
        <v/>
      </c>
      <c r="K32" s="87">
        <f>IF(ISNUMBER(E32), MIN(I32, J32), "-")</f>
        <v/>
      </c>
      <c r="L32" s="90">
        <f>IF(ISNUMBER(E32), ROUND((K32*H32)/1000, 2), "-")</f>
        <v/>
      </c>
      <c r="M32" s="44">
        <f>IF(ISNUMBER(E32), L32/$D$15, "-")</f>
        <v/>
      </c>
      <c r="N32" s="97">
        <f>IF(NOT(ISNUMBER(E32)), "-", IF(J32&lt;=I32, "Weight Limited", "Volume Limited"))</f>
        <v/>
      </c>
    </row>
    <row r="33" ht="19" customHeight="1">
      <c r="A33" s="98" t="inlineStr">
        <is>
          <t>60</t>
        </is>
      </c>
      <c r="B33" s="98">
        <f>IF(ISNUMBER(E33), "Available", "N/A")</f>
        <v/>
      </c>
      <c r="C33" s="47">
        <f>IF(ISNUMBER(E33), $I$11, "-")</f>
        <v/>
      </c>
      <c r="D33" s="99">
        <f>IF(ISNUMBER(E33), ROUND(E33/25.4, 3), "-")</f>
        <v/>
      </c>
      <c r="E33" s="47">
        <f>IFERROR(INDEX('3_ASME_Spec_DB'!$N$12:$N$47, MATCH($D$6, '3_ASME_Spec_DB'!$A$12:$A$47, 0)), "-")</f>
        <v/>
      </c>
      <c r="F33" s="47">
        <f>IF(ISNUMBER(E33), ROUND(C33-2*E33, 2), "-")</f>
        <v/>
      </c>
      <c r="G33" s="99">
        <f>IF(ISNUMBER(E33), ROUND((C33-E33)*E33*$I$15, 3), "-")</f>
        <v/>
      </c>
      <c r="H33" s="47">
        <f>IF(ISNUMBER(E33), ROUND(G33*$D$8, 2), "-")</f>
        <v/>
      </c>
      <c r="I33" s="48">
        <f>IF(ISNUMBER(E33), $M$14, "-")</f>
        <v/>
      </c>
      <c r="J33" s="48">
        <f>IF(ISNUMBER(E33), INT(($D$15*1000)/H33), "-")</f>
        <v/>
      </c>
      <c r="K33" s="87">
        <f>IF(ISNUMBER(E33), MIN(I33, J33), "-")</f>
        <v/>
      </c>
      <c r="L33" s="90">
        <f>IF(ISNUMBER(E33), ROUND((K33*H33)/1000, 2), "-")</f>
        <v/>
      </c>
      <c r="M33" s="49">
        <f>IF(ISNUMBER(E33), L33/$D$15, "-")</f>
        <v/>
      </c>
      <c r="N33" s="98">
        <f>IF(NOT(ISNUMBER(E33)), "-", IF(J33&lt;=I33, "Weight Limited", "Volume Limited"))</f>
        <v/>
      </c>
    </row>
    <row r="34" ht="19" customHeight="1">
      <c r="A34" s="97" t="inlineStr">
        <is>
          <t>80S</t>
        </is>
      </c>
      <c r="B34" s="97">
        <f>IF(ISNUMBER(E34), "Available", "N/A")</f>
        <v/>
      </c>
      <c r="C34" s="40">
        <f>IF(ISNUMBER(E34), $I$11, "-")</f>
        <v/>
      </c>
      <c r="D34" s="89">
        <f>IF(ISNUMBER(E34), ROUND(E34/25.4, 3), "-")</f>
        <v/>
      </c>
      <c r="E34" s="40">
        <f>IFERROR(INDEX('3_ASME_Spec_DB'!$O$12:$O$47, MATCH($D$6, '3_ASME_Spec_DB'!$A$12:$A$47, 0)), "-")</f>
        <v/>
      </c>
      <c r="F34" s="40">
        <f>IF(ISNUMBER(E34), ROUND(C34-2*E34, 2), "-")</f>
        <v/>
      </c>
      <c r="G34" s="89">
        <f>IF(ISNUMBER(E34), ROUND((C34-E34)*E34*$I$15, 3), "-")</f>
        <v/>
      </c>
      <c r="H34" s="40">
        <f>IF(ISNUMBER(E34), ROUND(G34*$D$8, 2), "-")</f>
        <v/>
      </c>
      <c r="I34" s="41">
        <f>IF(ISNUMBER(E34), $M$14, "-")</f>
        <v/>
      </c>
      <c r="J34" s="41">
        <f>IF(ISNUMBER(E34), INT(($D$15*1000)/H34), "-")</f>
        <v/>
      </c>
      <c r="K34" s="87">
        <f>IF(ISNUMBER(E34), MIN(I34, J34), "-")</f>
        <v/>
      </c>
      <c r="L34" s="90">
        <f>IF(ISNUMBER(E34), ROUND((K34*H34)/1000, 2), "-")</f>
        <v/>
      </c>
      <c r="M34" s="44">
        <f>IF(ISNUMBER(E34), L34/$D$15, "-")</f>
        <v/>
      </c>
      <c r="N34" s="97">
        <f>IF(NOT(ISNUMBER(E34)), "-", IF(J34&lt;=I34, "Weight Limited", "Volume Limited"))</f>
        <v/>
      </c>
    </row>
    <row r="35" ht="19" customHeight="1">
      <c r="A35" s="98" t="inlineStr">
        <is>
          <t>XS</t>
        </is>
      </c>
      <c r="B35" s="98">
        <f>IF(ISNUMBER(E35), "Available", "N/A")</f>
        <v/>
      </c>
      <c r="C35" s="47">
        <f>IF(ISNUMBER(E35), $I$11, "-")</f>
        <v/>
      </c>
      <c r="D35" s="99">
        <f>IF(ISNUMBER(E35), ROUND(E35/25.4, 3), "-")</f>
        <v/>
      </c>
      <c r="E35" s="47">
        <f>IFERROR(INDEX('3_ASME_Spec_DB'!$P$12:$P$47, MATCH($D$6, '3_ASME_Spec_DB'!$A$12:$A$47, 0)), "-")</f>
        <v/>
      </c>
      <c r="F35" s="47">
        <f>IF(ISNUMBER(E35), ROUND(C35-2*E35, 2), "-")</f>
        <v/>
      </c>
      <c r="G35" s="99">
        <f>IF(ISNUMBER(E35), ROUND((C35-E35)*E35*$I$15, 3), "-")</f>
        <v/>
      </c>
      <c r="H35" s="47">
        <f>IF(ISNUMBER(E35), ROUND(G35*$D$8, 2), "-")</f>
        <v/>
      </c>
      <c r="I35" s="48">
        <f>IF(ISNUMBER(E35), $M$14, "-")</f>
        <v/>
      </c>
      <c r="J35" s="48">
        <f>IF(ISNUMBER(E35), INT(($D$15*1000)/H35), "-")</f>
        <v/>
      </c>
      <c r="K35" s="87">
        <f>IF(ISNUMBER(E35), MIN(I35, J35), "-")</f>
        <v/>
      </c>
      <c r="L35" s="90">
        <f>IF(ISNUMBER(E35), ROUND((K35*H35)/1000, 2), "-")</f>
        <v/>
      </c>
      <c r="M35" s="49">
        <f>IF(ISNUMBER(E35), L35/$D$15, "-")</f>
        <v/>
      </c>
      <c r="N35" s="98">
        <f>IF(NOT(ISNUMBER(E35)), "-", IF(J35&lt;=I35, "Weight Limited", "Volume Limited"))</f>
        <v/>
      </c>
    </row>
    <row r="36" ht="19" customHeight="1">
      <c r="A36" s="97" t="inlineStr">
        <is>
          <t>80</t>
        </is>
      </c>
      <c r="B36" s="97">
        <f>IF(ISNUMBER(E36), "Available", "N/A")</f>
        <v/>
      </c>
      <c r="C36" s="40">
        <f>IF(ISNUMBER(E36), $I$11, "-")</f>
        <v/>
      </c>
      <c r="D36" s="89">
        <f>IF(ISNUMBER(E36), ROUND(E36/25.4, 3), "-")</f>
        <v/>
      </c>
      <c r="E36" s="40">
        <f>IFERROR(INDEX('3_ASME_Spec_DB'!$Q$12:$Q$47, MATCH($D$6, '3_ASME_Spec_DB'!$A$12:$A$47, 0)), "-")</f>
        <v/>
      </c>
      <c r="F36" s="40">
        <f>IF(ISNUMBER(E36), ROUND(C36-2*E36, 2), "-")</f>
        <v/>
      </c>
      <c r="G36" s="89">
        <f>IF(ISNUMBER(E36), ROUND((C36-E36)*E36*$I$15, 3), "-")</f>
        <v/>
      </c>
      <c r="H36" s="40">
        <f>IF(ISNUMBER(E36), ROUND(G36*$D$8, 2), "-")</f>
        <v/>
      </c>
      <c r="I36" s="41">
        <f>IF(ISNUMBER(E36), $M$14, "-")</f>
        <v/>
      </c>
      <c r="J36" s="41">
        <f>IF(ISNUMBER(E36), INT(($D$15*1000)/H36), "-")</f>
        <v/>
      </c>
      <c r="K36" s="87">
        <f>IF(ISNUMBER(E36), MIN(I36, J36), "-")</f>
        <v/>
      </c>
      <c r="L36" s="90">
        <f>IF(ISNUMBER(E36), ROUND((K36*H36)/1000, 2), "-")</f>
        <v/>
      </c>
      <c r="M36" s="44">
        <f>IF(ISNUMBER(E36), L36/$D$15, "-")</f>
        <v/>
      </c>
      <c r="N36" s="97">
        <f>IF(NOT(ISNUMBER(E36)), "-", IF(J36&lt;=I36, "Weight Limited", "Volume Limited"))</f>
        <v/>
      </c>
    </row>
    <row r="37" ht="19" customHeight="1">
      <c r="A37" s="98" t="inlineStr">
        <is>
          <t>100</t>
        </is>
      </c>
      <c r="B37" s="98">
        <f>IF(ISNUMBER(E37), "Available", "N/A")</f>
        <v/>
      </c>
      <c r="C37" s="47">
        <f>IF(ISNUMBER(E37), $I$11, "-")</f>
        <v/>
      </c>
      <c r="D37" s="99">
        <f>IF(ISNUMBER(E37), ROUND(E37/25.4, 3), "-")</f>
        <v/>
      </c>
      <c r="E37" s="47">
        <f>IFERROR(INDEX('3_ASME_Spec_DB'!$R$12:$R$47, MATCH($D$6, '3_ASME_Spec_DB'!$A$12:$A$47, 0)), "-")</f>
        <v/>
      </c>
      <c r="F37" s="47">
        <f>IF(ISNUMBER(E37), ROUND(C37-2*E37, 2), "-")</f>
        <v/>
      </c>
      <c r="G37" s="99">
        <f>IF(ISNUMBER(E37), ROUND((C37-E37)*E37*$I$15, 3), "-")</f>
        <v/>
      </c>
      <c r="H37" s="47">
        <f>IF(ISNUMBER(E37), ROUND(G37*$D$8, 2), "-")</f>
        <v/>
      </c>
      <c r="I37" s="48">
        <f>IF(ISNUMBER(E37), $M$14, "-")</f>
        <v/>
      </c>
      <c r="J37" s="48">
        <f>IF(ISNUMBER(E37), INT(($D$15*1000)/H37), "-")</f>
        <v/>
      </c>
      <c r="K37" s="87">
        <f>IF(ISNUMBER(E37), MIN(I37, J37), "-")</f>
        <v/>
      </c>
      <c r="L37" s="90">
        <f>IF(ISNUMBER(E37), ROUND((K37*H37)/1000, 2), "-")</f>
        <v/>
      </c>
      <c r="M37" s="49">
        <f>IF(ISNUMBER(E37), L37/$D$15, "-")</f>
        <v/>
      </c>
      <c r="N37" s="98">
        <f>IF(NOT(ISNUMBER(E37)), "-", IF(J37&lt;=I37, "Weight Limited", "Volume Limited"))</f>
        <v/>
      </c>
    </row>
    <row r="38" ht="19" customHeight="1">
      <c r="A38" s="97" t="inlineStr">
        <is>
          <t>120</t>
        </is>
      </c>
      <c r="B38" s="97">
        <f>IF(ISNUMBER(E38), "Available", "N/A")</f>
        <v/>
      </c>
      <c r="C38" s="40">
        <f>IF(ISNUMBER(E38), $I$11, "-")</f>
        <v/>
      </c>
      <c r="D38" s="89">
        <f>IF(ISNUMBER(E38), ROUND(E38/25.4, 3), "-")</f>
        <v/>
      </c>
      <c r="E38" s="40">
        <f>IFERROR(INDEX('3_ASME_Spec_DB'!$S$12:$S$47, MATCH($D$6, '3_ASME_Spec_DB'!$A$12:$A$47, 0)), "-")</f>
        <v/>
      </c>
      <c r="F38" s="40">
        <f>IF(ISNUMBER(E38), ROUND(C38-2*E38, 2), "-")</f>
        <v/>
      </c>
      <c r="G38" s="89">
        <f>IF(ISNUMBER(E38), ROUND((C38-E38)*E38*$I$15, 3), "-")</f>
        <v/>
      </c>
      <c r="H38" s="40">
        <f>IF(ISNUMBER(E38), ROUND(G38*$D$8, 2), "-")</f>
        <v/>
      </c>
      <c r="I38" s="41">
        <f>IF(ISNUMBER(E38), $M$14, "-")</f>
        <v/>
      </c>
      <c r="J38" s="41">
        <f>IF(ISNUMBER(E38), INT(($D$15*1000)/H38), "-")</f>
        <v/>
      </c>
      <c r="K38" s="87">
        <f>IF(ISNUMBER(E38), MIN(I38, J38), "-")</f>
        <v/>
      </c>
      <c r="L38" s="90">
        <f>IF(ISNUMBER(E38), ROUND((K38*H38)/1000, 2), "-")</f>
        <v/>
      </c>
      <c r="M38" s="44">
        <f>IF(ISNUMBER(E38), L38/$D$15, "-")</f>
        <v/>
      </c>
      <c r="N38" s="97">
        <f>IF(NOT(ISNUMBER(E38)), "-", IF(J38&lt;=I38, "Weight Limited", "Volume Limited"))</f>
        <v/>
      </c>
    </row>
    <row r="39" ht="19" customHeight="1">
      <c r="A39" s="98" t="inlineStr">
        <is>
          <t>140</t>
        </is>
      </c>
      <c r="B39" s="98">
        <f>IF(ISNUMBER(E39), "Available", "N/A")</f>
        <v/>
      </c>
      <c r="C39" s="47">
        <f>IF(ISNUMBER(E39), $I$11, "-")</f>
        <v/>
      </c>
      <c r="D39" s="99">
        <f>IF(ISNUMBER(E39), ROUND(E39/25.4, 3), "-")</f>
        <v/>
      </c>
      <c r="E39" s="47">
        <f>IFERROR(INDEX('3_ASME_Spec_DB'!$T$12:$T$47, MATCH($D$6, '3_ASME_Spec_DB'!$A$12:$A$47, 0)), "-")</f>
        <v/>
      </c>
      <c r="F39" s="47">
        <f>IF(ISNUMBER(E39), ROUND(C39-2*E39, 2), "-")</f>
        <v/>
      </c>
      <c r="G39" s="99">
        <f>IF(ISNUMBER(E39), ROUND((C39-E39)*E39*$I$15, 3), "-")</f>
        <v/>
      </c>
      <c r="H39" s="47">
        <f>IF(ISNUMBER(E39), ROUND(G39*$D$8, 2), "-")</f>
        <v/>
      </c>
      <c r="I39" s="48">
        <f>IF(ISNUMBER(E39), $M$14, "-")</f>
        <v/>
      </c>
      <c r="J39" s="48">
        <f>IF(ISNUMBER(E39), INT(($D$15*1000)/H39), "-")</f>
        <v/>
      </c>
      <c r="K39" s="87">
        <f>IF(ISNUMBER(E39), MIN(I39, J39), "-")</f>
        <v/>
      </c>
      <c r="L39" s="90">
        <f>IF(ISNUMBER(E39), ROUND((K39*H39)/1000, 2), "-")</f>
        <v/>
      </c>
      <c r="M39" s="49">
        <f>IF(ISNUMBER(E39), L39/$D$15, "-")</f>
        <v/>
      </c>
      <c r="N39" s="98">
        <f>IF(NOT(ISNUMBER(E39)), "-", IF(J39&lt;=I39, "Weight Limited", "Volume Limited"))</f>
        <v/>
      </c>
    </row>
    <row r="40" ht="19" customHeight="1">
      <c r="A40" s="97" t="inlineStr">
        <is>
          <t>160</t>
        </is>
      </c>
      <c r="B40" s="97">
        <f>IF(ISNUMBER(E40), "Available", "N/A")</f>
        <v/>
      </c>
      <c r="C40" s="40">
        <f>IF(ISNUMBER(E40), $I$11, "-")</f>
        <v/>
      </c>
      <c r="D40" s="89">
        <f>IF(ISNUMBER(E40), ROUND(E40/25.4, 3), "-")</f>
        <v/>
      </c>
      <c r="E40" s="40">
        <f>IFERROR(INDEX('3_ASME_Spec_DB'!$U$12:$U$47, MATCH($D$6, '3_ASME_Spec_DB'!$A$12:$A$47, 0)), "-")</f>
        <v/>
      </c>
      <c r="F40" s="40">
        <f>IF(ISNUMBER(E40), ROUND(C40-2*E40, 2), "-")</f>
        <v/>
      </c>
      <c r="G40" s="89">
        <f>IF(ISNUMBER(E40), ROUND((C40-E40)*E40*$I$15, 3), "-")</f>
        <v/>
      </c>
      <c r="H40" s="40">
        <f>IF(ISNUMBER(E40), ROUND(G40*$D$8, 2), "-")</f>
        <v/>
      </c>
      <c r="I40" s="41">
        <f>IF(ISNUMBER(E40), $M$14, "-")</f>
        <v/>
      </c>
      <c r="J40" s="41">
        <f>IF(ISNUMBER(E40), INT(($D$15*1000)/H40), "-")</f>
        <v/>
      </c>
      <c r="K40" s="87">
        <f>IF(ISNUMBER(E40), MIN(I40, J40), "-")</f>
        <v/>
      </c>
      <c r="L40" s="90">
        <f>IF(ISNUMBER(E40), ROUND((K40*H40)/1000, 2), "-")</f>
        <v/>
      </c>
      <c r="M40" s="44">
        <f>IF(ISNUMBER(E40), L40/$D$15, "-")</f>
        <v/>
      </c>
      <c r="N40" s="97">
        <f>IF(NOT(ISNUMBER(E40)), "-", IF(J40&lt;=I40, "Weight Limited", "Volume Limited"))</f>
        <v/>
      </c>
    </row>
    <row r="41" ht="19" customHeight="1">
      <c r="A41" s="98" t="inlineStr">
        <is>
          <t>XXS</t>
        </is>
      </c>
      <c r="B41" s="98">
        <f>IF(ISNUMBER(E41), "Available", "N/A")</f>
        <v/>
      </c>
      <c r="C41" s="47">
        <f>IF(ISNUMBER(E41), $I$11, "-")</f>
        <v/>
      </c>
      <c r="D41" s="99">
        <f>IF(ISNUMBER(E41), ROUND(E41/25.4, 3), "-")</f>
        <v/>
      </c>
      <c r="E41" s="47">
        <f>IFERROR(INDEX('3_ASME_Spec_DB'!$V$12:$V$47, MATCH($D$6, '3_ASME_Spec_DB'!$A$12:$A$47, 0)), "-")</f>
        <v/>
      </c>
      <c r="F41" s="47">
        <f>IF(ISNUMBER(E41), ROUND(C41-2*E41, 2), "-")</f>
        <v/>
      </c>
      <c r="G41" s="99">
        <f>IF(ISNUMBER(E41), ROUND((C41-E41)*E41*$I$15, 3), "-")</f>
        <v/>
      </c>
      <c r="H41" s="47">
        <f>IF(ISNUMBER(E41), ROUND(G41*$D$8, 2), "-")</f>
        <v/>
      </c>
      <c r="I41" s="48">
        <f>IF(ISNUMBER(E41), $M$14, "-")</f>
        <v/>
      </c>
      <c r="J41" s="48">
        <f>IF(ISNUMBER(E41), INT(($D$15*1000)/H41), "-")</f>
        <v/>
      </c>
      <c r="K41" s="87">
        <f>IF(ISNUMBER(E41), MIN(I41, J41), "-")</f>
        <v/>
      </c>
      <c r="L41" s="90">
        <f>IF(ISNUMBER(E41), ROUND((K41*H41)/1000, 2), "-")</f>
        <v/>
      </c>
      <c r="M41" s="49">
        <f>IF(ISNUMBER(E41), L41/$D$15, "-")</f>
        <v/>
      </c>
      <c r="N41" s="98">
        <f>IF(NOT(ISNUMBER(E41)), "-", IF(J41&lt;=I41, "Weight Limited", "Volume Limited"))</f>
        <v/>
      </c>
    </row>
  </sheetData>
  <mergeCells count="74">
    <mergeCell ref="K16:L16"/>
    <mergeCell ref="K18:L18"/>
    <mergeCell ref="G12:H12"/>
    <mergeCell ref="I15:J15"/>
    <mergeCell ref="G11:H11"/>
    <mergeCell ref="K15:L15"/>
    <mergeCell ref="A11:E11"/>
    <mergeCell ref="A18:C18"/>
    <mergeCell ref="I11:J11"/>
    <mergeCell ref="J4:L4"/>
    <mergeCell ref="A12:C12"/>
    <mergeCell ref="K10:N10"/>
    <mergeCell ref="G17:H17"/>
    <mergeCell ref="A1:N1"/>
    <mergeCell ref="D6:E6"/>
    <mergeCell ref="K11:L11"/>
    <mergeCell ref="M11:N11"/>
    <mergeCell ref="A5:C5"/>
    <mergeCell ref="I16:J16"/>
    <mergeCell ref="D13:E13"/>
    <mergeCell ref="A8:C8"/>
    <mergeCell ref="A14:C14"/>
    <mergeCell ref="A17:C17"/>
    <mergeCell ref="K13:L13"/>
    <mergeCell ref="G4:I4"/>
    <mergeCell ref="G13:H13"/>
    <mergeCell ref="G18:H18"/>
    <mergeCell ref="D17:E17"/>
    <mergeCell ref="I18:J18"/>
    <mergeCell ref="M13:N13"/>
    <mergeCell ref="G5:I7"/>
    <mergeCell ref="M16:N16"/>
    <mergeCell ref="M7:N7"/>
    <mergeCell ref="D16:E16"/>
    <mergeCell ref="A13:C13"/>
    <mergeCell ref="I12:J12"/>
    <mergeCell ref="D7:E7"/>
    <mergeCell ref="K12:L12"/>
    <mergeCell ref="M12:N12"/>
    <mergeCell ref="M15:N15"/>
    <mergeCell ref="G15:H15"/>
    <mergeCell ref="A2:N2"/>
    <mergeCell ref="A9:C9"/>
    <mergeCell ref="J8:L8"/>
    <mergeCell ref="G14:H14"/>
    <mergeCell ref="M18:N18"/>
    <mergeCell ref="D18:E18"/>
    <mergeCell ref="A15:C15"/>
    <mergeCell ref="M5:N6"/>
    <mergeCell ref="D9:E9"/>
    <mergeCell ref="I14:J14"/>
    <mergeCell ref="M8:N8"/>
    <mergeCell ref="K14:L14"/>
    <mergeCell ref="D12:E12"/>
    <mergeCell ref="G10:J10"/>
    <mergeCell ref="D8:E8"/>
    <mergeCell ref="I17:J17"/>
    <mergeCell ref="K17:L17"/>
    <mergeCell ref="M17:N17"/>
    <mergeCell ref="A4:E4"/>
    <mergeCell ref="J5:L7"/>
    <mergeCell ref="A22:N22"/>
    <mergeCell ref="D15:E15"/>
    <mergeCell ref="G16:H16"/>
    <mergeCell ref="A20:N20"/>
    <mergeCell ref="D5:E5"/>
    <mergeCell ref="A6:C6"/>
    <mergeCell ref="M14:N14"/>
    <mergeCell ref="G8:I8"/>
    <mergeCell ref="D14:E14"/>
    <mergeCell ref="I13:J13"/>
    <mergeCell ref="A7:C7"/>
    <mergeCell ref="M4:N4"/>
    <mergeCell ref="A16:C16"/>
  </mergeCells>
  <conditionalFormatting sqref="B24:B41">
    <cfRule type="cellIs" priority="1" operator="equal" dxfId="2">
      <formula>"Available"</formula>
    </cfRule>
    <cfRule type="cellIs" priority="2" operator="equal" dxfId="3">
      <formula>"N/A"</formula>
    </cfRule>
  </conditionalFormatting>
  <conditionalFormatting sqref="N24:N41">
    <cfRule type="cellIs" priority="3" operator="equal" dxfId="0">
      <formula>"Weight Limited"</formula>
    </cfRule>
    <cfRule type="cellIs" priority="4" operator="equal" dxfId="1">
      <formula>"Volume Limited"</formula>
    </cfRule>
  </conditionalFormatting>
  <dataValidations count="5">
    <dataValidation sqref="D5:E5" showDropDown="0" showInputMessage="0" showErrorMessage="0" allowBlank="0" type="list">
      <formula1>"Carbon Steel (CS),Stainless Steel 304 (SS304),Stainless Steel 316 (SS316)"</formula1>
    </dataValidation>
    <dataValidation sqref="D6:E6" showDropDown="0" showInputMessage="0" showErrorMessage="0" allowBlank="0" type="list">
      <formula1>"1/8'',1/4'',3/8'',1/2'',3/4'',1'',1-1/4'',1-1/2'',2'',2-1/2'',3'',3-1/2'',4'',5'',6'',8'',10'',12'',14'',16'',18'',20'',22'',24'',26'',28'',30'',32'',34'',36'',38'',40'',42'',44'',46'',48''"</formula1>
    </dataValidation>
    <dataValidation sqref="D7:E7" showDropDown="0" showInputMessage="0" showErrorMessage="0" allowBlank="0" type="list">
      <formula1>"5S,5,10S,10,20,30,40S,STD,40,60,80S,XS,80,100,120,140,160,XXS"</formula1>
    </dataValidation>
    <dataValidation sqref="D8:E8" showDropDown="0" showInputMessage="0" showErrorMessage="0" allowBlank="0" type="list">
      <formula1>"5.80,6.00,11.80,12.00"</formula1>
    </dataValidation>
    <dataValidation sqref="D16:E16" showDropDown="0" showInputMessage="0" showErrorMessage="0" allowBlank="0" type="list">
      <formula1>"Staggered (Hexagonal),Square Grid"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17"/>
  <sheetViews>
    <sheetView showGridLines="1" workbookViewId="0">
      <pane xSplit="6" ySplit="10" topLeftCell="G11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20" customWidth="1" min="2" max="2"/>
    <col width="15" customWidth="1" min="3" max="3"/>
    <col width="11" customWidth="1" min="4" max="4"/>
    <col width="10" customWidth="1" min="5" max="5"/>
    <col width="11" customWidth="1" min="6" max="6"/>
    <col width="10" customWidth="1" min="7" max="7"/>
    <col width="11" customWidth="1" min="8" max="8"/>
    <col width="10" customWidth="1" min="9" max="9"/>
    <col width="11" customWidth="1" min="10" max="10"/>
    <col width="14" customWidth="1" min="11" max="11"/>
    <col width="14" customWidth="1" min="12" max="12"/>
    <col width="12" customWidth="1" min="13" max="13"/>
    <col width="12" customWidth="1" min="14" max="14"/>
    <col width="14" customWidth="1" min="15" max="15"/>
    <col width="14" customWidth="1" min="16" max="16"/>
    <col width="16" customWidth="1" min="17" max="17"/>
    <col width="18" customWidth="1" min="18" max="18"/>
    <col width="13" customWidth="1" min="19" max="19"/>
    <col width="13" customWidth="1" min="20" max="20"/>
    <col width="18" customWidth="1" min="21" max="21"/>
  </cols>
  <sheetData>
    <row r="1" ht="30" customHeight="1">
      <c r="A1" s="1" t="inlineStr">
        <is>
          <t>PRECISE PIPE — 40GP CONTAINER LOADING MASTER SELECTABLE TABLE (ALL NPS &amp; SCHEDULES)</t>
        </is>
      </c>
    </row>
    <row r="2" ht="20" customHeight="1">
      <c r="A2" s="2" t="inlineStr">
        <is>
          <t>Use column filter dropdowns (Row 10) to filter by Material (Carbon Steel / Stainless Steel), Nominal Pipe Size (NPS 1/8" to 48"), Pipe Schedule, or Bottleneck Type. Yellow cells (Rows 5-8) are interactive parameters.</t>
        </is>
      </c>
    </row>
    <row r="4" ht="22" customHeight="1">
      <c r="A4" s="25" t="inlineStr">
        <is>
          <t>40GP CONTAINER DIMENSIONS &amp; WEIGHT LIMIT</t>
        </is>
      </c>
      <c r="E4" s="25" t="inlineStr">
        <is>
          <t>EFFECTIVE LOADING SPACE &amp; PIPE LENGTH</t>
        </is>
      </c>
      <c r="I4" s="25" t="inlineStr">
        <is>
          <t>PACKING METHOD &amp; MATERIAL FACTORS</t>
        </is>
      </c>
    </row>
    <row r="5" ht="20" customHeight="1">
      <c r="A5" s="26" t="inlineStr">
        <is>
          <t>40GP Internal Length (m)</t>
        </is>
      </c>
      <c r="B5" s="100" t="n"/>
      <c r="C5" s="28" t="n">
        <v>12.032</v>
      </c>
      <c r="D5" s="100" t="n"/>
      <c r="E5" s="26" t="inlineStr">
        <is>
          <t>Selected Pipe Length (m) [Input]</t>
        </is>
      </c>
      <c r="F5" s="100" t="n"/>
      <c r="G5" s="30" t="n">
        <v>11.8</v>
      </c>
      <c r="H5" s="101" t="n"/>
      <c r="I5" s="26" t="inlineStr">
        <is>
          <t>Lengthwise Tiers in 40GP</t>
        </is>
      </c>
      <c r="J5" s="100" t="n"/>
      <c r="K5" s="32">
        <f>INT(C5/G5)</f>
        <v/>
      </c>
      <c r="L5" s="100" t="n"/>
    </row>
    <row r="6" ht="20" customHeight="1">
      <c r="A6" s="26" t="inlineStr">
        <is>
          <t>40GP Internal Width (mm)</t>
        </is>
      </c>
      <c r="B6" s="100" t="n"/>
      <c r="C6" s="33" t="n">
        <v>2352</v>
      </c>
      <c r="D6" s="100" t="n"/>
      <c r="E6" s="26" t="inlineStr">
        <is>
          <t>Effective Loading Width (mm) [Input]</t>
        </is>
      </c>
      <c r="F6" s="100" t="n"/>
      <c r="G6" s="34" t="n">
        <v>2300</v>
      </c>
      <c r="H6" s="101" t="n"/>
      <c r="I6" s="26" t="inlineStr">
        <is>
          <t>Cross-Section Stacking [Input]</t>
        </is>
      </c>
      <c r="J6" s="100" t="n"/>
      <c r="K6" s="35" t="inlineStr">
        <is>
          <t>Staggered (Hexagonal)</t>
        </is>
      </c>
      <c r="L6" s="101" t="n"/>
    </row>
    <row r="7" ht="20" customHeight="1">
      <c r="A7" s="26" t="inlineStr">
        <is>
          <t>40GP Internal Height (mm)</t>
        </is>
      </c>
      <c r="B7" s="100" t="n"/>
      <c r="C7" s="33" t="n">
        <v>2393</v>
      </c>
      <c r="D7" s="100" t="n"/>
      <c r="E7" s="26" t="inlineStr">
        <is>
          <t>Effective Loading Height (mm) [Input]</t>
        </is>
      </c>
      <c r="F7" s="100" t="n"/>
      <c r="G7" s="34" t="n">
        <v>2280</v>
      </c>
      <c r="H7" s="101" t="n"/>
      <c r="I7" s="26" t="inlineStr">
        <is>
          <t>Carbon Steel Factor C (kg/m)</t>
        </is>
      </c>
      <c r="J7" s="100" t="n"/>
      <c r="K7" s="36">
        <f>'3_ASME_Spec_DB'!D6</f>
        <v/>
      </c>
      <c r="L7" s="100" t="n"/>
    </row>
    <row r="8" ht="20" customHeight="1">
      <c r="A8" s="26" t="inlineStr">
        <is>
          <t>Max Container Payload (MT) [Input]</t>
        </is>
      </c>
      <c r="B8" s="100" t="n"/>
      <c r="C8" s="30" t="n">
        <v>26</v>
      </c>
      <c r="D8" s="101" t="n"/>
      <c r="E8" s="26" t="inlineStr">
        <is>
          <t>Max Container Payload (kg)</t>
        </is>
      </c>
      <c r="F8" s="100" t="n"/>
      <c r="G8" s="33">
        <f>C8*1000</f>
        <v/>
      </c>
      <c r="H8" s="100" t="n"/>
      <c r="I8" s="26" t="inlineStr">
        <is>
          <t>SS304 / SS316 Factor C (kg/m)</t>
        </is>
      </c>
      <c r="J8" s="100" t="n"/>
      <c r="K8" s="36">
        <f>'3_ASME_Spec_DB'!D7</f>
        <v/>
      </c>
      <c r="L8" s="36">
        <f>'3_ASME_Spec_DB'!D8</f>
        <v/>
      </c>
    </row>
    <row r="10" ht="30" customHeight="1">
      <c r="A10" s="9" t="inlineStr">
        <is>
          <t>ID</t>
        </is>
      </c>
      <c r="B10" s="9" t="inlineStr">
        <is>
          <t>Material</t>
        </is>
      </c>
      <c r="C10" s="9" t="inlineStr">
        <is>
          <t>Standard</t>
        </is>
      </c>
      <c r="D10" s="9" t="inlineStr">
        <is>
          <t>NPS (in)</t>
        </is>
      </c>
      <c r="E10" s="9" t="inlineStr">
        <is>
          <t>DN (mm)</t>
        </is>
      </c>
      <c r="F10" s="9" t="inlineStr">
        <is>
          <t>Schedule</t>
        </is>
      </c>
      <c r="G10" s="9" t="inlineStr">
        <is>
          <t>OD (in)</t>
        </is>
      </c>
      <c r="H10" s="9" t="inlineStr">
        <is>
          <t>OD (mm)</t>
        </is>
      </c>
      <c r="I10" s="9" t="inlineStr">
        <is>
          <t>WT (in)</t>
        </is>
      </c>
      <c r="J10" s="9" t="inlineStr">
        <is>
          <t>WT (mm)</t>
        </is>
      </c>
      <c r="K10" s="11" t="inlineStr">
        <is>
          <t>Unit Weight
(kg/m)</t>
        </is>
      </c>
      <c r="L10" s="11" t="inlineStr">
        <is>
          <t>Piece Weight
(kg/pc)</t>
        </is>
      </c>
      <c r="M10" s="11" t="inlineStr">
        <is>
          <t>Horiz. Fit
(pcs/row)</t>
        </is>
      </c>
      <c r="N10" s="11" t="inlineStr">
        <is>
          <t>Vert. Layers
(rows)</t>
        </is>
      </c>
      <c r="O10" s="11" t="inlineStr">
        <is>
          <t>Max Pieces
by Volume</t>
        </is>
      </c>
      <c r="P10" s="11" t="inlineStr">
        <is>
          <t>Max Pieces
by Weight</t>
        </is>
      </c>
      <c r="Q10" s="37" t="inlineStr">
        <is>
          <t>40GP Actual
Pieces (pcs)</t>
        </is>
      </c>
      <c r="R10" s="37" t="inlineStr">
        <is>
          <t>40GP Actual
Metric Tons (MT)</t>
        </is>
      </c>
      <c r="S10" s="11" t="inlineStr">
        <is>
          <t>Payload
Util. (%)</t>
        </is>
      </c>
      <c r="T10" s="11" t="inlineStr">
        <is>
          <t>Space Slot
Util. (%)</t>
        </is>
      </c>
      <c r="U10" s="37" t="inlineStr">
        <is>
          <t>Limiting Factor
(Bottleneck)</t>
        </is>
      </c>
    </row>
    <row r="11" ht="19" customHeight="1">
      <c r="A11" s="38" t="n">
        <v>1</v>
      </c>
      <c r="B11" s="39" t="inlineStr">
        <is>
          <t>Carbon Steel</t>
        </is>
      </c>
      <c r="C11" s="13" t="inlineStr">
        <is>
          <t>ASME B36.10M</t>
        </is>
      </c>
      <c r="D11" s="12" t="inlineStr">
        <is>
          <t>1/8''</t>
        </is>
      </c>
      <c r="E11" s="38" t="n">
        <v>6</v>
      </c>
      <c r="F11" s="12" t="inlineStr">
        <is>
          <t>10</t>
        </is>
      </c>
      <c r="G11" s="14" t="n">
        <v>0.405</v>
      </c>
      <c r="H11" s="40" t="n">
        <v>10.29</v>
      </c>
      <c r="I11" s="14" t="n">
        <v>0.049</v>
      </c>
      <c r="J11" s="40" t="n">
        <v>1.24</v>
      </c>
      <c r="K11" s="14">
        <f>ROUND((H11-J11)*J11*IF(B11="Carbon Steel",$K$7,IF(B11="Stainless Steel 304",$K$8,$L$8)), 3)</f>
        <v/>
      </c>
      <c r="L11" s="40">
        <f>ROUND(K11*$G$5, 2)</f>
        <v/>
      </c>
      <c r="M11" s="38">
        <f>INT($G$6/H11)</f>
        <v/>
      </c>
      <c r="N11" s="38">
        <f>IF(M11=0, 0, IF(OR($K$6="Square Grid", M11=1), INT($G$7/H11), IF($G$7&lt;H11, 0, 1+INT(($G$7-H11)/(0.8660254*H11)))))</f>
        <v/>
      </c>
      <c r="O11" s="41">
        <f>IF(OR(M11=0,N11=0), 0, IF(OR($K$6="Square Grid", M11=1), M11*N11*$K$5, (INT((N11+1)/2)*M11 + INT(N11/2)*IF(($G$6-M11*H11)&gt;=0.5*H11, M11, M11-1))*$K$5))</f>
        <v/>
      </c>
      <c r="P11" s="41">
        <f>IF(L11&lt;=0, 0, INT($G$8/L11))</f>
        <v/>
      </c>
      <c r="Q11" s="42">
        <f>MIN(O11, P11)</f>
        <v/>
      </c>
      <c r="R11" s="43">
        <f>ROUND((Q11*L11)/1000, 2)</f>
        <v/>
      </c>
      <c r="S11" s="44">
        <f>IF($C$8&gt;0, R11/$C$8, 0)</f>
        <v/>
      </c>
      <c r="T11" s="44">
        <f>IF(O11&gt;0, Q11/O11, 0)</f>
        <v/>
      </c>
      <c r="U11" s="12">
        <f>IF(Q11=0, "Exceeds Limit", IF(P11&lt;=O11, "Weight Limited", "Volume Limited"))</f>
        <v/>
      </c>
    </row>
    <row r="12" ht="19" customHeight="1">
      <c r="A12" s="45" t="n">
        <v>2</v>
      </c>
      <c r="B12" s="46" t="inlineStr">
        <is>
          <t>Carbon Steel</t>
        </is>
      </c>
      <c r="C12" s="19" t="inlineStr">
        <is>
          <t>ASME B36.10M</t>
        </is>
      </c>
      <c r="D12" s="18" t="inlineStr">
        <is>
          <t>1/8''</t>
        </is>
      </c>
      <c r="E12" s="45" t="n">
        <v>6</v>
      </c>
      <c r="F12" s="18" t="inlineStr">
        <is>
          <t>30</t>
        </is>
      </c>
      <c r="G12" s="20" t="n">
        <v>0.405</v>
      </c>
      <c r="H12" s="47" t="n">
        <v>10.29</v>
      </c>
      <c r="I12" s="20" t="n">
        <v>0.057</v>
      </c>
      <c r="J12" s="47" t="n">
        <v>1.45</v>
      </c>
      <c r="K12" s="20">
        <f>ROUND((H12-J12)*J12*IF(B12="Carbon Steel",$K$7,IF(B12="Stainless Steel 304",$K$8,$L$8)), 3)</f>
        <v/>
      </c>
      <c r="L12" s="47">
        <f>ROUND(K12*$G$5, 2)</f>
        <v/>
      </c>
      <c r="M12" s="45">
        <f>INT($G$6/H12)</f>
        <v/>
      </c>
      <c r="N12" s="45">
        <f>IF(M12=0, 0, IF(OR($K$6="Square Grid", M12=1), INT($G$7/H12), IF($G$7&lt;H12, 0, 1+INT(($G$7-H12)/(0.8660254*H12)))))</f>
        <v/>
      </c>
      <c r="O12" s="48">
        <f>IF(OR(M12=0,N12=0), 0, IF(OR($K$6="Square Grid", M12=1), M12*N12*$K$5, (INT((N12+1)/2)*M12 + INT(N12/2)*IF(($G$6-M12*H12)&gt;=0.5*H12, M12, M12-1))*$K$5))</f>
        <v/>
      </c>
      <c r="P12" s="48">
        <f>IF(L12&lt;=0, 0, INT($G$8/L12))</f>
        <v/>
      </c>
      <c r="Q12" s="42">
        <f>MIN(O12, P12)</f>
        <v/>
      </c>
      <c r="R12" s="43">
        <f>ROUND((Q12*L12)/1000, 2)</f>
        <v/>
      </c>
      <c r="S12" s="49">
        <f>IF($C$8&gt;0, R12/$C$8, 0)</f>
        <v/>
      </c>
      <c r="T12" s="49">
        <f>IF(O12&gt;0, Q12/O12, 0)</f>
        <v/>
      </c>
      <c r="U12" s="18">
        <f>IF(Q12=0, "Exceeds Limit", IF(P12&lt;=O12, "Weight Limited", "Volume Limited"))</f>
        <v/>
      </c>
    </row>
    <row r="13" ht="19" customHeight="1">
      <c r="A13" s="38" t="n">
        <v>3</v>
      </c>
      <c r="B13" s="39" t="inlineStr">
        <is>
          <t>Carbon Steel</t>
        </is>
      </c>
      <c r="C13" s="13" t="inlineStr">
        <is>
          <t>ASME B36.10M</t>
        </is>
      </c>
      <c r="D13" s="12" t="inlineStr">
        <is>
          <t>1/8''</t>
        </is>
      </c>
      <c r="E13" s="38" t="n">
        <v>6</v>
      </c>
      <c r="F13" s="12" t="inlineStr">
        <is>
          <t>STD</t>
        </is>
      </c>
      <c r="G13" s="14" t="n">
        <v>0.405</v>
      </c>
      <c r="H13" s="40" t="n">
        <v>10.29</v>
      </c>
      <c r="I13" s="14" t="n">
        <v>0.068</v>
      </c>
      <c r="J13" s="40" t="n">
        <v>1.73</v>
      </c>
      <c r="K13" s="14">
        <f>ROUND((H13-J13)*J13*IF(B13="Carbon Steel",$K$7,IF(B13="Stainless Steel 304",$K$8,$L$8)), 3)</f>
        <v/>
      </c>
      <c r="L13" s="40">
        <f>ROUND(K13*$G$5, 2)</f>
        <v/>
      </c>
      <c r="M13" s="38">
        <f>INT($G$6/H13)</f>
        <v/>
      </c>
      <c r="N13" s="38">
        <f>IF(M13=0, 0, IF(OR($K$6="Square Grid", M13=1), INT($G$7/H13), IF($G$7&lt;H13, 0, 1+INT(($G$7-H13)/(0.8660254*H13)))))</f>
        <v/>
      </c>
      <c r="O13" s="41">
        <f>IF(OR(M13=0,N13=0), 0, IF(OR($K$6="Square Grid", M13=1), M13*N13*$K$5, (INT((N13+1)/2)*M13 + INT(N13/2)*IF(($G$6-M13*H13)&gt;=0.5*H13, M13, M13-1))*$K$5))</f>
        <v/>
      </c>
      <c r="P13" s="41">
        <f>IF(L13&lt;=0, 0, INT($G$8/L13))</f>
        <v/>
      </c>
      <c r="Q13" s="42">
        <f>MIN(O13, P13)</f>
        <v/>
      </c>
      <c r="R13" s="43">
        <f>ROUND((Q13*L13)/1000, 2)</f>
        <v/>
      </c>
      <c r="S13" s="44">
        <f>IF($C$8&gt;0, R13/$C$8, 0)</f>
        <v/>
      </c>
      <c r="T13" s="44">
        <f>IF(O13&gt;0, Q13/O13, 0)</f>
        <v/>
      </c>
      <c r="U13" s="12">
        <f>IF(Q13=0, "Exceeds Limit", IF(P13&lt;=O13, "Weight Limited", "Volume Limited"))</f>
        <v/>
      </c>
    </row>
    <row r="14" ht="19" customHeight="1">
      <c r="A14" s="45" t="n">
        <v>4</v>
      </c>
      <c r="B14" s="46" t="inlineStr">
        <is>
          <t>Carbon Steel</t>
        </is>
      </c>
      <c r="C14" s="19" t="inlineStr">
        <is>
          <t>ASME B36.10M</t>
        </is>
      </c>
      <c r="D14" s="18" t="inlineStr">
        <is>
          <t>1/8''</t>
        </is>
      </c>
      <c r="E14" s="45" t="n">
        <v>6</v>
      </c>
      <c r="F14" s="18" t="inlineStr">
        <is>
          <t>40</t>
        </is>
      </c>
      <c r="G14" s="20" t="n">
        <v>0.405</v>
      </c>
      <c r="H14" s="47" t="n">
        <v>10.29</v>
      </c>
      <c r="I14" s="20" t="n">
        <v>0.068</v>
      </c>
      <c r="J14" s="47" t="n">
        <v>1.73</v>
      </c>
      <c r="K14" s="20">
        <f>ROUND((H14-J14)*J14*IF(B14="Carbon Steel",$K$7,IF(B14="Stainless Steel 304",$K$8,$L$8)), 3)</f>
        <v/>
      </c>
      <c r="L14" s="47">
        <f>ROUND(K14*$G$5, 2)</f>
        <v/>
      </c>
      <c r="M14" s="45">
        <f>INT($G$6/H14)</f>
        <v/>
      </c>
      <c r="N14" s="45">
        <f>IF(M14=0, 0, IF(OR($K$6="Square Grid", M14=1), INT($G$7/H14), IF($G$7&lt;H14, 0, 1+INT(($G$7-H14)/(0.8660254*H14)))))</f>
        <v/>
      </c>
      <c r="O14" s="48">
        <f>IF(OR(M14=0,N14=0), 0, IF(OR($K$6="Square Grid", M14=1), M14*N14*$K$5, (INT((N14+1)/2)*M14 + INT(N14/2)*IF(($G$6-M14*H14)&gt;=0.5*H14, M14, M14-1))*$K$5))</f>
        <v/>
      </c>
      <c r="P14" s="48">
        <f>IF(L14&lt;=0, 0, INT($G$8/L14))</f>
        <v/>
      </c>
      <c r="Q14" s="42">
        <f>MIN(O14, P14)</f>
        <v/>
      </c>
      <c r="R14" s="43">
        <f>ROUND((Q14*L14)/1000, 2)</f>
        <v/>
      </c>
      <c r="S14" s="49">
        <f>IF($C$8&gt;0, R14/$C$8, 0)</f>
        <v/>
      </c>
      <c r="T14" s="49">
        <f>IF(O14&gt;0, Q14/O14, 0)</f>
        <v/>
      </c>
      <c r="U14" s="18">
        <f>IF(Q14=0, "Exceeds Limit", IF(P14&lt;=O14, "Weight Limited", "Volume Limited"))</f>
        <v/>
      </c>
    </row>
    <row r="15" ht="19" customHeight="1">
      <c r="A15" s="38" t="n">
        <v>5</v>
      </c>
      <c r="B15" s="39" t="inlineStr">
        <is>
          <t>Carbon Steel</t>
        </is>
      </c>
      <c r="C15" s="13" t="inlineStr">
        <is>
          <t>ASME B36.10M</t>
        </is>
      </c>
      <c r="D15" s="12" t="inlineStr">
        <is>
          <t>1/8''</t>
        </is>
      </c>
      <c r="E15" s="38" t="n">
        <v>6</v>
      </c>
      <c r="F15" s="12" t="inlineStr">
        <is>
          <t>XS</t>
        </is>
      </c>
      <c r="G15" s="14" t="n">
        <v>0.405</v>
      </c>
      <c r="H15" s="40" t="n">
        <v>10.29</v>
      </c>
      <c r="I15" s="14" t="n">
        <v>0.095</v>
      </c>
      <c r="J15" s="40" t="n">
        <v>2.41</v>
      </c>
      <c r="K15" s="14">
        <f>ROUND((H15-J15)*J15*IF(B15="Carbon Steel",$K$7,IF(B15="Stainless Steel 304",$K$8,$L$8)), 3)</f>
        <v/>
      </c>
      <c r="L15" s="40">
        <f>ROUND(K15*$G$5, 2)</f>
        <v/>
      </c>
      <c r="M15" s="38">
        <f>INT($G$6/H15)</f>
        <v/>
      </c>
      <c r="N15" s="38">
        <f>IF(M15=0, 0, IF(OR($K$6="Square Grid", M15=1), INT($G$7/H15), IF($G$7&lt;H15, 0, 1+INT(($G$7-H15)/(0.8660254*H15)))))</f>
        <v/>
      </c>
      <c r="O15" s="41">
        <f>IF(OR(M15=0,N15=0), 0, IF(OR($K$6="Square Grid", M15=1), M15*N15*$K$5, (INT((N15+1)/2)*M15 + INT(N15/2)*IF(($G$6-M15*H15)&gt;=0.5*H15, M15, M15-1))*$K$5))</f>
        <v/>
      </c>
      <c r="P15" s="41">
        <f>IF(L15&lt;=0, 0, INT($G$8/L15))</f>
        <v/>
      </c>
      <c r="Q15" s="42">
        <f>MIN(O15, P15)</f>
        <v/>
      </c>
      <c r="R15" s="43">
        <f>ROUND((Q15*L15)/1000, 2)</f>
        <v/>
      </c>
      <c r="S15" s="44">
        <f>IF($C$8&gt;0, R15/$C$8, 0)</f>
        <v/>
      </c>
      <c r="T15" s="44">
        <f>IF(O15&gt;0, Q15/O15, 0)</f>
        <v/>
      </c>
      <c r="U15" s="12">
        <f>IF(Q15=0, "Exceeds Limit", IF(P15&lt;=O15, "Weight Limited", "Volume Limited"))</f>
        <v/>
      </c>
    </row>
    <row r="16" ht="19" customHeight="1">
      <c r="A16" s="45" t="n">
        <v>6</v>
      </c>
      <c r="B16" s="46" t="inlineStr">
        <is>
          <t>Carbon Steel</t>
        </is>
      </c>
      <c r="C16" s="19" t="inlineStr">
        <is>
          <t>ASME B36.10M</t>
        </is>
      </c>
      <c r="D16" s="18" t="inlineStr">
        <is>
          <t>1/8''</t>
        </is>
      </c>
      <c r="E16" s="45" t="n">
        <v>6</v>
      </c>
      <c r="F16" s="18" t="inlineStr">
        <is>
          <t>80</t>
        </is>
      </c>
      <c r="G16" s="20" t="n">
        <v>0.405</v>
      </c>
      <c r="H16" s="47" t="n">
        <v>10.29</v>
      </c>
      <c r="I16" s="20" t="n">
        <v>0.095</v>
      </c>
      <c r="J16" s="47" t="n">
        <v>2.41</v>
      </c>
      <c r="K16" s="20">
        <f>ROUND((H16-J16)*J16*IF(B16="Carbon Steel",$K$7,IF(B16="Stainless Steel 304",$K$8,$L$8)), 3)</f>
        <v/>
      </c>
      <c r="L16" s="47">
        <f>ROUND(K16*$G$5, 2)</f>
        <v/>
      </c>
      <c r="M16" s="45">
        <f>INT($G$6/H16)</f>
        <v/>
      </c>
      <c r="N16" s="45">
        <f>IF(M16=0, 0, IF(OR($K$6="Square Grid", M16=1), INT($G$7/H16), IF($G$7&lt;H16, 0, 1+INT(($G$7-H16)/(0.8660254*H16)))))</f>
        <v/>
      </c>
      <c r="O16" s="48">
        <f>IF(OR(M16=0,N16=0), 0, IF(OR($K$6="Square Grid", M16=1), M16*N16*$K$5, (INT((N16+1)/2)*M16 + INT(N16/2)*IF(($G$6-M16*H16)&gt;=0.5*H16, M16, M16-1))*$K$5))</f>
        <v/>
      </c>
      <c r="P16" s="48">
        <f>IF(L16&lt;=0, 0, INT($G$8/L16))</f>
        <v/>
      </c>
      <c r="Q16" s="42">
        <f>MIN(O16, P16)</f>
        <v/>
      </c>
      <c r="R16" s="43">
        <f>ROUND((Q16*L16)/1000, 2)</f>
        <v/>
      </c>
      <c r="S16" s="49">
        <f>IF($C$8&gt;0, R16/$C$8, 0)</f>
        <v/>
      </c>
      <c r="T16" s="49">
        <f>IF(O16&gt;0, Q16/O16, 0)</f>
        <v/>
      </c>
      <c r="U16" s="18">
        <f>IF(Q16=0, "Exceeds Limit", IF(P16&lt;=O16, "Weight Limited", "Volume Limited"))</f>
        <v/>
      </c>
    </row>
    <row r="17" ht="19" customHeight="1">
      <c r="A17" s="38" t="n">
        <v>7</v>
      </c>
      <c r="B17" s="39" t="inlineStr">
        <is>
          <t>Carbon Steel</t>
        </is>
      </c>
      <c r="C17" s="13" t="inlineStr">
        <is>
          <t>ASME B36.10M</t>
        </is>
      </c>
      <c r="D17" s="12" t="inlineStr">
        <is>
          <t>1/4''</t>
        </is>
      </c>
      <c r="E17" s="38" t="n">
        <v>8</v>
      </c>
      <c r="F17" s="12" t="inlineStr">
        <is>
          <t>10</t>
        </is>
      </c>
      <c r="G17" s="14" t="n">
        <v>0.54</v>
      </c>
      <c r="H17" s="40" t="n">
        <v>13.72</v>
      </c>
      <c r="I17" s="14" t="n">
        <v>0.065</v>
      </c>
      <c r="J17" s="40" t="n">
        <v>1.65</v>
      </c>
      <c r="K17" s="14">
        <f>ROUND((H17-J17)*J17*IF(B17="Carbon Steel",$K$7,IF(B17="Stainless Steel 304",$K$8,$L$8)), 3)</f>
        <v/>
      </c>
      <c r="L17" s="40">
        <f>ROUND(K17*$G$5, 2)</f>
        <v/>
      </c>
      <c r="M17" s="38">
        <f>INT($G$6/H17)</f>
        <v/>
      </c>
      <c r="N17" s="38">
        <f>IF(M17=0, 0, IF(OR($K$6="Square Grid", M17=1), INT($G$7/H17), IF($G$7&lt;H17, 0, 1+INT(($G$7-H17)/(0.8660254*H17)))))</f>
        <v/>
      </c>
      <c r="O17" s="41">
        <f>IF(OR(M17=0,N17=0), 0, IF(OR($K$6="Square Grid", M17=1), M17*N17*$K$5, (INT((N17+1)/2)*M17 + INT(N17/2)*IF(($G$6-M17*H17)&gt;=0.5*H17, M17, M17-1))*$K$5))</f>
        <v/>
      </c>
      <c r="P17" s="41">
        <f>IF(L17&lt;=0, 0, INT($G$8/L17))</f>
        <v/>
      </c>
      <c r="Q17" s="42">
        <f>MIN(O17, P17)</f>
        <v/>
      </c>
      <c r="R17" s="43">
        <f>ROUND((Q17*L17)/1000, 2)</f>
        <v/>
      </c>
      <c r="S17" s="44">
        <f>IF($C$8&gt;0, R17/$C$8, 0)</f>
        <v/>
      </c>
      <c r="T17" s="44">
        <f>IF(O17&gt;0, Q17/O17, 0)</f>
        <v/>
      </c>
      <c r="U17" s="12">
        <f>IF(Q17=0, "Exceeds Limit", IF(P17&lt;=O17, "Weight Limited", "Volume Limited"))</f>
        <v/>
      </c>
    </row>
    <row r="18" ht="19" customHeight="1">
      <c r="A18" s="45" t="n">
        <v>8</v>
      </c>
      <c r="B18" s="46" t="inlineStr">
        <is>
          <t>Carbon Steel</t>
        </is>
      </c>
      <c r="C18" s="19" t="inlineStr">
        <is>
          <t>ASME B36.10M</t>
        </is>
      </c>
      <c r="D18" s="18" t="inlineStr">
        <is>
          <t>1/4''</t>
        </is>
      </c>
      <c r="E18" s="45" t="n">
        <v>8</v>
      </c>
      <c r="F18" s="18" t="inlineStr">
        <is>
          <t>30</t>
        </is>
      </c>
      <c r="G18" s="20" t="n">
        <v>0.54</v>
      </c>
      <c r="H18" s="47" t="n">
        <v>13.72</v>
      </c>
      <c r="I18" s="20" t="n">
        <v>0.073</v>
      </c>
      <c r="J18" s="47" t="n">
        <v>1.85</v>
      </c>
      <c r="K18" s="20">
        <f>ROUND((H18-J18)*J18*IF(B18="Carbon Steel",$K$7,IF(B18="Stainless Steel 304",$K$8,$L$8)), 3)</f>
        <v/>
      </c>
      <c r="L18" s="47">
        <f>ROUND(K18*$G$5, 2)</f>
        <v/>
      </c>
      <c r="M18" s="45">
        <f>INT($G$6/H18)</f>
        <v/>
      </c>
      <c r="N18" s="45">
        <f>IF(M18=0, 0, IF(OR($K$6="Square Grid", M18=1), INT($G$7/H18), IF($G$7&lt;H18, 0, 1+INT(($G$7-H18)/(0.8660254*H18)))))</f>
        <v/>
      </c>
      <c r="O18" s="48">
        <f>IF(OR(M18=0,N18=0), 0, IF(OR($K$6="Square Grid", M18=1), M18*N18*$K$5, (INT((N18+1)/2)*M18 + INT(N18/2)*IF(($G$6-M18*H18)&gt;=0.5*H18, M18, M18-1))*$K$5))</f>
        <v/>
      </c>
      <c r="P18" s="48">
        <f>IF(L18&lt;=0, 0, INT($G$8/L18))</f>
        <v/>
      </c>
      <c r="Q18" s="42">
        <f>MIN(O18, P18)</f>
        <v/>
      </c>
      <c r="R18" s="43">
        <f>ROUND((Q18*L18)/1000, 2)</f>
        <v/>
      </c>
      <c r="S18" s="49">
        <f>IF($C$8&gt;0, R18/$C$8, 0)</f>
        <v/>
      </c>
      <c r="T18" s="49">
        <f>IF(O18&gt;0, Q18/O18, 0)</f>
        <v/>
      </c>
      <c r="U18" s="18">
        <f>IF(Q18=0, "Exceeds Limit", IF(P18&lt;=O18, "Weight Limited", "Volume Limited"))</f>
        <v/>
      </c>
    </row>
    <row r="19" ht="19" customHeight="1">
      <c r="A19" s="38" t="n">
        <v>9</v>
      </c>
      <c r="B19" s="39" t="inlineStr">
        <is>
          <t>Carbon Steel</t>
        </is>
      </c>
      <c r="C19" s="13" t="inlineStr">
        <is>
          <t>ASME B36.10M</t>
        </is>
      </c>
      <c r="D19" s="12" t="inlineStr">
        <is>
          <t>1/4''</t>
        </is>
      </c>
      <c r="E19" s="38" t="n">
        <v>8</v>
      </c>
      <c r="F19" s="12" t="inlineStr">
        <is>
          <t>STD</t>
        </is>
      </c>
      <c r="G19" s="14" t="n">
        <v>0.54</v>
      </c>
      <c r="H19" s="40" t="n">
        <v>13.72</v>
      </c>
      <c r="I19" s="14" t="n">
        <v>0.08799999999999999</v>
      </c>
      <c r="J19" s="40" t="n">
        <v>2.24</v>
      </c>
      <c r="K19" s="14">
        <f>ROUND((H19-J19)*J19*IF(B19="Carbon Steel",$K$7,IF(B19="Stainless Steel 304",$K$8,$L$8)), 3)</f>
        <v/>
      </c>
      <c r="L19" s="40">
        <f>ROUND(K19*$G$5, 2)</f>
        <v/>
      </c>
      <c r="M19" s="38">
        <f>INT($G$6/H19)</f>
        <v/>
      </c>
      <c r="N19" s="38">
        <f>IF(M19=0, 0, IF(OR($K$6="Square Grid", M19=1), INT($G$7/H19), IF($G$7&lt;H19, 0, 1+INT(($G$7-H19)/(0.8660254*H19)))))</f>
        <v/>
      </c>
      <c r="O19" s="41">
        <f>IF(OR(M19=0,N19=0), 0, IF(OR($K$6="Square Grid", M19=1), M19*N19*$K$5, (INT((N19+1)/2)*M19 + INT(N19/2)*IF(($G$6-M19*H19)&gt;=0.5*H19, M19, M19-1))*$K$5))</f>
        <v/>
      </c>
      <c r="P19" s="41">
        <f>IF(L19&lt;=0, 0, INT($G$8/L19))</f>
        <v/>
      </c>
      <c r="Q19" s="42">
        <f>MIN(O19, P19)</f>
        <v/>
      </c>
      <c r="R19" s="43">
        <f>ROUND((Q19*L19)/1000, 2)</f>
        <v/>
      </c>
      <c r="S19" s="44">
        <f>IF($C$8&gt;0, R19/$C$8, 0)</f>
        <v/>
      </c>
      <c r="T19" s="44">
        <f>IF(O19&gt;0, Q19/O19, 0)</f>
        <v/>
      </c>
      <c r="U19" s="12">
        <f>IF(Q19=0, "Exceeds Limit", IF(P19&lt;=O19, "Weight Limited", "Volume Limited"))</f>
        <v/>
      </c>
    </row>
    <row r="20" ht="19" customHeight="1">
      <c r="A20" s="45" t="n">
        <v>10</v>
      </c>
      <c r="B20" s="46" t="inlineStr">
        <is>
          <t>Carbon Steel</t>
        </is>
      </c>
      <c r="C20" s="19" t="inlineStr">
        <is>
          <t>ASME B36.10M</t>
        </is>
      </c>
      <c r="D20" s="18" t="inlineStr">
        <is>
          <t>1/4''</t>
        </is>
      </c>
      <c r="E20" s="45" t="n">
        <v>8</v>
      </c>
      <c r="F20" s="18" t="inlineStr">
        <is>
          <t>40</t>
        </is>
      </c>
      <c r="G20" s="20" t="n">
        <v>0.54</v>
      </c>
      <c r="H20" s="47" t="n">
        <v>13.72</v>
      </c>
      <c r="I20" s="20" t="n">
        <v>0.08799999999999999</v>
      </c>
      <c r="J20" s="47" t="n">
        <v>2.24</v>
      </c>
      <c r="K20" s="20">
        <f>ROUND((H20-J20)*J20*IF(B20="Carbon Steel",$K$7,IF(B20="Stainless Steel 304",$K$8,$L$8)), 3)</f>
        <v/>
      </c>
      <c r="L20" s="47">
        <f>ROUND(K20*$G$5, 2)</f>
        <v/>
      </c>
      <c r="M20" s="45">
        <f>INT($G$6/H20)</f>
        <v/>
      </c>
      <c r="N20" s="45">
        <f>IF(M20=0, 0, IF(OR($K$6="Square Grid", M20=1), INT($G$7/H20), IF($G$7&lt;H20, 0, 1+INT(($G$7-H20)/(0.8660254*H20)))))</f>
        <v/>
      </c>
      <c r="O20" s="48">
        <f>IF(OR(M20=0,N20=0), 0, IF(OR($K$6="Square Grid", M20=1), M20*N20*$K$5, (INT((N20+1)/2)*M20 + INT(N20/2)*IF(($G$6-M20*H20)&gt;=0.5*H20, M20, M20-1))*$K$5))</f>
        <v/>
      </c>
      <c r="P20" s="48">
        <f>IF(L20&lt;=0, 0, INT($G$8/L20))</f>
        <v/>
      </c>
      <c r="Q20" s="42">
        <f>MIN(O20, P20)</f>
        <v/>
      </c>
      <c r="R20" s="43">
        <f>ROUND((Q20*L20)/1000, 2)</f>
        <v/>
      </c>
      <c r="S20" s="49">
        <f>IF($C$8&gt;0, R20/$C$8, 0)</f>
        <v/>
      </c>
      <c r="T20" s="49">
        <f>IF(O20&gt;0, Q20/O20, 0)</f>
        <v/>
      </c>
      <c r="U20" s="18">
        <f>IF(Q20=0, "Exceeds Limit", IF(P20&lt;=O20, "Weight Limited", "Volume Limited"))</f>
        <v/>
      </c>
    </row>
    <row r="21" ht="19" customHeight="1">
      <c r="A21" s="38" t="n">
        <v>11</v>
      </c>
      <c r="B21" s="39" t="inlineStr">
        <is>
          <t>Carbon Steel</t>
        </is>
      </c>
      <c r="C21" s="13" t="inlineStr">
        <is>
          <t>ASME B36.10M</t>
        </is>
      </c>
      <c r="D21" s="12" t="inlineStr">
        <is>
          <t>1/4''</t>
        </is>
      </c>
      <c r="E21" s="38" t="n">
        <v>8</v>
      </c>
      <c r="F21" s="12" t="inlineStr">
        <is>
          <t>XS</t>
        </is>
      </c>
      <c r="G21" s="14" t="n">
        <v>0.54</v>
      </c>
      <c r="H21" s="40" t="n">
        <v>13.72</v>
      </c>
      <c r="I21" s="14" t="n">
        <v>0.119</v>
      </c>
      <c r="J21" s="40" t="n">
        <v>3.02</v>
      </c>
      <c r="K21" s="14">
        <f>ROUND((H21-J21)*J21*IF(B21="Carbon Steel",$K$7,IF(B21="Stainless Steel 304",$K$8,$L$8)), 3)</f>
        <v/>
      </c>
      <c r="L21" s="40">
        <f>ROUND(K21*$G$5, 2)</f>
        <v/>
      </c>
      <c r="M21" s="38">
        <f>INT($G$6/H21)</f>
        <v/>
      </c>
      <c r="N21" s="38">
        <f>IF(M21=0, 0, IF(OR($K$6="Square Grid", M21=1), INT($G$7/H21), IF($G$7&lt;H21, 0, 1+INT(($G$7-H21)/(0.8660254*H21)))))</f>
        <v/>
      </c>
      <c r="O21" s="41">
        <f>IF(OR(M21=0,N21=0), 0, IF(OR($K$6="Square Grid", M21=1), M21*N21*$K$5, (INT((N21+1)/2)*M21 + INT(N21/2)*IF(($G$6-M21*H21)&gt;=0.5*H21, M21, M21-1))*$K$5))</f>
        <v/>
      </c>
      <c r="P21" s="41">
        <f>IF(L21&lt;=0, 0, INT($G$8/L21))</f>
        <v/>
      </c>
      <c r="Q21" s="42">
        <f>MIN(O21, P21)</f>
        <v/>
      </c>
      <c r="R21" s="43">
        <f>ROUND((Q21*L21)/1000, 2)</f>
        <v/>
      </c>
      <c r="S21" s="44">
        <f>IF($C$8&gt;0, R21/$C$8, 0)</f>
        <v/>
      </c>
      <c r="T21" s="44">
        <f>IF(O21&gt;0, Q21/O21, 0)</f>
        <v/>
      </c>
      <c r="U21" s="12">
        <f>IF(Q21=0, "Exceeds Limit", IF(P21&lt;=O21, "Weight Limited", "Volume Limited"))</f>
        <v/>
      </c>
    </row>
    <row r="22" ht="19" customHeight="1">
      <c r="A22" s="45" t="n">
        <v>12</v>
      </c>
      <c r="B22" s="46" t="inlineStr">
        <is>
          <t>Carbon Steel</t>
        </is>
      </c>
      <c r="C22" s="19" t="inlineStr">
        <is>
          <t>ASME B36.10M</t>
        </is>
      </c>
      <c r="D22" s="18" t="inlineStr">
        <is>
          <t>1/4''</t>
        </is>
      </c>
      <c r="E22" s="45" t="n">
        <v>8</v>
      </c>
      <c r="F22" s="18" t="inlineStr">
        <is>
          <t>80</t>
        </is>
      </c>
      <c r="G22" s="20" t="n">
        <v>0.54</v>
      </c>
      <c r="H22" s="47" t="n">
        <v>13.72</v>
      </c>
      <c r="I22" s="20" t="n">
        <v>0.119</v>
      </c>
      <c r="J22" s="47" t="n">
        <v>3.02</v>
      </c>
      <c r="K22" s="20">
        <f>ROUND((H22-J22)*J22*IF(B22="Carbon Steel",$K$7,IF(B22="Stainless Steel 304",$K$8,$L$8)), 3)</f>
        <v/>
      </c>
      <c r="L22" s="47">
        <f>ROUND(K22*$G$5, 2)</f>
        <v/>
      </c>
      <c r="M22" s="45">
        <f>INT($G$6/H22)</f>
        <v/>
      </c>
      <c r="N22" s="45">
        <f>IF(M22=0, 0, IF(OR($K$6="Square Grid", M22=1), INT($G$7/H22), IF($G$7&lt;H22, 0, 1+INT(($G$7-H22)/(0.8660254*H22)))))</f>
        <v/>
      </c>
      <c r="O22" s="48">
        <f>IF(OR(M22=0,N22=0), 0, IF(OR($K$6="Square Grid", M22=1), M22*N22*$K$5, (INT((N22+1)/2)*M22 + INT(N22/2)*IF(($G$6-M22*H22)&gt;=0.5*H22, M22, M22-1))*$K$5))</f>
        <v/>
      </c>
      <c r="P22" s="48">
        <f>IF(L22&lt;=0, 0, INT($G$8/L22))</f>
        <v/>
      </c>
      <c r="Q22" s="42">
        <f>MIN(O22, P22)</f>
        <v/>
      </c>
      <c r="R22" s="43">
        <f>ROUND((Q22*L22)/1000, 2)</f>
        <v/>
      </c>
      <c r="S22" s="49">
        <f>IF($C$8&gt;0, R22/$C$8, 0)</f>
        <v/>
      </c>
      <c r="T22" s="49">
        <f>IF(O22&gt;0, Q22/O22, 0)</f>
        <v/>
      </c>
      <c r="U22" s="18">
        <f>IF(Q22=0, "Exceeds Limit", IF(P22&lt;=O22, "Weight Limited", "Volume Limited"))</f>
        <v/>
      </c>
    </row>
    <row r="23" ht="19" customHeight="1">
      <c r="A23" s="38" t="n">
        <v>13</v>
      </c>
      <c r="B23" s="39" t="inlineStr">
        <is>
          <t>Carbon Steel</t>
        </is>
      </c>
      <c r="C23" s="13" t="inlineStr">
        <is>
          <t>ASME B36.10M</t>
        </is>
      </c>
      <c r="D23" s="12" t="inlineStr">
        <is>
          <t>3/8''</t>
        </is>
      </c>
      <c r="E23" s="38" t="n">
        <v>10</v>
      </c>
      <c r="F23" s="12" t="inlineStr">
        <is>
          <t>10</t>
        </is>
      </c>
      <c r="G23" s="14" t="n">
        <v>0.675</v>
      </c>
      <c r="H23" s="40" t="n">
        <v>17.14</v>
      </c>
      <c r="I23" s="14" t="n">
        <v>0.065</v>
      </c>
      <c r="J23" s="40" t="n">
        <v>1.65</v>
      </c>
      <c r="K23" s="14">
        <f>ROUND((H23-J23)*J23*IF(B23="Carbon Steel",$K$7,IF(B23="Stainless Steel 304",$K$8,$L$8)), 3)</f>
        <v/>
      </c>
      <c r="L23" s="40">
        <f>ROUND(K23*$G$5, 2)</f>
        <v/>
      </c>
      <c r="M23" s="38">
        <f>INT($G$6/H23)</f>
        <v/>
      </c>
      <c r="N23" s="38">
        <f>IF(M23=0, 0, IF(OR($K$6="Square Grid", M23=1), INT($G$7/H23), IF($G$7&lt;H23, 0, 1+INT(($G$7-H23)/(0.8660254*H23)))))</f>
        <v/>
      </c>
      <c r="O23" s="41">
        <f>IF(OR(M23=0,N23=0), 0, IF(OR($K$6="Square Grid", M23=1), M23*N23*$K$5, (INT((N23+1)/2)*M23 + INT(N23/2)*IF(($G$6-M23*H23)&gt;=0.5*H23, M23, M23-1))*$K$5))</f>
        <v/>
      </c>
      <c r="P23" s="41">
        <f>IF(L23&lt;=0, 0, INT($G$8/L23))</f>
        <v/>
      </c>
      <c r="Q23" s="42">
        <f>MIN(O23, P23)</f>
        <v/>
      </c>
      <c r="R23" s="43">
        <f>ROUND((Q23*L23)/1000, 2)</f>
        <v/>
      </c>
      <c r="S23" s="44">
        <f>IF($C$8&gt;0, R23/$C$8, 0)</f>
        <v/>
      </c>
      <c r="T23" s="44">
        <f>IF(O23&gt;0, Q23/O23, 0)</f>
        <v/>
      </c>
      <c r="U23" s="12">
        <f>IF(Q23=0, "Exceeds Limit", IF(P23&lt;=O23, "Weight Limited", "Volume Limited"))</f>
        <v/>
      </c>
    </row>
    <row r="24" ht="19" customHeight="1">
      <c r="A24" s="45" t="n">
        <v>14</v>
      </c>
      <c r="B24" s="46" t="inlineStr">
        <is>
          <t>Carbon Steel</t>
        </is>
      </c>
      <c r="C24" s="19" t="inlineStr">
        <is>
          <t>ASME B36.10M</t>
        </is>
      </c>
      <c r="D24" s="18" t="inlineStr">
        <is>
          <t>3/8''</t>
        </is>
      </c>
      <c r="E24" s="45" t="n">
        <v>10</v>
      </c>
      <c r="F24" s="18" t="inlineStr">
        <is>
          <t>30</t>
        </is>
      </c>
      <c r="G24" s="20" t="n">
        <v>0.675</v>
      </c>
      <c r="H24" s="47" t="n">
        <v>17.14</v>
      </c>
      <c r="I24" s="20" t="n">
        <v>0.073</v>
      </c>
      <c r="J24" s="47" t="n">
        <v>1.85</v>
      </c>
      <c r="K24" s="20">
        <f>ROUND((H24-J24)*J24*IF(B24="Carbon Steel",$K$7,IF(B24="Stainless Steel 304",$K$8,$L$8)), 3)</f>
        <v/>
      </c>
      <c r="L24" s="47">
        <f>ROUND(K24*$G$5, 2)</f>
        <v/>
      </c>
      <c r="M24" s="45">
        <f>INT($G$6/H24)</f>
        <v/>
      </c>
      <c r="N24" s="45">
        <f>IF(M24=0, 0, IF(OR($K$6="Square Grid", M24=1), INT($G$7/H24), IF($G$7&lt;H24, 0, 1+INT(($G$7-H24)/(0.8660254*H24)))))</f>
        <v/>
      </c>
      <c r="O24" s="48">
        <f>IF(OR(M24=0,N24=0), 0, IF(OR($K$6="Square Grid", M24=1), M24*N24*$K$5, (INT((N24+1)/2)*M24 + INT(N24/2)*IF(($G$6-M24*H24)&gt;=0.5*H24, M24, M24-1))*$K$5))</f>
        <v/>
      </c>
      <c r="P24" s="48">
        <f>IF(L24&lt;=0, 0, INT($G$8/L24))</f>
        <v/>
      </c>
      <c r="Q24" s="42">
        <f>MIN(O24, P24)</f>
        <v/>
      </c>
      <c r="R24" s="43">
        <f>ROUND((Q24*L24)/1000, 2)</f>
        <v/>
      </c>
      <c r="S24" s="49">
        <f>IF($C$8&gt;0, R24/$C$8, 0)</f>
        <v/>
      </c>
      <c r="T24" s="49">
        <f>IF(O24&gt;0, Q24/O24, 0)</f>
        <v/>
      </c>
      <c r="U24" s="18">
        <f>IF(Q24=0, "Exceeds Limit", IF(P24&lt;=O24, "Weight Limited", "Volume Limited"))</f>
        <v/>
      </c>
    </row>
    <row r="25" ht="19" customHeight="1">
      <c r="A25" s="38" t="n">
        <v>15</v>
      </c>
      <c r="B25" s="39" t="inlineStr">
        <is>
          <t>Carbon Steel</t>
        </is>
      </c>
      <c r="C25" s="13" t="inlineStr">
        <is>
          <t>ASME B36.10M</t>
        </is>
      </c>
      <c r="D25" s="12" t="inlineStr">
        <is>
          <t>3/8''</t>
        </is>
      </c>
      <c r="E25" s="38" t="n">
        <v>10</v>
      </c>
      <c r="F25" s="12" t="inlineStr">
        <is>
          <t>STD</t>
        </is>
      </c>
      <c r="G25" s="14" t="n">
        <v>0.675</v>
      </c>
      <c r="H25" s="40" t="n">
        <v>17.14</v>
      </c>
      <c r="I25" s="14" t="n">
        <v>0.091</v>
      </c>
      <c r="J25" s="40" t="n">
        <v>2.31</v>
      </c>
      <c r="K25" s="14">
        <f>ROUND((H25-J25)*J25*IF(B25="Carbon Steel",$K$7,IF(B25="Stainless Steel 304",$K$8,$L$8)), 3)</f>
        <v/>
      </c>
      <c r="L25" s="40">
        <f>ROUND(K25*$G$5, 2)</f>
        <v/>
      </c>
      <c r="M25" s="38">
        <f>INT($G$6/H25)</f>
        <v/>
      </c>
      <c r="N25" s="38">
        <f>IF(M25=0, 0, IF(OR($K$6="Square Grid", M25=1), INT($G$7/H25), IF($G$7&lt;H25, 0, 1+INT(($G$7-H25)/(0.8660254*H25)))))</f>
        <v/>
      </c>
      <c r="O25" s="41">
        <f>IF(OR(M25=0,N25=0), 0, IF(OR($K$6="Square Grid", M25=1), M25*N25*$K$5, (INT((N25+1)/2)*M25 + INT(N25/2)*IF(($G$6-M25*H25)&gt;=0.5*H25, M25, M25-1))*$K$5))</f>
        <v/>
      </c>
      <c r="P25" s="41">
        <f>IF(L25&lt;=0, 0, INT($G$8/L25))</f>
        <v/>
      </c>
      <c r="Q25" s="42">
        <f>MIN(O25, P25)</f>
        <v/>
      </c>
      <c r="R25" s="43">
        <f>ROUND((Q25*L25)/1000, 2)</f>
        <v/>
      </c>
      <c r="S25" s="44">
        <f>IF($C$8&gt;0, R25/$C$8, 0)</f>
        <v/>
      </c>
      <c r="T25" s="44">
        <f>IF(O25&gt;0, Q25/O25, 0)</f>
        <v/>
      </c>
      <c r="U25" s="12">
        <f>IF(Q25=0, "Exceeds Limit", IF(P25&lt;=O25, "Weight Limited", "Volume Limited"))</f>
        <v/>
      </c>
    </row>
    <row r="26" ht="19" customHeight="1">
      <c r="A26" s="45" t="n">
        <v>16</v>
      </c>
      <c r="B26" s="46" t="inlineStr">
        <is>
          <t>Carbon Steel</t>
        </is>
      </c>
      <c r="C26" s="19" t="inlineStr">
        <is>
          <t>ASME B36.10M</t>
        </is>
      </c>
      <c r="D26" s="18" t="inlineStr">
        <is>
          <t>3/8''</t>
        </is>
      </c>
      <c r="E26" s="45" t="n">
        <v>10</v>
      </c>
      <c r="F26" s="18" t="inlineStr">
        <is>
          <t>40</t>
        </is>
      </c>
      <c r="G26" s="20" t="n">
        <v>0.675</v>
      </c>
      <c r="H26" s="47" t="n">
        <v>17.14</v>
      </c>
      <c r="I26" s="20" t="n">
        <v>0.091</v>
      </c>
      <c r="J26" s="47" t="n">
        <v>2.31</v>
      </c>
      <c r="K26" s="20">
        <f>ROUND((H26-J26)*J26*IF(B26="Carbon Steel",$K$7,IF(B26="Stainless Steel 304",$K$8,$L$8)), 3)</f>
        <v/>
      </c>
      <c r="L26" s="47">
        <f>ROUND(K26*$G$5, 2)</f>
        <v/>
      </c>
      <c r="M26" s="45">
        <f>INT($G$6/H26)</f>
        <v/>
      </c>
      <c r="N26" s="45">
        <f>IF(M26=0, 0, IF(OR($K$6="Square Grid", M26=1), INT($G$7/H26), IF($G$7&lt;H26, 0, 1+INT(($G$7-H26)/(0.8660254*H26)))))</f>
        <v/>
      </c>
      <c r="O26" s="48">
        <f>IF(OR(M26=0,N26=0), 0, IF(OR($K$6="Square Grid", M26=1), M26*N26*$K$5, (INT((N26+1)/2)*M26 + INT(N26/2)*IF(($G$6-M26*H26)&gt;=0.5*H26, M26, M26-1))*$K$5))</f>
        <v/>
      </c>
      <c r="P26" s="48">
        <f>IF(L26&lt;=0, 0, INT($G$8/L26))</f>
        <v/>
      </c>
      <c r="Q26" s="42">
        <f>MIN(O26, P26)</f>
        <v/>
      </c>
      <c r="R26" s="43">
        <f>ROUND((Q26*L26)/1000, 2)</f>
        <v/>
      </c>
      <c r="S26" s="49">
        <f>IF($C$8&gt;0, R26/$C$8, 0)</f>
        <v/>
      </c>
      <c r="T26" s="49">
        <f>IF(O26&gt;0, Q26/O26, 0)</f>
        <v/>
      </c>
      <c r="U26" s="18">
        <f>IF(Q26=0, "Exceeds Limit", IF(P26&lt;=O26, "Weight Limited", "Volume Limited"))</f>
        <v/>
      </c>
    </row>
    <row r="27" ht="19" customHeight="1">
      <c r="A27" s="38" t="n">
        <v>17</v>
      </c>
      <c r="B27" s="39" t="inlineStr">
        <is>
          <t>Carbon Steel</t>
        </is>
      </c>
      <c r="C27" s="13" t="inlineStr">
        <is>
          <t>ASME B36.10M</t>
        </is>
      </c>
      <c r="D27" s="12" t="inlineStr">
        <is>
          <t>3/8''</t>
        </is>
      </c>
      <c r="E27" s="38" t="n">
        <v>10</v>
      </c>
      <c r="F27" s="12" t="inlineStr">
        <is>
          <t>XS</t>
        </is>
      </c>
      <c r="G27" s="14" t="n">
        <v>0.675</v>
      </c>
      <c r="H27" s="40" t="n">
        <v>17.14</v>
      </c>
      <c r="I27" s="14" t="n">
        <v>0.126</v>
      </c>
      <c r="J27" s="40" t="n">
        <v>3.2</v>
      </c>
      <c r="K27" s="14">
        <f>ROUND((H27-J27)*J27*IF(B27="Carbon Steel",$K$7,IF(B27="Stainless Steel 304",$K$8,$L$8)), 3)</f>
        <v/>
      </c>
      <c r="L27" s="40">
        <f>ROUND(K27*$G$5, 2)</f>
        <v/>
      </c>
      <c r="M27" s="38">
        <f>INT($G$6/H27)</f>
        <v/>
      </c>
      <c r="N27" s="38">
        <f>IF(M27=0, 0, IF(OR($K$6="Square Grid", M27=1), INT($G$7/H27), IF($G$7&lt;H27, 0, 1+INT(($G$7-H27)/(0.8660254*H27)))))</f>
        <v/>
      </c>
      <c r="O27" s="41">
        <f>IF(OR(M27=0,N27=0), 0, IF(OR($K$6="Square Grid", M27=1), M27*N27*$K$5, (INT((N27+1)/2)*M27 + INT(N27/2)*IF(($G$6-M27*H27)&gt;=0.5*H27, M27, M27-1))*$K$5))</f>
        <v/>
      </c>
      <c r="P27" s="41">
        <f>IF(L27&lt;=0, 0, INT($G$8/L27))</f>
        <v/>
      </c>
      <c r="Q27" s="42">
        <f>MIN(O27, P27)</f>
        <v/>
      </c>
      <c r="R27" s="43">
        <f>ROUND((Q27*L27)/1000, 2)</f>
        <v/>
      </c>
      <c r="S27" s="44">
        <f>IF($C$8&gt;0, R27/$C$8, 0)</f>
        <v/>
      </c>
      <c r="T27" s="44">
        <f>IF(O27&gt;0, Q27/O27, 0)</f>
        <v/>
      </c>
      <c r="U27" s="12">
        <f>IF(Q27=0, "Exceeds Limit", IF(P27&lt;=O27, "Weight Limited", "Volume Limited"))</f>
        <v/>
      </c>
    </row>
    <row r="28" ht="19" customHeight="1">
      <c r="A28" s="45" t="n">
        <v>18</v>
      </c>
      <c r="B28" s="46" t="inlineStr">
        <is>
          <t>Carbon Steel</t>
        </is>
      </c>
      <c r="C28" s="19" t="inlineStr">
        <is>
          <t>ASME B36.10M</t>
        </is>
      </c>
      <c r="D28" s="18" t="inlineStr">
        <is>
          <t>3/8''</t>
        </is>
      </c>
      <c r="E28" s="45" t="n">
        <v>10</v>
      </c>
      <c r="F28" s="18" t="inlineStr">
        <is>
          <t>80</t>
        </is>
      </c>
      <c r="G28" s="20" t="n">
        <v>0.675</v>
      </c>
      <c r="H28" s="47" t="n">
        <v>17.14</v>
      </c>
      <c r="I28" s="20" t="n">
        <v>0.126</v>
      </c>
      <c r="J28" s="47" t="n">
        <v>3.2</v>
      </c>
      <c r="K28" s="20">
        <f>ROUND((H28-J28)*J28*IF(B28="Carbon Steel",$K$7,IF(B28="Stainless Steel 304",$K$8,$L$8)), 3)</f>
        <v/>
      </c>
      <c r="L28" s="47">
        <f>ROUND(K28*$G$5, 2)</f>
        <v/>
      </c>
      <c r="M28" s="45">
        <f>INT($G$6/H28)</f>
        <v/>
      </c>
      <c r="N28" s="45">
        <f>IF(M28=0, 0, IF(OR($K$6="Square Grid", M28=1), INT($G$7/H28), IF($G$7&lt;H28, 0, 1+INT(($G$7-H28)/(0.8660254*H28)))))</f>
        <v/>
      </c>
      <c r="O28" s="48">
        <f>IF(OR(M28=0,N28=0), 0, IF(OR($K$6="Square Grid", M28=1), M28*N28*$K$5, (INT((N28+1)/2)*M28 + INT(N28/2)*IF(($G$6-M28*H28)&gt;=0.5*H28, M28, M28-1))*$K$5))</f>
        <v/>
      </c>
      <c r="P28" s="48">
        <f>IF(L28&lt;=0, 0, INT($G$8/L28))</f>
        <v/>
      </c>
      <c r="Q28" s="42">
        <f>MIN(O28, P28)</f>
        <v/>
      </c>
      <c r="R28" s="43">
        <f>ROUND((Q28*L28)/1000, 2)</f>
        <v/>
      </c>
      <c r="S28" s="49">
        <f>IF($C$8&gt;0, R28/$C$8, 0)</f>
        <v/>
      </c>
      <c r="T28" s="49">
        <f>IF(O28&gt;0, Q28/O28, 0)</f>
        <v/>
      </c>
      <c r="U28" s="18">
        <f>IF(Q28=0, "Exceeds Limit", IF(P28&lt;=O28, "Weight Limited", "Volume Limited"))</f>
        <v/>
      </c>
    </row>
    <row r="29" ht="19" customHeight="1">
      <c r="A29" s="38" t="n">
        <v>19</v>
      </c>
      <c r="B29" s="39" t="inlineStr">
        <is>
          <t>Carbon Steel</t>
        </is>
      </c>
      <c r="C29" s="13" t="inlineStr">
        <is>
          <t>ASME B36.10M</t>
        </is>
      </c>
      <c r="D29" s="12" t="inlineStr">
        <is>
          <t>1/2''</t>
        </is>
      </c>
      <c r="E29" s="38" t="n">
        <v>15</v>
      </c>
      <c r="F29" s="12" t="inlineStr">
        <is>
          <t>5</t>
        </is>
      </c>
      <c r="G29" s="14" t="n">
        <v>0.84</v>
      </c>
      <c r="H29" s="40" t="n">
        <v>21.34</v>
      </c>
      <c r="I29" s="14" t="n">
        <v>0.065</v>
      </c>
      <c r="J29" s="40" t="n">
        <v>1.65</v>
      </c>
      <c r="K29" s="14">
        <f>ROUND((H29-J29)*J29*IF(B29="Carbon Steel",$K$7,IF(B29="Stainless Steel 304",$K$8,$L$8)), 3)</f>
        <v/>
      </c>
      <c r="L29" s="40">
        <f>ROUND(K29*$G$5, 2)</f>
        <v/>
      </c>
      <c r="M29" s="38">
        <f>INT($G$6/H29)</f>
        <v/>
      </c>
      <c r="N29" s="38">
        <f>IF(M29=0, 0, IF(OR($K$6="Square Grid", M29=1), INT($G$7/H29), IF($G$7&lt;H29, 0, 1+INT(($G$7-H29)/(0.8660254*H29)))))</f>
        <v/>
      </c>
      <c r="O29" s="41">
        <f>IF(OR(M29=0,N29=0), 0, IF(OR($K$6="Square Grid", M29=1), M29*N29*$K$5, (INT((N29+1)/2)*M29 + INT(N29/2)*IF(($G$6-M29*H29)&gt;=0.5*H29, M29, M29-1))*$K$5))</f>
        <v/>
      </c>
      <c r="P29" s="41">
        <f>IF(L29&lt;=0, 0, INT($G$8/L29))</f>
        <v/>
      </c>
      <c r="Q29" s="42">
        <f>MIN(O29, P29)</f>
        <v/>
      </c>
      <c r="R29" s="43">
        <f>ROUND((Q29*L29)/1000, 2)</f>
        <v/>
      </c>
      <c r="S29" s="44">
        <f>IF($C$8&gt;0, R29/$C$8, 0)</f>
        <v/>
      </c>
      <c r="T29" s="44">
        <f>IF(O29&gt;0, Q29/O29, 0)</f>
        <v/>
      </c>
      <c r="U29" s="12">
        <f>IF(Q29=0, "Exceeds Limit", IF(P29&lt;=O29, "Weight Limited", "Volume Limited"))</f>
        <v/>
      </c>
    </row>
    <row r="30" ht="19" customHeight="1">
      <c r="A30" s="45" t="n">
        <v>20</v>
      </c>
      <c r="B30" s="46" t="inlineStr">
        <is>
          <t>Carbon Steel</t>
        </is>
      </c>
      <c r="C30" s="19" t="inlineStr">
        <is>
          <t>ASME B36.10M</t>
        </is>
      </c>
      <c r="D30" s="18" t="inlineStr">
        <is>
          <t>1/2''</t>
        </is>
      </c>
      <c r="E30" s="45" t="n">
        <v>15</v>
      </c>
      <c r="F30" s="18" t="inlineStr">
        <is>
          <t>10</t>
        </is>
      </c>
      <c r="G30" s="20" t="n">
        <v>0.84</v>
      </c>
      <c r="H30" s="47" t="n">
        <v>21.34</v>
      </c>
      <c r="I30" s="20" t="n">
        <v>0.083</v>
      </c>
      <c r="J30" s="47" t="n">
        <v>2.11</v>
      </c>
      <c r="K30" s="20">
        <f>ROUND((H30-J30)*J30*IF(B30="Carbon Steel",$K$7,IF(B30="Stainless Steel 304",$K$8,$L$8)), 3)</f>
        <v/>
      </c>
      <c r="L30" s="47">
        <f>ROUND(K30*$G$5, 2)</f>
        <v/>
      </c>
      <c r="M30" s="45">
        <f>INT($G$6/H30)</f>
        <v/>
      </c>
      <c r="N30" s="45">
        <f>IF(M30=0, 0, IF(OR($K$6="Square Grid", M30=1), INT($G$7/H30), IF($G$7&lt;H30, 0, 1+INT(($G$7-H30)/(0.8660254*H30)))))</f>
        <v/>
      </c>
      <c r="O30" s="48">
        <f>IF(OR(M30=0,N30=0), 0, IF(OR($K$6="Square Grid", M30=1), M30*N30*$K$5, (INT((N30+1)/2)*M30 + INT(N30/2)*IF(($G$6-M30*H30)&gt;=0.5*H30, M30, M30-1))*$K$5))</f>
        <v/>
      </c>
      <c r="P30" s="48">
        <f>IF(L30&lt;=0, 0, INT($G$8/L30))</f>
        <v/>
      </c>
      <c r="Q30" s="42">
        <f>MIN(O30, P30)</f>
        <v/>
      </c>
      <c r="R30" s="43">
        <f>ROUND((Q30*L30)/1000, 2)</f>
        <v/>
      </c>
      <c r="S30" s="49">
        <f>IF($C$8&gt;0, R30/$C$8, 0)</f>
        <v/>
      </c>
      <c r="T30" s="49">
        <f>IF(O30&gt;0, Q30/O30, 0)</f>
        <v/>
      </c>
      <c r="U30" s="18">
        <f>IF(Q30=0, "Exceeds Limit", IF(P30&lt;=O30, "Weight Limited", "Volume Limited"))</f>
        <v/>
      </c>
    </row>
    <row r="31" ht="19" customHeight="1">
      <c r="A31" s="38" t="n">
        <v>21</v>
      </c>
      <c r="B31" s="39" t="inlineStr">
        <is>
          <t>Carbon Steel</t>
        </is>
      </c>
      <c r="C31" s="13" t="inlineStr">
        <is>
          <t>ASME B36.10M</t>
        </is>
      </c>
      <c r="D31" s="12" t="inlineStr">
        <is>
          <t>1/2''</t>
        </is>
      </c>
      <c r="E31" s="38" t="n">
        <v>15</v>
      </c>
      <c r="F31" s="12" t="inlineStr">
        <is>
          <t>30</t>
        </is>
      </c>
      <c r="G31" s="14" t="n">
        <v>0.84</v>
      </c>
      <c r="H31" s="40" t="n">
        <v>21.34</v>
      </c>
      <c r="I31" s="14" t="n">
        <v>0.095</v>
      </c>
      <c r="J31" s="40" t="n">
        <v>2.41</v>
      </c>
      <c r="K31" s="14">
        <f>ROUND((H31-J31)*J31*IF(B31="Carbon Steel",$K$7,IF(B31="Stainless Steel 304",$K$8,$L$8)), 3)</f>
        <v/>
      </c>
      <c r="L31" s="40">
        <f>ROUND(K31*$G$5, 2)</f>
        <v/>
      </c>
      <c r="M31" s="38">
        <f>INT($G$6/H31)</f>
        <v/>
      </c>
      <c r="N31" s="38">
        <f>IF(M31=0, 0, IF(OR($K$6="Square Grid", M31=1), INT($G$7/H31), IF($G$7&lt;H31, 0, 1+INT(($G$7-H31)/(0.8660254*H31)))))</f>
        <v/>
      </c>
      <c r="O31" s="41">
        <f>IF(OR(M31=0,N31=0), 0, IF(OR($K$6="Square Grid", M31=1), M31*N31*$K$5, (INT((N31+1)/2)*M31 + INT(N31/2)*IF(($G$6-M31*H31)&gt;=0.5*H31, M31, M31-1))*$K$5))</f>
        <v/>
      </c>
      <c r="P31" s="41">
        <f>IF(L31&lt;=0, 0, INT($G$8/L31))</f>
        <v/>
      </c>
      <c r="Q31" s="42">
        <f>MIN(O31, P31)</f>
        <v/>
      </c>
      <c r="R31" s="43">
        <f>ROUND((Q31*L31)/1000, 2)</f>
        <v/>
      </c>
      <c r="S31" s="44">
        <f>IF($C$8&gt;0, R31/$C$8, 0)</f>
        <v/>
      </c>
      <c r="T31" s="44">
        <f>IF(O31&gt;0, Q31/O31, 0)</f>
        <v/>
      </c>
      <c r="U31" s="12">
        <f>IF(Q31=0, "Exceeds Limit", IF(P31&lt;=O31, "Weight Limited", "Volume Limited"))</f>
        <v/>
      </c>
    </row>
    <row r="32" ht="19" customHeight="1">
      <c r="A32" s="45" t="n">
        <v>22</v>
      </c>
      <c r="B32" s="46" t="inlineStr">
        <is>
          <t>Carbon Steel</t>
        </is>
      </c>
      <c r="C32" s="19" t="inlineStr">
        <is>
          <t>ASME B36.10M</t>
        </is>
      </c>
      <c r="D32" s="18" t="inlineStr">
        <is>
          <t>1/2''</t>
        </is>
      </c>
      <c r="E32" s="45" t="n">
        <v>15</v>
      </c>
      <c r="F32" s="18" t="inlineStr">
        <is>
          <t>STD</t>
        </is>
      </c>
      <c r="G32" s="20" t="n">
        <v>0.84</v>
      </c>
      <c r="H32" s="47" t="n">
        <v>21.34</v>
      </c>
      <c r="I32" s="20" t="n">
        <v>0.109</v>
      </c>
      <c r="J32" s="47" t="n">
        <v>2.77</v>
      </c>
      <c r="K32" s="20">
        <f>ROUND((H32-J32)*J32*IF(B32="Carbon Steel",$K$7,IF(B32="Stainless Steel 304",$K$8,$L$8)), 3)</f>
        <v/>
      </c>
      <c r="L32" s="47">
        <f>ROUND(K32*$G$5, 2)</f>
        <v/>
      </c>
      <c r="M32" s="45">
        <f>INT($G$6/H32)</f>
        <v/>
      </c>
      <c r="N32" s="45">
        <f>IF(M32=0, 0, IF(OR($K$6="Square Grid", M32=1), INT($G$7/H32), IF($G$7&lt;H32, 0, 1+INT(($G$7-H32)/(0.8660254*H32)))))</f>
        <v/>
      </c>
      <c r="O32" s="48">
        <f>IF(OR(M32=0,N32=0), 0, IF(OR($K$6="Square Grid", M32=1), M32*N32*$K$5, (INT((N32+1)/2)*M32 + INT(N32/2)*IF(($G$6-M32*H32)&gt;=0.5*H32, M32, M32-1))*$K$5))</f>
        <v/>
      </c>
      <c r="P32" s="48">
        <f>IF(L32&lt;=0, 0, INT($G$8/L32))</f>
        <v/>
      </c>
      <c r="Q32" s="42">
        <f>MIN(O32, P32)</f>
        <v/>
      </c>
      <c r="R32" s="43">
        <f>ROUND((Q32*L32)/1000, 2)</f>
        <v/>
      </c>
      <c r="S32" s="49">
        <f>IF($C$8&gt;0, R32/$C$8, 0)</f>
        <v/>
      </c>
      <c r="T32" s="49">
        <f>IF(O32&gt;0, Q32/O32, 0)</f>
        <v/>
      </c>
      <c r="U32" s="18">
        <f>IF(Q32=0, "Exceeds Limit", IF(P32&lt;=O32, "Weight Limited", "Volume Limited"))</f>
        <v/>
      </c>
    </row>
    <row r="33" ht="19" customHeight="1">
      <c r="A33" s="38" t="n">
        <v>23</v>
      </c>
      <c r="B33" s="39" t="inlineStr">
        <is>
          <t>Carbon Steel</t>
        </is>
      </c>
      <c r="C33" s="13" t="inlineStr">
        <is>
          <t>ASME B36.10M</t>
        </is>
      </c>
      <c r="D33" s="12" t="inlineStr">
        <is>
          <t>1/2''</t>
        </is>
      </c>
      <c r="E33" s="38" t="n">
        <v>15</v>
      </c>
      <c r="F33" s="12" t="inlineStr">
        <is>
          <t>40</t>
        </is>
      </c>
      <c r="G33" s="14" t="n">
        <v>0.84</v>
      </c>
      <c r="H33" s="40" t="n">
        <v>21.34</v>
      </c>
      <c r="I33" s="14" t="n">
        <v>0.109</v>
      </c>
      <c r="J33" s="40" t="n">
        <v>2.77</v>
      </c>
      <c r="K33" s="14">
        <f>ROUND((H33-J33)*J33*IF(B33="Carbon Steel",$K$7,IF(B33="Stainless Steel 304",$K$8,$L$8)), 3)</f>
        <v/>
      </c>
      <c r="L33" s="40">
        <f>ROUND(K33*$G$5, 2)</f>
        <v/>
      </c>
      <c r="M33" s="38">
        <f>INT($G$6/H33)</f>
        <v/>
      </c>
      <c r="N33" s="38">
        <f>IF(M33=0, 0, IF(OR($K$6="Square Grid", M33=1), INT($G$7/H33), IF($G$7&lt;H33, 0, 1+INT(($G$7-H33)/(0.8660254*H33)))))</f>
        <v/>
      </c>
      <c r="O33" s="41">
        <f>IF(OR(M33=0,N33=0), 0, IF(OR($K$6="Square Grid", M33=1), M33*N33*$K$5, (INT((N33+1)/2)*M33 + INT(N33/2)*IF(($G$6-M33*H33)&gt;=0.5*H33, M33, M33-1))*$K$5))</f>
        <v/>
      </c>
      <c r="P33" s="41">
        <f>IF(L33&lt;=0, 0, INT($G$8/L33))</f>
        <v/>
      </c>
      <c r="Q33" s="42">
        <f>MIN(O33, P33)</f>
        <v/>
      </c>
      <c r="R33" s="43">
        <f>ROUND((Q33*L33)/1000, 2)</f>
        <v/>
      </c>
      <c r="S33" s="44">
        <f>IF($C$8&gt;0, R33/$C$8, 0)</f>
        <v/>
      </c>
      <c r="T33" s="44">
        <f>IF(O33&gt;0, Q33/O33, 0)</f>
        <v/>
      </c>
      <c r="U33" s="12">
        <f>IF(Q33=0, "Exceeds Limit", IF(P33&lt;=O33, "Weight Limited", "Volume Limited"))</f>
        <v/>
      </c>
    </row>
    <row r="34" ht="19" customHeight="1">
      <c r="A34" s="45" t="n">
        <v>24</v>
      </c>
      <c r="B34" s="46" t="inlineStr">
        <is>
          <t>Carbon Steel</t>
        </is>
      </c>
      <c r="C34" s="19" t="inlineStr">
        <is>
          <t>ASME B36.10M</t>
        </is>
      </c>
      <c r="D34" s="18" t="inlineStr">
        <is>
          <t>1/2''</t>
        </is>
      </c>
      <c r="E34" s="45" t="n">
        <v>15</v>
      </c>
      <c r="F34" s="18" t="inlineStr">
        <is>
          <t>XS</t>
        </is>
      </c>
      <c r="G34" s="20" t="n">
        <v>0.84</v>
      </c>
      <c r="H34" s="47" t="n">
        <v>21.34</v>
      </c>
      <c r="I34" s="20" t="n">
        <v>0.147</v>
      </c>
      <c r="J34" s="47" t="n">
        <v>3.73</v>
      </c>
      <c r="K34" s="20">
        <f>ROUND((H34-J34)*J34*IF(B34="Carbon Steel",$K$7,IF(B34="Stainless Steel 304",$K$8,$L$8)), 3)</f>
        <v/>
      </c>
      <c r="L34" s="47">
        <f>ROUND(K34*$G$5, 2)</f>
        <v/>
      </c>
      <c r="M34" s="45">
        <f>INT($G$6/H34)</f>
        <v/>
      </c>
      <c r="N34" s="45">
        <f>IF(M34=0, 0, IF(OR($K$6="Square Grid", M34=1), INT($G$7/H34), IF($G$7&lt;H34, 0, 1+INT(($G$7-H34)/(0.8660254*H34)))))</f>
        <v/>
      </c>
      <c r="O34" s="48">
        <f>IF(OR(M34=0,N34=0), 0, IF(OR($K$6="Square Grid", M34=1), M34*N34*$K$5, (INT((N34+1)/2)*M34 + INT(N34/2)*IF(($G$6-M34*H34)&gt;=0.5*H34, M34, M34-1))*$K$5))</f>
        <v/>
      </c>
      <c r="P34" s="48">
        <f>IF(L34&lt;=0, 0, INT($G$8/L34))</f>
        <v/>
      </c>
      <c r="Q34" s="42">
        <f>MIN(O34, P34)</f>
        <v/>
      </c>
      <c r="R34" s="43">
        <f>ROUND((Q34*L34)/1000, 2)</f>
        <v/>
      </c>
      <c r="S34" s="49">
        <f>IF($C$8&gt;0, R34/$C$8, 0)</f>
        <v/>
      </c>
      <c r="T34" s="49">
        <f>IF(O34&gt;0, Q34/O34, 0)</f>
        <v/>
      </c>
      <c r="U34" s="18">
        <f>IF(Q34=0, "Exceeds Limit", IF(P34&lt;=O34, "Weight Limited", "Volume Limited"))</f>
        <v/>
      </c>
    </row>
    <row r="35" ht="19" customHeight="1">
      <c r="A35" s="38" t="n">
        <v>25</v>
      </c>
      <c r="B35" s="39" t="inlineStr">
        <is>
          <t>Carbon Steel</t>
        </is>
      </c>
      <c r="C35" s="13" t="inlineStr">
        <is>
          <t>ASME B36.10M</t>
        </is>
      </c>
      <c r="D35" s="12" t="inlineStr">
        <is>
          <t>1/2''</t>
        </is>
      </c>
      <c r="E35" s="38" t="n">
        <v>15</v>
      </c>
      <c r="F35" s="12" t="inlineStr">
        <is>
          <t>80</t>
        </is>
      </c>
      <c r="G35" s="14" t="n">
        <v>0.84</v>
      </c>
      <c r="H35" s="40" t="n">
        <v>21.34</v>
      </c>
      <c r="I35" s="14" t="n">
        <v>0.147</v>
      </c>
      <c r="J35" s="40" t="n">
        <v>3.73</v>
      </c>
      <c r="K35" s="14">
        <f>ROUND((H35-J35)*J35*IF(B35="Carbon Steel",$K$7,IF(B35="Stainless Steel 304",$K$8,$L$8)), 3)</f>
        <v/>
      </c>
      <c r="L35" s="40">
        <f>ROUND(K35*$G$5, 2)</f>
        <v/>
      </c>
      <c r="M35" s="38">
        <f>INT($G$6/H35)</f>
        <v/>
      </c>
      <c r="N35" s="38">
        <f>IF(M35=0, 0, IF(OR($K$6="Square Grid", M35=1), INT($G$7/H35), IF($G$7&lt;H35, 0, 1+INT(($G$7-H35)/(0.8660254*H35)))))</f>
        <v/>
      </c>
      <c r="O35" s="41">
        <f>IF(OR(M35=0,N35=0), 0, IF(OR($K$6="Square Grid", M35=1), M35*N35*$K$5, (INT((N35+1)/2)*M35 + INT(N35/2)*IF(($G$6-M35*H35)&gt;=0.5*H35, M35, M35-1))*$K$5))</f>
        <v/>
      </c>
      <c r="P35" s="41">
        <f>IF(L35&lt;=0, 0, INT($G$8/L35))</f>
        <v/>
      </c>
      <c r="Q35" s="42">
        <f>MIN(O35, P35)</f>
        <v/>
      </c>
      <c r="R35" s="43">
        <f>ROUND((Q35*L35)/1000, 2)</f>
        <v/>
      </c>
      <c r="S35" s="44">
        <f>IF($C$8&gt;0, R35/$C$8, 0)</f>
        <v/>
      </c>
      <c r="T35" s="44">
        <f>IF(O35&gt;0, Q35/O35, 0)</f>
        <v/>
      </c>
      <c r="U35" s="12">
        <f>IF(Q35=0, "Exceeds Limit", IF(P35&lt;=O35, "Weight Limited", "Volume Limited"))</f>
        <v/>
      </c>
    </row>
    <row r="36" ht="19" customHeight="1">
      <c r="A36" s="45" t="n">
        <v>26</v>
      </c>
      <c r="B36" s="46" t="inlineStr">
        <is>
          <t>Carbon Steel</t>
        </is>
      </c>
      <c r="C36" s="19" t="inlineStr">
        <is>
          <t>ASME B36.10M</t>
        </is>
      </c>
      <c r="D36" s="18" t="inlineStr">
        <is>
          <t>1/2''</t>
        </is>
      </c>
      <c r="E36" s="45" t="n">
        <v>15</v>
      </c>
      <c r="F36" s="18" t="inlineStr">
        <is>
          <t>160</t>
        </is>
      </c>
      <c r="G36" s="20" t="n">
        <v>0.84</v>
      </c>
      <c r="H36" s="47" t="n">
        <v>21.34</v>
      </c>
      <c r="I36" s="20" t="n">
        <v>0.188</v>
      </c>
      <c r="J36" s="47" t="n">
        <v>4.78</v>
      </c>
      <c r="K36" s="20">
        <f>ROUND((H36-J36)*J36*IF(B36="Carbon Steel",$K$7,IF(B36="Stainless Steel 304",$K$8,$L$8)), 3)</f>
        <v/>
      </c>
      <c r="L36" s="47">
        <f>ROUND(K36*$G$5, 2)</f>
        <v/>
      </c>
      <c r="M36" s="45">
        <f>INT($G$6/H36)</f>
        <v/>
      </c>
      <c r="N36" s="45">
        <f>IF(M36=0, 0, IF(OR($K$6="Square Grid", M36=1), INT($G$7/H36), IF($G$7&lt;H36, 0, 1+INT(($G$7-H36)/(0.8660254*H36)))))</f>
        <v/>
      </c>
      <c r="O36" s="48">
        <f>IF(OR(M36=0,N36=0), 0, IF(OR($K$6="Square Grid", M36=1), M36*N36*$K$5, (INT((N36+1)/2)*M36 + INT(N36/2)*IF(($G$6-M36*H36)&gt;=0.5*H36, M36, M36-1))*$K$5))</f>
        <v/>
      </c>
      <c r="P36" s="48">
        <f>IF(L36&lt;=0, 0, INT($G$8/L36))</f>
        <v/>
      </c>
      <c r="Q36" s="42">
        <f>MIN(O36, P36)</f>
        <v/>
      </c>
      <c r="R36" s="43">
        <f>ROUND((Q36*L36)/1000, 2)</f>
        <v/>
      </c>
      <c r="S36" s="49">
        <f>IF($C$8&gt;0, R36/$C$8, 0)</f>
        <v/>
      </c>
      <c r="T36" s="49">
        <f>IF(O36&gt;0, Q36/O36, 0)</f>
        <v/>
      </c>
      <c r="U36" s="18">
        <f>IF(Q36=0, "Exceeds Limit", IF(P36&lt;=O36, "Weight Limited", "Volume Limited"))</f>
        <v/>
      </c>
    </row>
    <row r="37" ht="19" customHeight="1">
      <c r="A37" s="38" t="n">
        <v>27</v>
      </c>
      <c r="B37" s="39" t="inlineStr">
        <is>
          <t>Carbon Steel</t>
        </is>
      </c>
      <c r="C37" s="13" t="inlineStr">
        <is>
          <t>ASME B36.10M</t>
        </is>
      </c>
      <c r="D37" s="12" t="inlineStr">
        <is>
          <t>1/2''</t>
        </is>
      </c>
      <c r="E37" s="38" t="n">
        <v>15</v>
      </c>
      <c r="F37" s="12" t="inlineStr">
        <is>
          <t>XXS</t>
        </is>
      </c>
      <c r="G37" s="14" t="n">
        <v>0.84</v>
      </c>
      <c r="H37" s="40" t="n">
        <v>21.34</v>
      </c>
      <c r="I37" s="14" t="n">
        <v>0.294</v>
      </c>
      <c r="J37" s="40" t="n">
        <v>7.47</v>
      </c>
      <c r="K37" s="14">
        <f>ROUND((H37-J37)*J37*IF(B37="Carbon Steel",$K$7,IF(B37="Stainless Steel 304",$K$8,$L$8)), 3)</f>
        <v/>
      </c>
      <c r="L37" s="40">
        <f>ROUND(K37*$G$5, 2)</f>
        <v/>
      </c>
      <c r="M37" s="38">
        <f>INT($G$6/H37)</f>
        <v/>
      </c>
      <c r="N37" s="38">
        <f>IF(M37=0, 0, IF(OR($K$6="Square Grid", M37=1), INT($G$7/H37), IF($G$7&lt;H37, 0, 1+INT(($G$7-H37)/(0.8660254*H37)))))</f>
        <v/>
      </c>
      <c r="O37" s="41">
        <f>IF(OR(M37=0,N37=0), 0, IF(OR($K$6="Square Grid", M37=1), M37*N37*$K$5, (INT((N37+1)/2)*M37 + INT(N37/2)*IF(($G$6-M37*H37)&gt;=0.5*H37, M37, M37-1))*$K$5))</f>
        <v/>
      </c>
      <c r="P37" s="41">
        <f>IF(L37&lt;=0, 0, INT($G$8/L37))</f>
        <v/>
      </c>
      <c r="Q37" s="42">
        <f>MIN(O37, P37)</f>
        <v/>
      </c>
      <c r="R37" s="43">
        <f>ROUND((Q37*L37)/1000, 2)</f>
        <v/>
      </c>
      <c r="S37" s="44">
        <f>IF($C$8&gt;0, R37/$C$8, 0)</f>
        <v/>
      </c>
      <c r="T37" s="44">
        <f>IF(O37&gt;0, Q37/O37, 0)</f>
        <v/>
      </c>
      <c r="U37" s="12">
        <f>IF(Q37=0, "Exceeds Limit", IF(P37&lt;=O37, "Weight Limited", "Volume Limited"))</f>
        <v/>
      </c>
    </row>
    <row r="38" ht="19" customHeight="1">
      <c r="A38" s="45" t="n">
        <v>28</v>
      </c>
      <c r="B38" s="46" t="inlineStr">
        <is>
          <t>Carbon Steel</t>
        </is>
      </c>
      <c r="C38" s="19" t="inlineStr">
        <is>
          <t>ASME B36.10M</t>
        </is>
      </c>
      <c r="D38" s="18" t="inlineStr">
        <is>
          <t>3/4''</t>
        </is>
      </c>
      <c r="E38" s="45" t="n">
        <v>20</v>
      </c>
      <c r="F38" s="18" t="inlineStr">
        <is>
          <t>5</t>
        </is>
      </c>
      <c r="G38" s="20" t="n">
        <v>1.05</v>
      </c>
      <c r="H38" s="47" t="n">
        <v>26.67</v>
      </c>
      <c r="I38" s="20" t="n">
        <v>0.065</v>
      </c>
      <c r="J38" s="47" t="n">
        <v>1.65</v>
      </c>
      <c r="K38" s="20">
        <f>ROUND((H38-J38)*J38*IF(B38="Carbon Steel",$K$7,IF(B38="Stainless Steel 304",$K$8,$L$8)), 3)</f>
        <v/>
      </c>
      <c r="L38" s="47">
        <f>ROUND(K38*$G$5, 2)</f>
        <v/>
      </c>
      <c r="M38" s="45">
        <f>INT($G$6/H38)</f>
        <v/>
      </c>
      <c r="N38" s="45">
        <f>IF(M38=0, 0, IF(OR($K$6="Square Grid", M38=1), INT($G$7/H38), IF($G$7&lt;H38, 0, 1+INT(($G$7-H38)/(0.8660254*H38)))))</f>
        <v/>
      </c>
      <c r="O38" s="48">
        <f>IF(OR(M38=0,N38=0), 0, IF(OR($K$6="Square Grid", M38=1), M38*N38*$K$5, (INT((N38+1)/2)*M38 + INT(N38/2)*IF(($G$6-M38*H38)&gt;=0.5*H38, M38, M38-1))*$K$5))</f>
        <v/>
      </c>
      <c r="P38" s="48">
        <f>IF(L38&lt;=0, 0, INT($G$8/L38))</f>
        <v/>
      </c>
      <c r="Q38" s="42">
        <f>MIN(O38, P38)</f>
        <v/>
      </c>
      <c r="R38" s="43">
        <f>ROUND((Q38*L38)/1000, 2)</f>
        <v/>
      </c>
      <c r="S38" s="49">
        <f>IF($C$8&gt;0, R38/$C$8, 0)</f>
        <v/>
      </c>
      <c r="T38" s="49">
        <f>IF(O38&gt;0, Q38/O38, 0)</f>
        <v/>
      </c>
      <c r="U38" s="18">
        <f>IF(Q38=0, "Exceeds Limit", IF(P38&lt;=O38, "Weight Limited", "Volume Limited"))</f>
        <v/>
      </c>
    </row>
    <row r="39" ht="19" customHeight="1">
      <c r="A39" s="38" t="n">
        <v>29</v>
      </c>
      <c r="B39" s="39" t="inlineStr">
        <is>
          <t>Carbon Steel</t>
        </is>
      </c>
      <c r="C39" s="13" t="inlineStr">
        <is>
          <t>ASME B36.10M</t>
        </is>
      </c>
      <c r="D39" s="12" t="inlineStr">
        <is>
          <t>3/4''</t>
        </is>
      </c>
      <c r="E39" s="38" t="n">
        <v>20</v>
      </c>
      <c r="F39" s="12" t="inlineStr">
        <is>
          <t>10</t>
        </is>
      </c>
      <c r="G39" s="14" t="n">
        <v>1.05</v>
      </c>
      <c r="H39" s="40" t="n">
        <v>26.67</v>
      </c>
      <c r="I39" s="14" t="n">
        <v>0.083</v>
      </c>
      <c r="J39" s="40" t="n">
        <v>2.11</v>
      </c>
      <c r="K39" s="14">
        <f>ROUND((H39-J39)*J39*IF(B39="Carbon Steel",$K$7,IF(B39="Stainless Steel 304",$K$8,$L$8)), 3)</f>
        <v/>
      </c>
      <c r="L39" s="40">
        <f>ROUND(K39*$G$5, 2)</f>
        <v/>
      </c>
      <c r="M39" s="38">
        <f>INT($G$6/H39)</f>
        <v/>
      </c>
      <c r="N39" s="38">
        <f>IF(M39=0, 0, IF(OR($K$6="Square Grid", M39=1), INT($G$7/H39), IF($G$7&lt;H39, 0, 1+INT(($G$7-H39)/(0.8660254*H39)))))</f>
        <v/>
      </c>
      <c r="O39" s="41">
        <f>IF(OR(M39=0,N39=0), 0, IF(OR($K$6="Square Grid", M39=1), M39*N39*$K$5, (INT((N39+1)/2)*M39 + INT(N39/2)*IF(($G$6-M39*H39)&gt;=0.5*H39, M39, M39-1))*$K$5))</f>
        <v/>
      </c>
      <c r="P39" s="41">
        <f>IF(L39&lt;=0, 0, INT($G$8/L39))</f>
        <v/>
      </c>
      <c r="Q39" s="42">
        <f>MIN(O39, P39)</f>
        <v/>
      </c>
      <c r="R39" s="43">
        <f>ROUND((Q39*L39)/1000, 2)</f>
        <v/>
      </c>
      <c r="S39" s="44">
        <f>IF($C$8&gt;0, R39/$C$8, 0)</f>
        <v/>
      </c>
      <c r="T39" s="44">
        <f>IF(O39&gt;0, Q39/O39, 0)</f>
        <v/>
      </c>
      <c r="U39" s="12">
        <f>IF(Q39=0, "Exceeds Limit", IF(P39&lt;=O39, "Weight Limited", "Volume Limited"))</f>
        <v/>
      </c>
    </row>
    <row r="40" ht="19" customHeight="1">
      <c r="A40" s="45" t="n">
        <v>30</v>
      </c>
      <c r="B40" s="46" t="inlineStr">
        <is>
          <t>Carbon Steel</t>
        </is>
      </c>
      <c r="C40" s="19" t="inlineStr">
        <is>
          <t>ASME B36.10M</t>
        </is>
      </c>
      <c r="D40" s="18" t="inlineStr">
        <is>
          <t>3/4''</t>
        </is>
      </c>
      <c r="E40" s="45" t="n">
        <v>20</v>
      </c>
      <c r="F40" s="18" t="inlineStr">
        <is>
          <t>30</t>
        </is>
      </c>
      <c r="G40" s="20" t="n">
        <v>1.05</v>
      </c>
      <c r="H40" s="47" t="n">
        <v>26.67</v>
      </c>
      <c r="I40" s="20" t="n">
        <v>0.095</v>
      </c>
      <c r="J40" s="47" t="n">
        <v>2.41</v>
      </c>
      <c r="K40" s="20">
        <f>ROUND((H40-J40)*J40*IF(B40="Carbon Steel",$K$7,IF(B40="Stainless Steel 304",$K$8,$L$8)), 3)</f>
        <v/>
      </c>
      <c r="L40" s="47">
        <f>ROUND(K40*$G$5, 2)</f>
        <v/>
      </c>
      <c r="M40" s="45">
        <f>INT($G$6/H40)</f>
        <v/>
      </c>
      <c r="N40" s="45">
        <f>IF(M40=0, 0, IF(OR($K$6="Square Grid", M40=1), INT($G$7/H40), IF($G$7&lt;H40, 0, 1+INT(($G$7-H40)/(0.8660254*H40)))))</f>
        <v/>
      </c>
      <c r="O40" s="48">
        <f>IF(OR(M40=0,N40=0), 0, IF(OR($K$6="Square Grid", M40=1), M40*N40*$K$5, (INT((N40+1)/2)*M40 + INT(N40/2)*IF(($G$6-M40*H40)&gt;=0.5*H40, M40, M40-1))*$K$5))</f>
        <v/>
      </c>
      <c r="P40" s="48">
        <f>IF(L40&lt;=0, 0, INT($G$8/L40))</f>
        <v/>
      </c>
      <c r="Q40" s="42">
        <f>MIN(O40, P40)</f>
        <v/>
      </c>
      <c r="R40" s="43">
        <f>ROUND((Q40*L40)/1000, 2)</f>
        <v/>
      </c>
      <c r="S40" s="49">
        <f>IF($C$8&gt;0, R40/$C$8, 0)</f>
        <v/>
      </c>
      <c r="T40" s="49">
        <f>IF(O40&gt;0, Q40/O40, 0)</f>
        <v/>
      </c>
      <c r="U40" s="18">
        <f>IF(Q40=0, "Exceeds Limit", IF(P40&lt;=O40, "Weight Limited", "Volume Limited"))</f>
        <v/>
      </c>
    </row>
    <row r="41" ht="19" customHeight="1">
      <c r="A41" s="38" t="n">
        <v>31</v>
      </c>
      <c r="B41" s="39" t="inlineStr">
        <is>
          <t>Carbon Steel</t>
        </is>
      </c>
      <c r="C41" s="13" t="inlineStr">
        <is>
          <t>ASME B36.10M</t>
        </is>
      </c>
      <c r="D41" s="12" t="inlineStr">
        <is>
          <t>3/4''</t>
        </is>
      </c>
      <c r="E41" s="38" t="n">
        <v>20</v>
      </c>
      <c r="F41" s="12" t="inlineStr">
        <is>
          <t>STD</t>
        </is>
      </c>
      <c r="G41" s="14" t="n">
        <v>1.05</v>
      </c>
      <c r="H41" s="40" t="n">
        <v>26.67</v>
      </c>
      <c r="I41" s="14" t="n">
        <v>0.113</v>
      </c>
      <c r="J41" s="40" t="n">
        <v>2.87</v>
      </c>
      <c r="K41" s="14">
        <f>ROUND((H41-J41)*J41*IF(B41="Carbon Steel",$K$7,IF(B41="Stainless Steel 304",$K$8,$L$8)), 3)</f>
        <v/>
      </c>
      <c r="L41" s="40">
        <f>ROUND(K41*$G$5, 2)</f>
        <v/>
      </c>
      <c r="M41" s="38">
        <f>INT($G$6/H41)</f>
        <v/>
      </c>
      <c r="N41" s="38">
        <f>IF(M41=0, 0, IF(OR($K$6="Square Grid", M41=1), INT($G$7/H41), IF($G$7&lt;H41, 0, 1+INT(($G$7-H41)/(0.8660254*H41)))))</f>
        <v/>
      </c>
      <c r="O41" s="41">
        <f>IF(OR(M41=0,N41=0), 0, IF(OR($K$6="Square Grid", M41=1), M41*N41*$K$5, (INT((N41+1)/2)*M41 + INT(N41/2)*IF(($G$6-M41*H41)&gt;=0.5*H41, M41, M41-1))*$K$5))</f>
        <v/>
      </c>
      <c r="P41" s="41">
        <f>IF(L41&lt;=0, 0, INT($G$8/L41))</f>
        <v/>
      </c>
      <c r="Q41" s="42">
        <f>MIN(O41, P41)</f>
        <v/>
      </c>
      <c r="R41" s="43">
        <f>ROUND((Q41*L41)/1000, 2)</f>
        <v/>
      </c>
      <c r="S41" s="44">
        <f>IF($C$8&gt;0, R41/$C$8, 0)</f>
        <v/>
      </c>
      <c r="T41" s="44">
        <f>IF(O41&gt;0, Q41/O41, 0)</f>
        <v/>
      </c>
      <c r="U41" s="12">
        <f>IF(Q41=0, "Exceeds Limit", IF(P41&lt;=O41, "Weight Limited", "Volume Limited"))</f>
        <v/>
      </c>
    </row>
    <row r="42" ht="19" customHeight="1">
      <c r="A42" s="45" t="n">
        <v>32</v>
      </c>
      <c r="B42" s="46" t="inlineStr">
        <is>
          <t>Carbon Steel</t>
        </is>
      </c>
      <c r="C42" s="19" t="inlineStr">
        <is>
          <t>ASME B36.10M</t>
        </is>
      </c>
      <c r="D42" s="18" t="inlineStr">
        <is>
          <t>3/4''</t>
        </is>
      </c>
      <c r="E42" s="45" t="n">
        <v>20</v>
      </c>
      <c r="F42" s="18" t="inlineStr">
        <is>
          <t>40</t>
        </is>
      </c>
      <c r="G42" s="20" t="n">
        <v>1.05</v>
      </c>
      <c r="H42" s="47" t="n">
        <v>26.67</v>
      </c>
      <c r="I42" s="20" t="n">
        <v>0.113</v>
      </c>
      <c r="J42" s="47" t="n">
        <v>2.87</v>
      </c>
      <c r="K42" s="20">
        <f>ROUND((H42-J42)*J42*IF(B42="Carbon Steel",$K$7,IF(B42="Stainless Steel 304",$K$8,$L$8)), 3)</f>
        <v/>
      </c>
      <c r="L42" s="47">
        <f>ROUND(K42*$G$5, 2)</f>
        <v/>
      </c>
      <c r="M42" s="45">
        <f>INT($G$6/H42)</f>
        <v/>
      </c>
      <c r="N42" s="45">
        <f>IF(M42=0, 0, IF(OR($K$6="Square Grid", M42=1), INT($G$7/H42), IF($G$7&lt;H42, 0, 1+INT(($G$7-H42)/(0.8660254*H42)))))</f>
        <v/>
      </c>
      <c r="O42" s="48">
        <f>IF(OR(M42=0,N42=0), 0, IF(OR($K$6="Square Grid", M42=1), M42*N42*$K$5, (INT((N42+1)/2)*M42 + INT(N42/2)*IF(($G$6-M42*H42)&gt;=0.5*H42, M42, M42-1))*$K$5))</f>
        <v/>
      </c>
      <c r="P42" s="48">
        <f>IF(L42&lt;=0, 0, INT($G$8/L42))</f>
        <v/>
      </c>
      <c r="Q42" s="42">
        <f>MIN(O42, P42)</f>
        <v/>
      </c>
      <c r="R42" s="43">
        <f>ROUND((Q42*L42)/1000, 2)</f>
        <v/>
      </c>
      <c r="S42" s="49">
        <f>IF($C$8&gt;0, R42/$C$8, 0)</f>
        <v/>
      </c>
      <c r="T42" s="49">
        <f>IF(O42&gt;0, Q42/O42, 0)</f>
        <v/>
      </c>
      <c r="U42" s="18">
        <f>IF(Q42=0, "Exceeds Limit", IF(P42&lt;=O42, "Weight Limited", "Volume Limited"))</f>
        <v/>
      </c>
    </row>
    <row r="43" ht="19" customHeight="1">
      <c r="A43" s="38" t="n">
        <v>33</v>
      </c>
      <c r="B43" s="39" t="inlineStr">
        <is>
          <t>Carbon Steel</t>
        </is>
      </c>
      <c r="C43" s="13" t="inlineStr">
        <is>
          <t>ASME B36.10M</t>
        </is>
      </c>
      <c r="D43" s="12" t="inlineStr">
        <is>
          <t>3/4''</t>
        </is>
      </c>
      <c r="E43" s="38" t="n">
        <v>20</v>
      </c>
      <c r="F43" s="12" t="inlineStr">
        <is>
          <t>XS</t>
        </is>
      </c>
      <c r="G43" s="14" t="n">
        <v>1.05</v>
      </c>
      <c r="H43" s="40" t="n">
        <v>26.67</v>
      </c>
      <c r="I43" s="14" t="n">
        <v>0.154</v>
      </c>
      <c r="J43" s="40" t="n">
        <v>3.91</v>
      </c>
      <c r="K43" s="14">
        <f>ROUND((H43-J43)*J43*IF(B43="Carbon Steel",$K$7,IF(B43="Stainless Steel 304",$K$8,$L$8)), 3)</f>
        <v/>
      </c>
      <c r="L43" s="40">
        <f>ROUND(K43*$G$5, 2)</f>
        <v/>
      </c>
      <c r="M43" s="38">
        <f>INT($G$6/H43)</f>
        <v/>
      </c>
      <c r="N43" s="38">
        <f>IF(M43=0, 0, IF(OR($K$6="Square Grid", M43=1), INT($G$7/H43), IF($G$7&lt;H43, 0, 1+INT(($G$7-H43)/(0.8660254*H43)))))</f>
        <v/>
      </c>
      <c r="O43" s="41">
        <f>IF(OR(M43=0,N43=0), 0, IF(OR($K$6="Square Grid", M43=1), M43*N43*$K$5, (INT((N43+1)/2)*M43 + INT(N43/2)*IF(($G$6-M43*H43)&gt;=0.5*H43, M43, M43-1))*$K$5))</f>
        <v/>
      </c>
      <c r="P43" s="41">
        <f>IF(L43&lt;=0, 0, INT($G$8/L43))</f>
        <v/>
      </c>
      <c r="Q43" s="42">
        <f>MIN(O43, P43)</f>
        <v/>
      </c>
      <c r="R43" s="43">
        <f>ROUND((Q43*L43)/1000, 2)</f>
        <v/>
      </c>
      <c r="S43" s="44">
        <f>IF($C$8&gt;0, R43/$C$8, 0)</f>
        <v/>
      </c>
      <c r="T43" s="44">
        <f>IF(O43&gt;0, Q43/O43, 0)</f>
        <v/>
      </c>
      <c r="U43" s="12">
        <f>IF(Q43=0, "Exceeds Limit", IF(P43&lt;=O43, "Weight Limited", "Volume Limited"))</f>
        <v/>
      </c>
    </row>
    <row r="44" ht="19" customHeight="1">
      <c r="A44" s="45" t="n">
        <v>34</v>
      </c>
      <c r="B44" s="46" t="inlineStr">
        <is>
          <t>Carbon Steel</t>
        </is>
      </c>
      <c r="C44" s="19" t="inlineStr">
        <is>
          <t>ASME B36.10M</t>
        </is>
      </c>
      <c r="D44" s="18" t="inlineStr">
        <is>
          <t>3/4''</t>
        </is>
      </c>
      <c r="E44" s="45" t="n">
        <v>20</v>
      </c>
      <c r="F44" s="18" t="inlineStr">
        <is>
          <t>80</t>
        </is>
      </c>
      <c r="G44" s="20" t="n">
        <v>1.05</v>
      </c>
      <c r="H44" s="47" t="n">
        <v>26.67</v>
      </c>
      <c r="I44" s="20" t="n">
        <v>0.154</v>
      </c>
      <c r="J44" s="47" t="n">
        <v>3.91</v>
      </c>
      <c r="K44" s="20">
        <f>ROUND((H44-J44)*J44*IF(B44="Carbon Steel",$K$7,IF(B44="Stainless Steel 304",$K$8,$L$8)), 3)</f>
        <v/>
      </c>
      <c r="L44" s="47">
        <f>ROUND(K44*$G$5, 2)</f>
        <v/>
      </c>
      <c r="M44" s="45">
        <f>INT($G$6/H44)</f>
        <v/>
      </c>
      <c r="N44" s="45">
        <f>IF(M44=0, 0, IF(OR($K$6="Square Grid", M44=1), INT($G$7/H44), IF($G$7&lt;H44, 0, 1+INT(($G$7-H44)/(0.8660254*H44)))))</f>
        <v/>
      </c>
      <c r="O44" s="48">
        <f>IF(OR(M44=0,N44=0), 0, IF(OR($K$6="Square Grid", M44=1), M44*N44*$K$5, (INT((N44+1)/2)*M44 + INT(N44/2)*IF(($G$6-M44*H44)&gt;=0.5*H44, M44, M44-1))*$K$5))</f>
        <v/>
      </c>
      <c r="P44" s="48">
        <f>IF(L44&lt;=0, 0, INT($G$8/L44))</f>
        <v/>
      </c>
      <c r="Q44" s="42">
        <f>MIN(O44, P44)</f>
        <v/>
      </c>
      <c r="R44" s="43">
        <f>ROUND((Q44*L44)/1000, 2)</f>
        <v/>
      </c>
      <c r="S44" s="49">
        <f>IF($C$8&gt;0, R44/$C$8, 0)</f>
        <v/>
      </c>
      <c r="T44" s="49">
        <f>IF(O44&gt;0, Q44/O44, 0)</f>
        <v/>
      </c>
      <c r="U44" s="18">
        <f>IF(Q44=0, "Exceeds Limit", IF(P44&lt;=O44, "Weight Limited", "Volume Limited"))</f>
        <v/>
      </c>
    </row>
    <row r="45" ht="19" customHeight="1">
      <c r="A45" s="38" t="n">
        <v>35</v>
      </c>
      <c r="B45" s="39" t="inlineStr">
        <is>
          <t>Carbon Steel</t>
        </is>
      </c>
      <c r="C45" s="13" t="inlineStr">
        <is>
          <t>ASME B36.10M</t>
        </is>
      </c>
      <c r="D45" s="12" t="inlineStr">
        <is>
          <t>3/4''</t>
        </is>
      </c>
      <c r="E45" s="38" t="n">
        <v>20</v>
      </c>
      <c r="F45" s="12" t="inlineStr">
        <is>
          <t>160</t>
        </is>
      </c>
      <c r="G45" s="14" t="n">
        <v>1.05</v>
      </c>
      <c r="H45" s="40" t="n">
        <v>26.67</v>
      </c>
      <c r="I45" s="14" t="n">
        <v>0.219</v>
      </c>
      <c r="J45" s="40" t="n">
        <v>5.56</v>
      </c>
      <c r="K45" s="14">
        <f>ROUND((H45-J45)*J45*IF(B45="Carbon Steel",$K$7,IF(B45="Stainless Steel 304",$K$8,$L$8)), 3)</f>
        <v/>
      </c>
      <c r="L45" s="40">
        <f>ROUND(K45*$G$5, 2)</f>
        <v/>
      </c>
      <c r="M45" s="38">
        <f>INT($G$6/H45)</f>
        <v/>
      </c>
      <c r="N45" s="38">
        <f>IF(M45=0, 0, IF(OR($K$6="Square Grid", M45=1), INT($G$7/H45), IF($G$7&lt;H45, 0, 1+INT(($G$7-H45)/(0.8660254*H45)))))</f>
        <v/>
      </c>
      <c r="O45" s="41">
        <f>IF(OR(M45=0,N45=0), 0, IF(OR($K$6="Square Grid", M45=1), M45*N45*$K$5, (INT((N45+1)/2)*M45 + INT(N45/2)*IF(($G$6-M45*H45)&gt;=0.5*H45, M45, M45-1))*$K$5))</f>
        <v/>
      </c>
      <c r="P45" s="41">
        <f>IF(L45&lt;=0, 0, INT($G$8/L45))</f>
        <v/>
      </c>
      <c r="Q45" s="42">
        <f>MIN(O45, P45)</f>
        <v/>
      </c>
      <c r="R45" s="43">
        <f>ROUND((Q45*L45)/1000, 2)</f>
        <v/>
      </c>
      <c r="S45" s="44">
        <f>IF($C$8&gt;0, R45/$C$8, 0)</f>
        <v/>
      </c>
      <c r="T45" s="44">
        <f>IF(O45&gt;0, Q45/O45, 0)</f>
        <v/>
      </c>
      <c r="U45" s="12">
        <f>IF(Q45=0, "Exceeds Limit", IF(P45&lt;=O45, "Weight Limited", "Volume Limited"))</f>
        <v/>
      </c>
    </row>
    <row r="46" ht="19" customHeight="1">
      <c r="A46" s="45" t="n">
        <v>36</v>
      </c>
      <c r="B46" s="46" t="inlineStr">
        <is>
          <t>Carbon Steel</t>
        </is>
      </c>
      <c r="C46" s="19" t="inlineStr">
        <is>
          <t>ASME B36.10M</t>
        </is>
      </c>
      <c r="D46" s="18" t="inlineStr">
        <is>
          <t>3/4''</t>
        </is>
      </c>
      <c r="E46" s="45" t="n">
        <v>20</v>
      </c>
      <c r="F46" s="18" t="inlineStr">
        <is>
          <t>XXS</t>
        </is>
      </c>
      <c r="G46" s="20" t="n">
        <v>1.05</v>
      </c>
      <c r="H46" s="47" t="n">
        <v>26.67</v>
      </c>
      <c r="I46" s="20" t="n">
        <v>0.308</v>
      </c>
      <c r="J46" s="47" t="n">
        <v>7.82</v>
      </c>
      <c r="K46" s="20">
        <f>ROUND((H46-J46)*J46*IF(B46="Carbon Steel",$K$7,IF(B46="Stainless Steel 304",$K$8,$L$8)), 3)</f>
        <v/>
      </c>
      <c r="L46" s="47">
        <f>ROUND(K46*$G$5, 2)</f>
        <v/>
      </c>
      <c r="M46" s="45">
        <f>INT($G$6/H46)</f>
        <v/>
      </c>
      <c r="N46" s="45">
        <f>IF(M46=0, 0, IF(OR($K$6="Square Grid", M46=1), INT($G$7/H46), IF($G$7&lt;H46, 0, 1+INT(($G$7-H46)/(0.8660254*H46)))))</f>
        <v/>
      </c>
      <c r="O46" s="48">
        <f>IF(OR(M46=0,N46=0), 0, IF(OR($K$6="Square Grid", M46=1), M46*N46*$K$5, (INT((N46+1)/2)*M46 + INT(N46/2)*IF(($G$6-M46*H46)&gt;=0.5*H46, M46, M46-1))*$K$5))</f>
        <v/>
      </c>
      <c r="P46" s="48">
        <f>IF(L46&lt;=0, 0, INT($G$8/L46))</f>
        <v/>
      </c>
      <c r="Q46" s="42">
        <f>MIN(O46, P46)</f>
        <v/>
      </c>
      <c r="R46" s="43">
        <f>ROUND((Q46*L46)/1000, 2)</f>
        <v/>
      </c>
      <c r="S46" s="49">
        <f>IF($C$8&gt;0, R46/$C$8, 0)</f>
        <v/>
      </c>
      <c r="T46" s="49">
        <f>IF(O46&gt;0, Q46/O46, 0)</f>
        <v/>
      </c>
      <c r="U46" s="18">
        <f>IF(Q46=0, "Exceeds Limit", IF(P46&lt;=O46, "Weight Limited", "Volume Limited"))</f>
        <v/>
      </c>
    </row>
    <row r="47" ht="19" customHeight="1">
      <c r="A47" s="38" t="n">
        <v>37</v>
      </c>
      <c r="B47" s="39" t="inlineStr">
        <is>
          <t>Carbon Steel</t>
        </is>
      </c>
      <c r="C47" s="13" t="inlineStr">
        <is>
          <t>ASME B36.10M</t>
        </is>
      </c>
      <c r="D47" s="12" t="inlineStr">
        <is>
          <t>1''</t>
        </is>
      </c>
      <c r="E47" s="38" t="n">
        <v>25</v>
      </c>
      <c r="F47" s="12" t="inlineStr">
        <is>
          <t>5</t>
        </is>
      </c>
      <c r="G47" s="14" t="n">
        <v>1.315</v>
      </c>
      <c r="H47" s="40" t="n">
        <v>33.4</v>
      </c>
      <c r="I47" s="14" t="n">
        <v>0.065</v>
      </c>
      <c r="J47" s="40" t="n">
        <v>1.65</v>
      </c>
      <c r="K47" s="14">
        <f>ROUND((H47-J47)*J47*IF(B47="Carbon Steel",$K$7,IF(B47="Stainless Steel 304",$K$8,$L$8)), 3)</f>
        <v/>
      </c>
      <c r="L47" s="40">
        <f>ROUND(K47*$G$5, 2)</f>
        <v/>
      </c>
      <c r="M47" s="38">
        <f>INT($G$6/H47)</f>
        <v/>
      </c>
      <c r="N47" s="38">
        <f>IF(M47=0, 0, IF(OR($K$6="Square Grid", M47=1), INT($G$7/H47), IF($G$7&lt;H47, 0, 1+INT(($G$7-H47)/(0.8660254*H47)))))</f>
        <v/>
      </c>
      <c r="O47" s="41">
        <f>IF(OR(M47=0,N47=0), 0, IF(OR($K$6="Square Grid", M47=1), M47*N47*$K$5, (INT((N47+1)/2)*M47 + INT(N47/2)*IF(($G$6-M47*H47)&gt;=0.5*H47, M47, M47-1))*$K$5))</f>
        <v/>
      </c>
      <c r="P47" s="41">
        <f>IF(L47&lt;=0, 0, INT($G$8/L47))</f>
        <v/>
      </c>
      <c r="Q47" s="42">
        <f>MIN(O47, P47)</f>
        <v/>
      </c>
      <c r="R47" s="43">
        <f>ROUND((Q47*L47)/1000, 2)</f>
        <v/>
      </c>
      <c r="S47" s="44">
        <f>IF($C$8&gt;0, R47/$C$8, 0)</f>
        <v/>
      </c>
      <c r="T47" s="44">
        <f>IF(O47&gt;0, Q47/O47, 0)</f>
        <v/>
      </c>
      <c r="U47" s="12">
        <f>IF(Q47=0, "Exceeds Limit", IF(P47&lt;=O47, "Weight Limited", "Volume Limited"))</f>
        <v/>
      </c>
    </row>
    <row r="48" ht="19" customHeight="1">
      <c r="A48" s="45" t="n">
        <v>38</v>
      </c>
      <c r="B48" s="46" t="inlineStr">
        <is>
          <t>Carbon Steel</t>
        </is>
      </c>
      <c r="C48" s="19" t="inlineStr">
        <is>
          <t>ASME B36.10M</t>
        </is>
      </c>
      <c r="D48" s="18" t="inlineStr">
        <is>
          <t>1''</t>
        </is>
      </c>
      <c r="E48" s="45" t="n">
        <v>25</v>
      </c>
      <c r="F48" s="18" t="inlineStr">
        <is>
          <t>10</t>
        </is>
      </c>
      <c r="G48" s="20" t="n">
        <v>1.315</v>
      </c>
      <c r="H48" s="47" t="n">
        <v>33.4</v>
      </c>
      <c r="I48" s="20" t="n">
        <v>0.109</v>
      </c>
      <c r="J48" s="47" t="n">
        <v>2.77</v>
      </c>
      <c r="K48" s="20">
        <f>ROUND((H48-J48)*J48*IF(B48="Carbon Steel",$K$7,IF(B48="Stainless Steel 304",$K$8,$L$8)), 3)</f>
        <v/>
      </c>
      <c r="L48" s="47">
        <f>ROUND(K48*$G$5, 2)</f>
        <v/>
      </c>
      <c r="M48" s="45">
        <f>INT($G$6/H48)</f>
        <v/>
      </c>
      <c r="N48" s="45">
        <f>IF(M48=0, 0, IF(OR($K$6="Square Grid", M48=1), INT($G$7/H48), IF($G$7&lt;H48, 0, 1+INT(($G$7-H48)/(0.8660254*H48)))))</f>
        <v/>
      </c>
      <c r="O48" s="48">
        <f>IF(OR(M48=0,N48=0), 0, IF(OR($K$6="Square Grid", M48=1), M48*N48*$K$5, (INT((N48+1)/2)*M48 + INT(N48/2)*IF(($G$6-M48*H48)&gt;=0.5*H48, M48, M48-1))*$K$5))</f>
        <v/>
      </c>
      <c r="P48" s="48">
        <f>IF(L48&lt;=0, 0, INT($G$8/L48))</f>
        <v/>
      </c>
      <c r="Q48" s="42">
        <f>MIN(O48, P48)</f>
        <v/>
      </c>
      <c r="R48" s="43">
        <f>ROUND((Q48*L48)/1000, 2)</f>
        <v/>
      </c>
      <c r="S48" s="49">
        <f>IF($C$8&gt;0, R48/$C$8, 0)</f>
        <v/>
      </c>
      <c r="T48" s="49">
        <f>IF(O48&gt;0, Q48/O48, 0)</f>
        <v/>
      </c>
      <c r="U48" s="18">
        <f>IF(Q48=0, "Exceeds Limit", IF(P48&lt;=O48, "Weight Limited", "Volume Limited"))</f>
        <v/>
      </c>
    </row>
    <row r="49" ht="19" customHeight="1">
      <c r="A49" s="38" t="n">
        <v>39</v>
      </c>
      <c r="B49" s="39" t="inlineStr">
        <is>
          <t>Carbon Steel</t>
        </is>
      </c>
      <c r="C49" s="13" t="inlineStr">
        <is>
          <t>ASME B36.10M</t>
        </is>
      </c>
      <c r="D49" s="12" t="inlineStr">
        <is>
          <t>1''</t>
        </is>
      </c>
      <c r="E49" s="38" t="n">
        <v>25</v>
      </c>
      <c r="F49" s="12" t="inlineStr">
        <is>
          <t>30</t>
        </is>
      </c>
      <c r="G49" s="14" t="n">
        <v>1.315</v>
      </c>
      <c r="H49" s="40" t="n">
        <v>33.4</v>
      </c>
      <c r="I49" s="14" t="n">
        <v>0.114</v>
      </c>
      <c r="J49" s="40" t="n">
        <v>2.9</v>
      </c>
      <c r="K49" s="14">
        <f>ROUND((H49-J49)*J49*IF(B49="Carbon Steel",$K$7,IF(B49="Stainless Steel 304",$K$8,$L$8)), 3)</f>
        <v/>
      </c>
      <c r="L49" s="40">
        <f>ROUND(K49*$G$5, 2)</f>
        <v/>
      </c>
      <c r="M49" s="38">
        <f>INT($G$6/H49)</f>
        <v/>
      </c>
      <c r="N49" s="38">
        <f>IF(M49=0, 0, IF(OR($K$6="Square Grid", M49=1), INT($G$7/H49), IF($G$7&lt;H49, 0, 1+INT(($G$7-H49)/(0.8660254*H49)))))</f>
        <v/>
      </c>
      <c r="O49" s="41">
        <f>IF(OR(M49=0,N49=0), 0, IF(OR($K$6="Square Grid", M49=1), M49*N49*$K$5, (INT((N49+1)/2)*M49 + INT(N49/2)*IF(($G$6-M49*H49)&gt;=0.5*H49, M49, M49-1))*$K$5))</f>
        <v/>
      </c>
      <c r="P49" s="41">
        <f>IF(L49&lt;=0, 0, INT($G$8/L49))</f>
        <v/>
      </c>
      <c r="Q49" s="42">
        <f>MIN(O49, P49)</f>
        <v/>
      </c>
      <c r="R49" s="43">
        <f>ROUND((Q49*L49)/1000, 2)</f>
        <v/>
      </c>
      <c r="S49" s="44">
        <f>IF($C$8&gt;0, R49/$C$8, 0)</f>
        <v/>
      </c>
      <c r="T49" s="44">
        <f>IF(O49&gt;0, Q49/O49, 0)</f>
        <v/>
      </c>
      <c r="U49" s="12">
        <f>IF(Q49=0, "Exceeds Limit", IF(P49&lt;=O49, "Weight Limited", "Volume Limited"))</f>
        <v/>
      </c>
    </row>
    <row r="50" ht="19" customHeight="1">
      <c r="A50" s="45" t="n">
        <v>40</v>
      </c>
      <c r="B50" s="46" t="inlineStr">
        <is>
          <t>Carbon Steel</t>
        </is>
      </c>
      <c r="C50" s="19" t="inlineStr">
        <is>
          <t>ASME B36.10M</t>
        </is>
      </c>
      <c r="D50" s="18" t="inlineStr">
        <is>
          <t>1''</t>
        </is>
      </c>
      <c r="E50" s="45" t="n">
        <v>25</v>
      </c>
      <c r="F50" s="18" t="inlineStr">
        <is>
          <t>STD</t>
        </is>
      </c>
      <c r="G50" s="20" t="n">
        <v>1.315</v>
      </c>
      <c r="H50" s="47" t="n">
        <v>33.4</v>
      </c>
      <c r="I50" s="20" t="n">
        <v>0.133</v>
      </c>
      <c r="J50" s="47" t="n">
        <v>3.38</v>
      </c>
      <c r="K50" s="20">
        <f>ROUND((H50-J50)*J50*IF(B50="Carbon Steel",$K$7,IF(B50="Stainless Steel 304",$K$8,$L$8)), 3)</f>
        <v/>
      </c>
      <c r="L50" s="47">
        <f>ROUND(K50*$G$5, 2)</f>
        <v/>
      </c>
      <c r="M50" s="45">
        <f>INT($G$6/H50)</f>
        <v/>
      </c>
      <c r="N50" s="45">
        <f>IF(M50=0, 0, IF(OR($K$6="Square Grid", M50=1), INT($G$7/H50), IF($G$7&lt;H50, 0, 1+INT(($G$7-H50)/(0.8660254*H50)))))</f>
        <v/>
      </c>
      <c r="O50" s="48">
        <f>IF(OR(M50=0,N50=0), 0, IF(OR($K$6="Square Grid", M50=1), M50*N50*$K$5, (INT((N50+1)/2)*M50 + INT(N50/2)*IF(($G$6-M50*H50)&gt;=0.5*H50, M50, M50-1))*$K$5))</f>
        <v/>
      </c>
      <c r="P50" s="48">
        <f>IF(L50&lt;=0, 0, INT($G$8/L50))</f>
        <v/>
      </c>
      <c r="Q50" s="42">
        <f>MIN(O50, P50)</f>
        <v/>
      </c>
      <c r="R50" s="43">
        <f>ROUND((Q50*L50)/1000, 2)</f>
        <v/>
      </c>
      <c r="S50" s="49">
        <f>IF($C$8&gt;0, R50/$C$8, 0)</f>
        <v/>
      </c>
      <c r="T50" s="49">
        <f>IF(O50&gt;0, Q50/O50, 0)</f>
        <v/>
      </c>
      <c r="U50" s="18">
        <f>IF(Q50=0, "Exceeds Limit", IF(P50&lt;=O50, "Weight Limited", "Volume Limited"))</f>
        <v/>
      </c>
    </row>
    <row r="51" ht="19" customHeight="1">
      <c r="A51" s="38" t="n">
        <v>41</v>
      </c>
      <c r="B51" s="39" t="inlineStr">
        <is>
          <t>Carbon Steel</t>
        </is>
      </c>
      <c r="C51" s="13" t="inlineStr">
        <is>
          <t>ASME B36.10M</t>
        </is>
      </c>
      <c r="D51" s="12" t="inlineStr">
        <is>
          <t>1''</t>
        </is>
      </c>
      <c r="E51" s="38" t="n">
        <v>25</v>
      </c>
      <c r="F51" s="12" t="inlineStr">
        <is>
          <t>40</t>
        </is>
      </c>
      <c r="G51" s="14" t="n">
        <v>1.315</v>
      </c>
      <c r="H51" s="40" t="n">
        <v>33.4</v>
      </c>
      <c r="I51" s="14" t="n">
        <v>0.133</v>
      </c>
      <c r="J51" s="40" t="n">
        <v>3.38</v>
      </c>
      <c r="K51" s="14">
        <f>ROUND((H51-J51)*J51*IF(B51="Carbon Steel",$K$7,IF(B51="Stainless Steel 304",$K$8,$L$8)), 3)</f>
        <v/>
      </c>
      <c r="L51" s="40">
        <f>ROUND(K51*$G$5, 2)</f>
        <v/>
      </c>
      <c r="M51" s="38">
        <f>INT($G$6/H51)</f>
        <v/>
      </c>
      <c r="N51" s="38">
        <f>IF(M51=0, 0, IF(OR($K$6="Square Grid", M51=1), INT($G$7/H51), IF($G$7&lt;H51, 0, 1+INT(($G$7-H51)/(0.8660254*H51)))))</f>
        <v/>
      </c>
      <c r="O51" s="41">
        <f>IF(OR(M51=0,N51=0), 0, IF(OR($K$6="Square Grid", M51=1), M51*N51*$K$5, (INT((N51+1)/2)*M51 + INT(N51/2)*IF(($G$6-M51*H51)&gt;=0.5*H51, M51, M51-1))*$K$5))</f>
        <v/>
      </c>
      <c r="P51" s="41">
        <f>IF(L51&lt;=0, 0, INT($G$8/L51))</f>
        <v/>
      </c>
      <c r="Q51" s="42">
        <f>MIN(O51, P51)</f>
        <v/>
      </c>
      <c r="R51" s="43">
        <f>ROUND((Q51*L51)/1000, 2)</f>
        <v/>
      </c>
      <c r="S51" s="44">
        <f>IF($C$8&gt;0, R51/$C$8, 0)</f>
        <v/>
      </c>
      <c r="T51" s="44">
        <f>IF(O51&gt;0, Q51/O51, 0)</f>
        <v/>
      </c>
      <c r="U51" s="12">
        <f>IF(Q51=0, "Exceeds Limit", IF(P51&lt;=O51, "Weight Limited", "Volume Limited"))</f>
        <v/>
      </c>
    </row>
    <row r="52" ht="19" customHeight="1">
      <c r="A52" s="45" t="n">
        <v>42</v>
      </c>
      <c r="B52" s="46" t="inlineStr">
        <is>
          <t>Carbon Steel</t>
        </is>
      </c>
      <c r="C52" s="19" t="inlineStr">
        <is>
          <t>ASME B36.10M</t>
        </is>
      </c>
      <c r="D52" s="18" t="inlineStr">
        <is>
          <t>1''</t>
        </is>
      </c>
      <c r="E52" s="45" t="n">
        <v>25</v>
      </c>
      <c r="F52" s="18" t="inlineStr">
        <is>
          <t>XS</t>
        </is>
      </c>
      <c r="G52" s="20" t="n">
        <v>1.315</v>
      </c>
      <c r="H52" s="47" t="n">
        <v>33.4</v>
      </c>
      <c r="I52" s="20" t="n">
        <v>0.179</v>
      </c>
      <c r="J52" s="47" t="n">
        <v>4.55</v>
      </c>
      <c r="K52" s="20">
        <f>ROUND((H52-J52)*J52*IF(B52="Carbon Steel",$K$7,IF(B52="Stainless Steel 304",$K$8,$L$8)), 3)</f>
        <v/>
      </c>
      <c r="L52" s="47">
        <f>ROUND(K52*$G$5, 2)</f>
        <v/>
      </c>
      <c r="M52" s="45">
        <f>INT($G$6/H52)</f>
        <v/>
      </c>
      <c r="N52" s="45">
        <f>IF(M52=0, 0, IF(OR($K$6="Square Grid", M52=1), INT($G$7/H52), IF($G$7&lt;H52, 0, 1+INT(($G$7-H52)/(0.8660254*H52)))))</f>
        <v/>
      </c>
      <c r="O52" s="48">
        <f>IF(OR(M52=0,N52=0), 0, IF(OR($K$6="Square Grid", M52=1), M52*N52*$K$5, (INT((N52+1)/2)*M52 + INT(N52/2)*IF(($G$6-M52*H52)&gt;=0.5*H52, M52, M52-1))*$K$5))</f>
        <v/>
      </c>
      <c r="P52" s="48">
        <f>IF(L52&lt;=0, 0, INT($G$8/L52))</f>
        <v/>
      </c>
      <c r="Q52" s="42">
        <f>MIN(O52, P52)</f>
        <v/>
      </c>
      <c r="R52" s="43">
        <f>ROUND((Q52*L52)/1000, 2)</f>
        <v/>
      </c>
      <c r="S52" s="49">
        <f>IF($C$8&gt;0, R52/$C$8, 0)</f>
        <v/>
      </c>
      <c r="T52" s="49">
        <f>IF(O52&gt;0, Q52/O52, 0)</f>
        <v/>
      </c>
      <c r="U52" s="18">
        <f>IF(Q52=0, "Exceeds Limit", IF(P52&lt;=O52, "Weight Limited", "Volume Limited"))</f>
        <v/>
      </c>
    </row>
    <row r="53" ht="19" customHeight="1">
      <c r="A53" s="38" t="n">
        <v>43</v>
      </c>
      <c r="B53" s="39" t="inlineStr">
        <is>
          <t>Carbon Steel</t>
        </is>
      </c>
      <c r="C53" s="13" t="inlineStr">
        <is>
          <t>ASME B36.10M</t>
        </is>
      </c>
      <c r="D53" s="12" t="inlineStr">
        <is>
          <t>1''</t>
        </is>
      </c>
      <c r="E53" s="38" t="n">
        <v>25</v>
      </c>
      <c r="F53" s="12" t="inlineStr">
        <is>
          <t>80</t>
        </is>
      </c>
      <c r="G53" s="14" t="n">
        <v>1.315</v>
      </c>
      <c r="H53" s="40" t="n">
        <v>33.4</v>
      </c>
      <c r="I53" s="14" t="n">
        <v>0.179</v>
      </c>
      <c r="J53" s="40" t="n">
        <v>4.55</v>
      </c>
      <c r="K53" s="14">
        <f>ROUND((H53-J53)*J53*IF(B53="Carbon Steel",$K$7,IF(B53="Stainless Steel 304",$K$8,$L$8)), 3)</f>
        <v/>
      </c>
      <c r="L53" s="40">
        <f>ROUND(K53*$G$5, 2)</f>
        <v/>
      </c>
      <c r="M53" s="38">
        <f>INT($G$6/H53)</f>
        <v/>
      </c>
      <c r="N53" s="38">
        <f>IF(M53=0, 0, IF(OR($K$6="Square Grid", M53=1), INT($G$7/H53), IF($G$7&lt;H53, 0, 1+INT(($G$7-H53)/(0.8660254*H53)))))</f>
        <v/>
      </c>
      <c r="O53" s="41">
        <f>IF(OR(M53=0,N53=0), 0, IF(OR($K$6="Square Grid", M53=1), M53*N53*$K$5, (INT((N53+1)/2)*M53 + INT(N53/2)*IF(($G$6-M53*H53)&gt;=0.5*H53, M53, M53-1))*$K$5))</f>
        <v/>
      </c>
      <c r="P53" s="41">
        <f>IF(L53&lt;=0, 0, INT($G$8/L53))</f>
        <v/>
      </c>
      <c r="Q53" s="42">
        <f>MIN(O53, P53)</f>
        <v/>
      </c>
      <c r="R53" s="43">
        <f>ROUND((Q53*L53)/1000, 2)</f>
        <v/>
      </c>
      <c r="S53" s="44">
        <f>IF($C$8&gt;0, R53/$C$8, 0)</f>
        <v/>
      </c>
      <c r="T53" s="44">
        <f>IF(O53&gt;0, Q53/O53, 0)</f>
        <v/>
      </c>
      <c r="U53" s="12">
        <f>IF(Q53=0, "Exceeds Limit", IF(P53&lt;=O53, "Weight Limited", "Volume Limited"))</f>
        <v/>
      </c>
    </row>
    <row r="54" ht="19" customHeight="1">
      <c r="A54" s="45" t="n">
        <v>44</v>
      </c>
      <c r="B54" s="46" t="inlineStr">
        <is>
          <t>Carbon Steel</t>
        </is>
      </c>
      <c r="C54" s="19" t="inlineStr">
        <is>
          <t>ASME B36.10M</t>
        </is>
      </c>
      <c r="D54" s="18" t="inlineStr">
        <is>
          <t>1''</t>
        </is>
      </c>
      <c r="E54" s="45" t="n">
        <v>25</v>
      </c>
      <c r="F54" s="18" t="inlineStr">
        <is>
          <t>160</t>
        </is>
      </c>
      <c r="G54" s="20" t="n">
        <v>1.315</v>
      </c>
      <c r="H54" s="47" t="n">
        <v>33.4</v>
      </c>
      <c r="I54" s="20" t="n">
        <v>0.25</v>
      </c>
      <c r="J54" s="47" t="n">
        <v>6.35</v>
      </c>
      <c r="K54" s="20">
        <f>ROUND((H54-J54)*J54*IF(B54="Carbon Steel",$K$7,IF(B54="Stainless Steel 304",$K$8,$L$8)), 3)</f>
        <v/>
      </c>
      <c r="L54" s="47">
        <f>ROUND(K54*$G$5, 2)</f>
        <v/>
      </c>
      <c r="M54" s="45">
        <f>INT($G$6/H54)</f>
        <v/>
      </c>
      <c r="N54" s="45">
        <f>IF(M54=0, 0, IF(OR($K$6="Square Grid", M54=1), INT($G$7/H54), IF($G$7&lt;H54, 0, 1+INT(($G$7-H54)/(0.8660254*H54)))))</f>
        <v/>
      </c>
      <c r="O54" s="48">
        <f>IF(OR(M54=0,N54=0), 0, IF(OR($K$6="Square Grid", M54=1), M54*N54*$K$5, (INT((N54+1)/2)*M54 + INT(N54/2)*IF(($G$6-M54*H54)&gt;=0.5*H54, M54, M54-1))*$K$5))</f>
        <v/>
      </c>
      <c r="P54" s="48">
        <f>IF(L54&lt;=0, 0, INT($G$8/L54))</f>
        <v/>
      </c>
      <c r="Q54" s="42">
        <f>MIN(O54, P54)</f>
        <v/>
      </c>
      <c r="R54" s="43">
        <f>ROUND((Q54*L54)/1000, 2)</f>
        <v/>
      </c>
      <c r="S54" s="49">
        <f>IF($C$8&gt;0, R54/$C$8, 0)</f>
        <v/>
      </c>
      <c r="T54" s="49">
        <f>IF(O54&gt;0, Q54/O54, 0)</f>
        <v/>
      </c>
      <c r="U54" s="18">
        <f>IF(Q54=0, "Exceeds Limit", IF(P54&lt;=O54, "Weight Limited", "Volume Limited"))</f>
        <v/>
      </c>
    </row>
    <row r="55" ht="19" customHeight="1">
      <c r="A55" s="38" t="n">
        <v>45</v>
      </c>
      <c r="B55" s="39" t="inlineStr">
        <is>
          <t>Carbon Steel</t>
        </is>
      </c>
      <c r="C55" s="13" t="inlineStr">
        <is>
          <t>ASME B36.10M</t>
        </is>
      </c>
      <c r="D55" s="12" t="inlineStr">
        <is>
          <t>1''</t>
        </is>
      </c>
      <c r="E55" s="38" t="n">
        <v>25</v>
      </c>
      <c r="F55" s="12" t="inlineStr">
        <is>
          <t>XXS</t>
        </is>
      </c>
      <c r="G55" s="14" t="n">
        <v>1.315</v>
      </c>
      <c r="H55" s="40" t="n">
        <v>33.4</v>
      </c>
      <c r="I55" s="14" t="n">
        <v>0.358</v>
      </c>
      <c r="J55" s="40" t="n">
        <v>9.09</v>
      </c>
      <c r="K55" s="14">
        <f>ROUND((H55-J55)*J55*IF(B55="Carbon Steel",$K$7,IF(B55="Stainless Steel 304",$K$8,$L$8)), 3)</f>
        <v/>
      </c>
      <c r="L55" s="40">
        <f>ROUND(K55*$G$5, 2)</f>
        <v/>
      </c>
      <c r="M55" s="38">
        <f>INT($G$6/H55)</f>
        <v/>
      </c>
      <c r="N55" s="38">
        <f>IF(M55=0, 0, IF(OR($K$6="Square Grid", M55=1), INT($G$7/H55), IF($G$7&lt;H55, 0, 1+INT(($G$7-H55)/(0.8660254*H55)))))</f>
        <v/>
      </c>
      <c r="O55" s="41">
        <f>IF(OR(M55=0,N55=0), 0, IF(OR($K$6="Square Grid", M55=1), M55*N55*$K$5, (INT((N55+1)/2)*M55 + INT(N55/2)*IF(($G$6-M55*H55)&gt;=0.5*H55, M55, M55-1))*$K$5))</f>
        <v/>
      </c>
      <c r="P55" s="41">
        <f>IF(L55&lt;=0, 0, INT($G$8/L55))</f>
        <v/>
      </c>
      <c r="Q55" s="42">
        <f>MIN(O55, P55)</f>
        <v/>
      </c>
      <c r="R55" s="43">
        <f>ROUND((Q55*L55)/1000, 2)</f>
        <v/>
      </c>
      <c r="S55" s="44">
        <f>IF($C$8&gt;0, R55/$C$8, 0)</f>
        <v/>
      </c>
      <c r="T55" s="44">
        <f>IF(O55&gt;0, Q55/O55, 0)</f>
        <v/>
      </c>
      <c r="U55" s="12">
        <f>IF(Q55=0, "Exceeds Limit", IF(P55&lt;=O55, "Weight Limited", "Volume Limited"))</f>
        <v/>
      </c>
    </row>
    <row r="56" ht="19" customHeight="1">
      <c r="A56" s="45" t="n">
        <v>46</v>
      </c>
      <c r="B56" s="46" t="inlineStr">
        <is>
          <t>Carbon Steel</t>
        </is>
      </c>
      <c r="C56" s="19" t="inlineStr">
        <is>
          <t>ASME B36.10M</t>
        </is>
      </c>
      <c r="D56" s="18" t="inlineStr">
        <is>
          <t>1-1/4''</t>
        </is>
      </c>
      <c r="E56" s="45" t="n">
        <v>32</v>
      </c>
      <c r="F56" s="18" t="inlineStr">
        <is>
          <t>5</t>
        </is>
      </c>
      <c r="G56" s="20" t="n">
        <v>1.66</v>
      </c>
      <c r="H56" s="47" t="n">
        <v>42.16</v>
      </c>
      <c r="I56" s="20" t="n">
        <v>0.065</v>
      </c>
      <c r="J56" s="47" t="n">
        <v>1.65</v>
      </c>
      <c r="K56" s="20">
        <f>ROUND((H56-J56)*J56*IF(B56="Carbon Steel",$K$7,IF(B56="Stainless Steel 304",$K$8,$L$8)), 3)</f>
        <v/>
      </c>
      <c r="L56" s="47">
        <f>ROUND(K56*$G$5, 2)</f>
        <v/>
      </c>
      <c r="M56" s="45">
        <f>INT($G$6/H56)</f>
        <v/>
      </c>
      <c r="N56" s="45">
        <f>IF(M56=0, 0, IF(OR($K$6="Square Grid", M56=1), INT($G$7/H56), IF($G$7&lt;H56, 0, 1+INT(($G$7-H56)/(0.8660254*H56)))))</f>
        <v/>
      </c>
      <c r="O56" s="48">
        <f>IF(OR(M56=0,N56=0), 0, IF(OR($K$6="Square Grid", M56=1), M56*N56*$K$5, (INT((N56+1)/2)*M56 + INT(N56/2)*IF(($G$6-M56*H56)&gt;=0.5*H56, M56, M56-1))*$K$5))</f>
        <v/>
      </c>
      <c r="P56" s="48">
        <f>IF(L56&lt;=0, 0, INT($G$8/L56))</f>
        <v/>
      </c>
      <c r="Q56" s="42">
        <f>MIN(O56, P56)</f>
        <v/>
      </c>
      <c r="R56" s="43">
        <f>ROUND((Q56*L56)/1000, 2)</f>
        <v/>
      </c>
      <c r="S56" s="49">
        <f>IF($C$8&gt;0, R56/$C$8, 0)</f>
        <v/>
      </c>
      <c r="T56" s="49">
        <f>IF(O56&gt;0, Q56/O56, 0)</f>
        <v/>
      </c>
      <c r="U56" s="18">
        <f>IF(Q56=0, "Exceeds Limit", IF(P56&lt;=O56, "Weight Limited", "Volume Limited"))</f>
        <v/>
      </c>
    </row>
    <row r="57" ht="19" customHeight="1">
      <c r="A57" s="38" t="n">
        <v>47</v>
      </c>
      <c r="B57" s="39" t="inlineStr">
        <is>
          <t>Carbon Steel</t>
        </is>
      </c>
      <c r="C57" s="13" t="inlineStr">
        <is>
          <t>ASME B36.10M</t>
        </is>
      </c>
      <c r="D57" s="12" t="inlineStr">
        <is>
          <t>1-1/4''</t>
        </is>
      </c>
      <c r="E57" s="38" t="n">
        <v>32</v>
      </c>
      <c r="F57" s="12" t="inlineStr">
        <is>
          <t>10</t>
        </is>
      </c>
      <c r="G57" s="14" t="n">
        <v>1.66</v>
      </c>
      <c r="H57" s="40" t="n">
        <v>42.16</v>
      </c>
      <c r="I57" s="14" t="n">
        <v>0.109</v>
      </c>
      <c r="J57" s="40" t="n">
        <v>2.77</v>
      </c>
      <c r="K57" s="14">
        <f>ROUND((H57-J57)*J57*IF(B57="Carbon Steel",$K$7,IF(B57="Stainless Steel 304",$K$8,$L$8)), 3)</f>
        <v/>
      </c>
      <c r="L57" s="40">
        <f>ROUND(K57*$G$5, 2)</f>
        <v/>
      </c>
      <c r="M57" s="38">
        <f>INT($G$6/H57)</f>
        <v/>
      </c>
      <c r="N57" s="38">
        <f>IF(M57=0, 0, IF(OR($K$6="Square Grid", M57=1), INT($G$7/H57), IF($G$7&lt;H57, 0, 1+INT(($G$7-H57)/(0.8660254*H57)))))</f>
        <v/>
      </c>
      <c r="O57" s="41">
        <f>IF(OR(M57=0,N57=0), 0, IF(OR($K$6="Square Grid", M57=1), M57*N57*$K$5, (INT((N57+1)/2)*M57 + INT(N57/2)*IF(($G$6-M57*H57)&gt;=0.5*H57, M57, M57-1))*$K$5))</f>
        <v/>
      </c>
      <c r="P57" s="41">
        <f>IF(L57&lt;=0, 0, INT($G$8/L57))</f>
        <v/>
      </c>
      <c r="Q57" s="42">
        <f>MIN(O57, P57)</f>
        <v/>
      </c>
      <c r="R57" s="43">
        <f>ROUND((Q57*L57)/1000, 2)</f>
        <v/>
      </c>
      <c r="S57" s="44">
        <f>IF($C$8&gt;0, R57/$C$8, 0)</f>
        <v/>
      </c>
      <c r="T57" s="44">
        <f>IF(O57&gt;0, Q57/O57, 0)</f>
        <v/>
      </c>
      <c r="U57" s="12">
        <f>IF(Q57=0, "Exceeds Limit", IF(P57&lt;=O57, "Weight Limited", "Volume Limited"))</f>
        <v/>
      </c>
    </row>
    <row r="58" ht="19" customHeight="1">
      <c r="A58" s="45" t="n">
        <v>48</v>
      </c>
      <c r="B58" s="46" t="inlineStr">
        <is>
          <t>Carbon Steel</t>
        </is>
      </c>
      <c r="C58" s="19" t="inlineStr">
        <is>
          <t>ASME B36.10M</t>
        </is>
      </c>
      <c r="D58" s="18" t="inlineStr">
        <is>
          <t>1-1/4''</t>
        </is>
      </c>
      <c r="E58" s="45" t="n">
        <v>32</v>
      </c>
      <c r="F58" s="18" t="inlineStr">
        <is>
          <t>30</t>
        </is>
      </c>
      <c r="G58" s="20" t="n">
        <v>1.66</v>
      </c>
      <c r="H58" s="47" t="n">
        <v>42.16</v>
      </c>
      <c r="I58" s="20" t="n">
        <v>0.117</v>
      </c>
      <c r="J58" s="47" t="n">
        <v>2.97</v>
      </c>
      <c r="K58" s="20">
        <f>ROUND((H58-J58)*J58*IF(B58="Carbon Steel",$K$7,IF(B58="Stainless Steel 304",$K$8,$L$8)), 3)</f>
        <v/>
      </c>
      <c r="L58" s="47">
        <f>ROUND(K58*$G$5, 2)</f>
        <v/>
      </c>
      <c r="M58" s="45">
        <f>INT($G$6/H58)</f>
        <v/>
      </c>
      <c r="N58" s="45">
        <f>IF(M58=0, 0, IF(OR($K$6="Square Grid", M58=1), INT($G$7/H58), IF($G$7&lt;H58, 0, 1+INT(($G$7-H58)/(0.8660254*H58)))))</f>
        <v/>
      </c>
      <c r="O58" s="48">
        <f>IF(OR(M58=0,N58=0), 0, IF(OR($K$6="Square Grid", M58=1), M58*N58*$K$5, (INT((N58+1)/2)*M58 + INT(N58/2)*IF(($G$6-M58*H58)&gt;=0.5*H58, M58, M58-1))*$K$5))</f>
        <v/>
      </c>
      <c r="P58" s="48">
        <f>IF(L58&lt;=0, 0, INT($G$8/L58))</f>
        <v/>
      </c>
      <c r="Q58" s="42">
        <f>MIN(O58, P58)</f>
        <v/>
      </c>
      <c r="R58" s="43">
        <f>ROUND((Q58*L58)/1000, 2)</f>
        <v/>
      </c>
      <c r="S58" s="49">
        <f>IF($C$8&gt;0, R58/$C$8, 0)</f>
        <v/>
      </c>
      <c r="T58" s="49">
        <f>IF(O58&gt;0, Q58/O58, 0)</f>
        <v/>
      </c>
      <c r="U58" s="18">
        <f>IF(Q58=0, "Exceeds Limit", IF(P58&lt;=O58, "Weight Limited", "Volume Limited"))</f>
        <v/>
      </c>
    </row>
    <row r="59" ht="19" customHeight="1">
      <c r="A59" s="38" t="n">
        <v>49</v>
      </c>
      <c r="B59" s="39" t="inlineStr">
        <is>
          <t>Carbon Steel</t>
        </is>
      </c>
      <c r="C59" s="13" t="inlineStr">
        <is>
          <t>ASME B36.10M</t>
        </is>
      </c>
      <c r="D59" s="12" t="inlineStr">
        <is>
          <t>1-1/4''</t>
        </is>
      </c>
      <c r="E59" s="38" t="n">
        <v>32</v>
      </c>
      <c r="F59" s="12" t="inlineStr">
        <is>
          <t>STD</t>
        </is>
      </c>
      <c r="G59" s="14" t="n">
        <v>1.66</v>
      </c>
      <c r="H59" s="40" t="n">
        <v>42.16</v>
      </c>
      <c r="I59" s="14" t="n">
        <v>0.14</v>
      </c>
      <c r="J59" s="40" t="n">
        <v>3.56</v>
      </c>
      <c r="K59" s="14">
        <f>ROUND((H59-J59)*J59*IF(B59="Carbon Steel",$K$7,IF(B59="Stainless Steel 304",$K$8,$L$8)), 3)</f>
        <v/>
      </c>
      <c r="L59" s="40">
        <f>ROUND(K59*$G$5, 2)</f>
        <v/>
      </c>
      <c r="M59" s="38">
        <f>INT($G$6/H59)</f>
        <v/>
      </c>
      <c r="N59" s="38">
        <f>IF(M59=0, 0, IF(OR($K$6="Square Grid", M59=1), INT($G$7/H59), IF($G$7&lt;H59, 0, 1+INT(($G$7-H59)/(0.8660254*H59)))))</f>
        <v/>
      </c>
      <c r="O59" s="41">
        <f>IF(OR(M59=0,N59=0), 0, IF(OR($K$6="Square Grid", M59=1), M59*N59*$K$5, (INT((N59+1)/2)*M59 + INT(N59/2)*IF(($G$6-M59*H59)&gt;=0.5*H59, M59, M59-1))*$K$5))</f>
        <v/>
      </c>
      <c r="P59" s="41">
        <f>IF(L59&lt;=0, 0, INT($G$8/L59))</f>
        <v/>
      </c>
      <c r="Q59" s="42">
        <f>MIN(O59, P59)</f>
        <v/>
      </c>
      <c r="R59" s="43">
        <f>ROUND((Q59*L59)/1000, 2)</f>
        <v/>
      </c>
      <c r="S59" s="44">
        <f>IF($C$8&gt;0, R59/$C$8, 0)</f>
        <v/>
      </c>
      <c r="T59" s="44">
        <f>IF(O59&gt;0, Q59/O59, 0)</f>
        <v/>
      </c>
      <c r="U59" s="12">
        <f>IF(Q59=0, "Exceeds Limit", IF(P59&lt;=O59, "Weight Limited", "Volume Limited"))</f>
        <v/>
      </c>
    </row>
    <row r="60" ht="19" customHeight="1">
      <c r="A60" s="45" t="n">
        <v>50</v>
      </c>
      <c r="B60" s="46" t="inlineStr">
        <is>
          <t>Carbon Steel</t>
        </is>
      </c>
      <c r="C60" s="19" t="inlineStr">
        <is>
          <t>ASME B36.10M</t>
        </is>
      </c>
      <c r="D60" s="18" t="inlineStr">
        <is>
          <t>1-1/4''</t>
        </is>
      </c>
      <c r="E60" s="45" t="n">
        <v>32</v>
      </c>
      <c r="F60" s="18" t="inlineStr">
        <is>
          <t>40</t>
        </is>
      </c>
      <c r="G60" s="20" t="n">
        <v>1.66</v>
      </c>
      <c r="H60" s="47" t="n">
        <v>42.16</v>
      </c>
      <c r="I60" s="20" t="n">
        <v>0.14</v>
      </c>
      <c r="J60" s="47" t="n">
        <v>3.56</v>
      </c>
      <c r="K60" s="20">
        <f>ROUND((H60-J60)*J60*IF(B60="Carbon Steel",$K$7,IF(B60="Stainless Steel 304",$K$8,$L$8)), 3)</f>
        <v/>
      </c>
      <c r="L60" s="47">
        <f>ROUND(K60*$G$5, 2)</f>
        <v/>
      </c>
      <c r="M60" s="45">
        <f>INT($G$6/H60)</f>
        <v/>
      </c>
      <c r="N60" s="45">
        <f>IF(M60=0, 0, IF(OR($K$6="Square Grid", M60=1), INT($G$7/H60), IF($G$7&lt;H60, 0, 1+INT(($G$7-H60)/(0.8660254*H60)))))</f>
        <v/>
      </c>
      <c r="O60" s="48">
        <f>IF(OR(M60=0,N60=0), 0, IF(OR($K$6="Square Grid", M60=1), M60*N60*$K$5, (INT((N60+1)/2)*M60 + INT(N60/2)*IF(($G$6-M60*H60)&gt;=0.5*H60, M60, M60-1))*$K$5))</f>
        <v/>
      </c>
      <c r="P60" s="48">
        <f>IF(L60&lt;=0, 0, INT($G$8/L60))</f>
        <v/>
      </c>
      <c r="Q60" s="42">
        <f>MIN(O60, P60)</f>
        <v/>
      </c>
      <c r="R60" s="43">
        <f>ROUND((Q60*L60)/1000, 2)</f>
        <v/>
      </c>
      <c r="S60" s="49">
        <f>IF($C$8&gt;0, R60/$C$8, 0)</f>
        <v/>
      </c>
      <c r="T60" s="49">
        <f>IF(O60&gt;0, Q60/O60, 0)</f>
        <v/>
      </c>
      <c r="U60" s="18">
        <f>IF(Q60=0, "Exceeds Limit", IF(P60&lt;=O60, "Weight Limited", "Volume Limited"))</f>
        <v/>
      </c>
    </row>
    <row r="61" ht="19" customHeight="1">
      <c r="A61" s="38" t="n">
        <v>51</v>
      </c>
      <c r="B61" s="39" t="inlineStr">
        <is>
          <t>Carbon Steel</t>
        </is>
      </c>
      <c r="C61" s="13" t="inlineStr">
        <is>
          <t>ASME B36.10M</t>
        </is>
      </c>
      <c r="D61" s="12" t="inlineStr">
        <is>
          <t>1-1/4''</t>
        </is>
      </c>
      <c r="E61" s="38" t="n">
        <v>32</v>
      </c>
      <c r="F61" s="12" t="inlineStr">
        <is>
          <t>XS</t>
        </is>
      </c>
      <c r="G61" s="14" t="n">
        <v>1.66</v>
      </c>
      <c r="H61" s="40" t="n">
        <v>42.16</v>
      </c>
      <c r="I61" s="14" t="n">
        <v>0.191</v>
      </c>
      <c r="J61" s="40" t="n">
        <v>4.85</v>
      </c>
      <c r="K61" s="14">
        <f>ROUND((H61-J61)*J61*IF(B61="Carbon Steel",$K$7,IF(B61="Stainless Steel 304",$K$8,$L$8)), 3)</f>
        <v/>
      </c>
      <c r="L61" s="40">
        <f>ROUND(K61*$G$5, 2)</f>
        <v/>
      </c>
      <c r="M61" s="38">
        <f>INT($G$6/H61)</f>
        <v/>
      </c>
      <c r="N61" s="38">
        <f>IF(M61=0, 0, IF(OR($K$6="Square Grid", M61=1), INT($G$7/H61), IF($G$7&lt;H61, 0, 1+INT(($G$7-H61)/(0.8660254*H61)))))</f>
        <v/>
      </c>
      <c r="O61" s="41">
        <f>IF(OR(M61=0,N61=0), 0, IF(OR($K$6="Square Grid", M61=1), M61*N61*$K$5, (INT((N61+1)/2)*M61 + INT(N61/2)*IF(($G$6-M61*H61)&gt;=0.5*H61, M61, M61-1))*$K$5))</f>
        <v/>
      </c>
      <c r="P61" s="41">
        <f>IF(L61&lt;=0, 0, INT($G$8/L61))</f>
        <v/>
      </c>
      <c r="Q61" s="42">
        <f>MIN(O61, P61)</f>
        <v/>
      </c>
      <c r="R61" s="43">
        <f>ROUND((Q61*L61)/1000, 2)</f>
        <v/>
      </c>
      <c r="S61" s="44">
        <f>IF($C$8&gt;0, R61/$C$8, 0)</f>
        <v/>
      </c>
      <c r="T61" s="44">
        <f>IF(O61&gt;0, Q61/O61, 0)</f>
        <v/>
      </c>
      <c r="U61" s="12">
        <f>IF(Q61=0, "Exceeds Limit", IF(P61&lt;=O61, "Weight Limited", "Volume Limited"))</f>
        <v/>
      </c>
    </row>
    <row r="62" ht="19" customHeight="1">
      <c r="A62" s="45" t="n">
        <v>52</v>
      </c>
      <c r="B62" s="46" t="inlineStr">
        <is>
          <t>Carbon Steel</t>
        </is>
      </c>
      <c r="C62" s="19" t="inlineStr">
        <is>
          <t>ASME B36.10M</t>
        </is>
      </c>
      <c r="D62" s="18" t="inlineStr">
        <is>
          <t>1-1/4''</t>
        </is>
      </c>
      <c r="E62" s="45" t="n">
        <v>32</v>
      </c>
      <c r="F62" s="18" t="inlineStr">
        <is>
          <t>80</t>
        </is>
      </c>
      <c r="G62" s="20" t="n">
        <v>1.66</v>
      </c>
      <c r="H62" s="47" t="n">
        <v>42.16</v>
      </c>
      <c r="I62" s="20" t="n">
        <v>0.191</v>
      </c>
      <c r="J62" s="47" t="n">
        <v>4.85</v>
      </c>
      <c r="K62" s="20">
        <f>ROUND((H62-J62)*J62*IF(B62="Carbon Steel",$K$7,IF(B62="Stainless Steel 304",$K$8,$L$8)), 3)</f>
        <v/>
      </c>
      <c r="L62" s="47">
        <f>ROUND(K62*$G$5, 2)</f>
        <v/>
      </c>
      <c r="M62" s="45">
        <f>INT($G$6/H62)</f>
        <v/>
      </c>
      <c r="N62" s="45">
        <f>IF(M62=0, 0, IF(OR($K$6="Square Grid", M62=1), INT($G$7/H62), IF($G$7&lt;H62, 0, 1+INT(($G$7-H62)/(0.8660254*H62)))))</f>
        <v/>
      </c>
      <c r="O62" s="48">
        <f>IF(OR(M62=0,N62=0), 0, IF(OR($K$6="Square Grid", M62=1), M62*N62*$K$5, (INT((N62+1)/2)*M62 + INT(N62/2)*IF(($G$6-M62*H62)&gt;=0.5*H62, M62, M62-1))*$K$5))</f>
        <v/>
      </c>
      <c r="P62" s="48">
        <f>IF(L62&lt;=0, 0, INT($G$8/L62))</f>
        <v/>
      </c>
      <c r="Q62" s="42">
        <f>MIN(O62, P62)</f>
        <v/>
      </c>
      <c r="R62" s="43">
        <f>ROUND((Q62*L62)/1000, 2)</f>
        <v/>
      </c>
      <c r="S62" s="49">
        <f>IF($C$8&gt;0, R62/$C$8, 0)</f>
        <v/>
      </c>
      <c r="T62" s="49">
        <f>IF(O62&gt;0, Q62/O62, 0)</f>
        <v/>
      </c>
      <c r="U62" s="18">
        <f>IF(Q62=0, "Exceeds Limit", IF(P62&lt;=O62, "Weight Limited", "Volume Limited"))</f>
        <v/>
      </c>
    </row>
    <row r="63" ht="19" customHeight="1">
      <c r="A63" s="38" t="n">
        <v>53</v>
      </c>
      <c r="B63" s="39" t="inlineStr">
        <is>
          <t>Carbon Steel</t>
        </is>
      </c>
      <c r="C63" s="13" t="inlineStr">
        <is>
          <t>ASME B36.10M</t>
        </is>
      </c>
      <c r="D63" s="12" t="inlineStr">
        <is>
          <t>1-1/4''</t>
        </is>
      </c>
      <c r="E63" s="38" t="n">
        <v>32</v>
      </c>
      <c r="F63" s="12" t="inlineStr">
        <is>
          <t>160</t>
        </is>
      </c>
      <c r="G63" s="14" t="n">
        <v>1.66</v>
      </c>
      <c r="H63" s="40" t="n">
        <v>42.16</v>
      </c>
      <c r="I63" s="14" t="n">
        <v>0.25</v>
      </c>
      <c r="J63" s="40" t="n">
        <v>6.35</v>
      </c>
      <c r="K63" s="14">
        <f>ROUND((H63-J63)*J63*IF(B63="Carbon Steel",$K$7,IF(B63="Stainless Steel 304",$K$8,$L$8)), 3)</f>
        <v/>
      </c>
      <c r="L63" s="40">
        <f>ROUND(K63*$G$5, 2)</f>
        <v/>
      </c>
      <c r="M63" s="38">
        <f>INT($G$6/H63)</f>
        <v/>
      </c>
      <c r="N63" s="38">
        <f>IF(M63=0, 0, IF(OR($K$6="Square Grid", M63=1), INT($G$7/H63), IF($G$7&lt;H63, 0, 1+INT(($G$7-H63)/(0.8660254*H63)))))</f>
        <v/>
      </c>
      <c r="O63" s="41">
        <f>IF(OR(M63=0,N63=0), 0, IF(OR($K$6="Square Grid", M63=1), M63*N63*$K$5, (INT((N63+1)/2)*M63 + INT(N63/2)*IF(($G$6-M63*H63)&gt;=0.5*H63, M63, M63-1))*$K$5))</f>
        <v/>
      </c>
      <c r="P63" s="41">
        <f>IF(L63&lt;=0, 0, INT($G$8/L63))</f>
        <v/>
      </c>
      <c r="Q63" s="42">
        <f>MIN(O63, P63)</f>
        <v/>
      </c>
      <c r="R63" s="43">
        <f>ROUND((Q63*L63)/1000, 2)</f>
        <v/>
      </c>
      <c r="S63" s="44">
        <f>IF($C$8&gt;0, R63/$C$8, 0)</f>
        <v/>
      </c>
      <c r="T63" s="44">
        <f>IF(O63&gt;0, Q63/O63, 0)</f>
        <v/>
      </c>
      <c r="U63" s="12">
        <f>IF(Q63=0, "Exceeds Limit", IF(P63&lt;=O63, "Weight Limited", "Volume Limited"))</f>
        <v/>
      </c>
    </row>
    <row r="64" ht="19" customHeight="1">
      <c r="A64" s="45" t="n">
        <v>54</v>
      </c>
      <c r="B64" s="46" t="inlineStr">
        <is>
          <t>Carbon Steel</t>
        </is>
      </c>
      <c r="C64" s="19" t="inlineStr">
        <is>
          <t>ASME B36.10M</t>
        </is>
      </c>
      <c r="D64" s="18" t="inlineStr">
        <is>
          <t>1-1/4''</t>
        </is>
      </c>
      <c r="E64" s="45" t="n">
        <v>32</v>
      </c>
      <c r="F64" s="18" t="inlineStr">
        <is>
          <t>XXS</t>
        </is>
      </c>
      <c r="G64" s="20" t="n">
        <v>1.66</v>
      </c>
      <c r="H64" s="47" t="n">
        <v>42.16</v>
      </c>
      <c r="I64" s="20" t="n">
        <v>0.382</v>
      </c>
      <c r="J64" s="47" t="n">
        <v>9.699999999999999</v>
      </c>
      <c r="K64" s="20">
        <f>ROUND((H64-J64)*J64*IF(B64="Carbon Steel",$K$7,IF(B64="Stainless Steel 304",$K$8,$L$8)), 3)</f>
        <v/>
      </c>
      <c r="L64" s="47">
        <f>ROUND(K64*$G$5, 2)</f>
        <v/>
      </c>
      <c r="M64" s="45">
        <f>INT($G$6/H64)</f>
        <v/>
      </c>
      <c r="N64" s="45">
        <f>IF(M64=0, 0, IF(OR($K$6="Square Grid", M64=1), INT($G$7/H64), IF($G$7&lt;H64, 0, 1+INT(($G$7-H64)/(0.8660254*H64)))))</f>
        <v/>
      </c>
      <c r="O64" s="48">
        <f>IF(OR(M64=0,N64=0), 0, IF(OR($K$6="Square Grid", M64=1), M64*N64*$K$5, (INT((N64+1)/2)*M64 + INT(N64/2)*IF(($G$6-M64*H64)&gt;=0.5*H64, M64, M64-1))*$K$5))</f>
        <v/>
      </c>
      <c r="P64" s="48">
        <f>IF(L64&lt;=0, 0, INT($G$8/L64))</f>
        <v/>
      </c>
      <c r="Q64" s="42">
        <f>MIN(O64, P64)</f>
        <v/>
      </c>
      <c r="R64" s="43">
        <f>ROUND((Q64*L64)/1000, 2)</f>
        <v/>
      </c>
      <c r="S64" s="49">
        <f>IF($C$8&gt;0, R64/$C$8, 0)</f>
        <v/>
      </c>
      <c r="T64" s="49">
        <f>IF(O64&gt;0, Q64/O64, 0)</f>
        <v/>
      </c>
      <c r="U64" s="18">
        <f>IF(Q64=0, "Exceeds Limit", IF(P64&lt;=O64, "Weight Limited", "Volume Limited"))</f>
        <v/>
      </c>
    </row>
    <row r="65" ht="19" customHeight="1">
      <c r="A65" s="38" t="n">
        <v>55</v>
      </c>
      <c r="B65" s="39" t="inlineStr">
        <is>
          <t>Carbon Steel</t>
        </is>
      </c>
      <c r="C65" s="13" t="inlineStr">
        <is>
          <t>ASME B36.10M</t>
        </is>
      </c>
      <c r="D65" s="12" t="inlineStr">
        <is>
          <t>1-1/2''</t>
        </is>
      </c>
      <c r="E65" s="38" t="n">
        <v>40</v>
      </c>
      <c r="F65" s="12" t="inlineStr">
        <is>
          <t>5</t>
        </is>
      </c>
      <c r="G65" s="14" t="n">
        <v>1.9</v>
      </c>
      <c r="H65" s="40" t="n">
        <v>48.26</v>
      </c>
      <c r="I65" s="14" t="n">
        <v>0.065</v>
      </c>
      <c r="J65" s="40" t="n">
        <v>1.65</v>
      </c>
      <c r="K65" s="14">
        <f>ROUND((H65-J65)*J65*IF(B65="Carbon Steel",$K$7,IF(B65="Stainless Steel 304",$K$8,$L$8)), 3)</f>
        <v/>
      </c>
      <c r="L65" s="40">
        <f>ROUND(K65*$G$5, 2)</f>
        <v/>
      </c>
      <c r="M65" s="38">
        <f>INT($G$6/H65)</f>
        <v/>
      </c>
      <c r="N65" s="38">
        <f>IF(M65=0, 0, IF(OR($K$6="Square Grid", M65=1), INT($G$7/H65), IF($G$7&lt;H65, 0, 1+INT(($G$7-H65)/(0.8660254*H65)))))</f>
        <v/>
      </c>
      <c r="O65" s="41">
        <f>IF(OR(M65=0,N65=0), 0, IF(OR($K$6="Square Grid", M65=1), M65*N65*$K$5, (INT((N65+1)/2)*M65 + INT(N65/2)*IF(($G$6-M65*H65)&gt;=0.5*H65, M65, M65-1))*$K$5))</f>
        <v/>
      </c>
      <c r="P65" s="41">
        <f>IF(L65&lt;=0, 0, INT($G$8/L65))</f>
        <v/>
      </c>
      <c r="Q65" s="42">
        <f>MIN(O65, P65)</f>
        <v/>
      </c>
      <c r="R65" s="43">
        <f>ROUND((Q65*L65)/1000, 2)</f>
        <v/>
      </c>
      <c r="S65" s="44">
        <f>IF($C$8&gt;0, R65/$C$8, 0)</f>
        <v/>
      </c>
      <c r="T65" s="44">
        <f>IF(O65&gt;0, Q65/O65, 0)</f>
        <v/>
      </c>
      <c r="U65" s="12">
        <f>IF(Q65=0, "Exceeds Limit", IF(P65&lt;=O65, "Weight Limited", "Volume Limited"))</f>
        <v/>
      </c>
    </row>
    <row r="66" ht="19" customHeight="1">
      <c r="A66" s="45" t="n">
        <v>56</v>
      </c>
      <c r="B66" s="46" t="inlineStr">
        <is>
          <t>Carbon Steel</t>
        </is>
      </c>
      <c r="C66" s="19" t="inlineStr">
        <is>
          <t>ASME B36.10M</t>
        </is>
      </c>
      <c r="D66" s="18" t="inlineStr">
        <is>
          <t>1-1/2''</t>
        </is>
      </c>
      <c r="E66" s="45" t="n">
        <v>40</v>
      </c>
      <c r="F66" s="18" t="inlineStr">
        <is>
          <t>10</t>
        </is>
      </c>
      <c r="G66" s="20" t="n">
        <v>1.9</v>
      </c>
      <c r="H66" s="47" t="n">
        <v>48.26</v>
      </c>
      <c r="I66" s="20" t="n">
        <v>0.109</v>
      </c>
      <c r="J66" s="47" t="n">
        <v>2.77</v>
      </c>
      <c r="K66" s="20">
        <f>ROUND((H66-J66)*J66*IF(B66="Carbon Steel",$K$7,IF(B66="Stainless Steel 304",$K$8,$L$8)), 3)</f>
        <v/>
      </c>
      <c r="L66" s="47">
        <f>ROUND(K66*$G$5, 2)</f>
        <v/>
      </c>
      <c r="M66" s="45">
        <f>INT($G$6/H66)</f>
        <v/>
      </c>
      <c r="N66" s="45">
        <f>IF(M66=0, 0, IF(OR($K$6="Square Grid", M66=1), INT($G$7/H66), IF($G$7&lt;H66, 0, 1+INT(($G$7-H66)/(0.8660254*H66)))))</f>
        <v/>
      </c>
      <c r="O66" s="48">
        <f>IF(OR(M66=0,N66=0), 0, IF(OR($K$6="Square Grid", M66=1), M66*N66*$K$5, (INT((N66+1)/2)*M66 + INT(N66/2)*IF(($G$6-M66*H66)&gt;=0.5*H66, M66, M66-1))*$K$5))</f>
        <v/>
      </c>
      <c r="P66" s="48">
        <f>IF(L66&lt;=0, 0, INT($G$8/L66))</f>
        <v/>
      </c>
      <c r="Q66" s="42">
        <f>MIN(O66, P66)</f>
        <v/>
      </c>
      <c r="R66" s="43">
        <f>ROUND((Q66*L66)/1000, 2)</f>
        <v/>
      </c>
      <c r="S66" s="49">
        <f>IF($C$8&gt;0, R66/$C$8, 0)</f>
        <v/>
      </c>
      <c r="T66" s="49">
        <f>IF(O66&gt;0, Q66/O66, 0)</f>
        <v/>
      </c>
      <c r="U66" s="18">
        <f>IF(Q66=0, "Exceeds Limit", IF(P66&lt;=O66, "Weight Limited", "Volume Limited"))</f>
        <v/>
      </c>
    </row>
    <row r="67" ht="19" customHeight="1">
      <c r="A67" s="38" t="n">
        <v>57</v>
      </c>
      <c r="B67" s="39" t="inlineStr">
        <is>
          <t>Carbon Steel</t>
        </is>
      </c>
      <c r="C67" s="13" t="inlineStr">
        <is>
          <t>ASME B36.10M</t>
        </is>
      </c>
      <c r="D67" s="12" t="inlineStr">
        <is>
          <t>1-1/2''</t>
        </is>
      </c>
      <c r="E67" s="38" t="n">
        <v>40</v>
      </c>
      <c r="F67" s="12" t="inlineStr">
        <is>
          <t>30</t>
        </is>
      </c>
      <c r="G67" s="14" t="n">
        <v>1.9</v>
      </c>
      <c r="H67" s="40" t="n">
        <v>48.26</v>
      </c>
      <c r="I67" s="14" t="n">
        <v>0.125</v>
      </c>
      <c r="J67" s="40" t="n">
        <v>3.17</v>
      </c>
      <c r="K67" s="14">
        <f>ROUND((H67-J67)*J67*IF(B67="Carbon Steel",$K$7,IF(B67="Stainless Steel 304",$K$8,$L$8)), 3)</f>
        <v/>
      </c>
      <c r="L67" s="40">
        <f>ROUND(K67*$G$5, 2)</f>
        <v/>
      </c>
      <c r="M67" s="38">
        <f>INT($G$6/H67)</f>
        <v/>
      </c>
      <c r="N67" s="38">
        <f>IF(M67=0, 0, IF(OR($K$6="Square Grid", M67=1), INT($G$7/H67), IF($G$7&lt;H67, 0, 1+INT(($G$7-H67)/(0.8660254*H67)))))</f>
        <v/>
      </c>
      <c r="O67" s="41">
        <f>IF(OR(M67=0,N67=0), 0, IF(OR($K$6="Square Grid", M67=1), M67*N67*$K$5, (INT((N67+1)/2)*M67 + INT(N67/2)*IF(($G$6-M67*H67)&gt;=0.5*H67, M67, M67-1))*$K$5))</f>
        <v/>
      </c>
      <c r="P67" s="41">
        <f>IF(L67&lt;=0, 0, INT($G$8/L67))</f>
        <v/>
      </c>
      <c r="Q67" s="42">
        <f>MIN(O67, P67)</f>
        <v/>
      </c>
      <c r="R67" s="43">
        <f>ROUND((Q67*L67)/1000, 2)</f>
        <v/>
      </c>
      <c r="S67" s="44">
        <f>IF($C$8&gt;0, R67/$C$8, 0)</f>
        <v/>
      </c>
      <c r="T67" s="44">
        <f>IF(O67&gt;0, Q67/O67, 0)</f>
        <v/>
      </c>
      <c r="U67" s="12">
        <f>IF(Q67=0, "Exceeds Limit", IF(P67&lt;=O67, "Weight Limited", "Volume Limited"))</f>
        <v/>
      </c>
    </row>
    <row r="68" ht="19" customHeight="1">
      <c r="A68" s="45" t="n">
        <v>58</v>
      </c>
      <c r="B68" s="46" t="inlineStr">
        <is>
          <t>Carbon Steel</t>
        </is>
      </c>
      <c r="C68" s="19" t="inlineStr">
        <is>
          <t>ASME B36.10M</t>
        </is>
      </c>
      <c r="D68" s="18" t="inlineStr">
        <is>
          <t>1-1/2''</t>
        </is>
      </c>
      <c r="E68" s="45" t="n">
        <v>40</v>
      </c>
      <c r="F68" s="18" t="inlineStr">
        <is>
          <t>STD</t>
        </is>
      </c>
      <c r="G68" s="20" t="n">
        <v>1.9</v>
      </c>
      <c r="H68" s="47" t="n">
        <v>48.26</v>
      </c>
      <c r="I68" s="20" t="n">
        <v>0.145</v>
      </c>
      <c r="J68" s="47" t="n">
        <v>3.68</v>
      </c>
      <c r="K68" s="20">
        <f>ROUND((H68-J68)*J68*IF(B68="Carbon Steel",$K$7,IF(B68="Stainless Steel 304",$K$8,$L$8)), 3)</f>
        <v/>
      </c>
      <c r="L68" s="47">
        <f>ROUND(K68*$G$5, 2)</f>
        <v/>
      </c>
      <c r="M68" s="45">
        <f>INT($G$6/H68)</f>
        <v/>
      </c>
      <c r="N68" s="45">
        <f>IF(M68=0, 0, IF(OR($K$6="Square Grid", M68=1), INT($G$7/H68), IF($G$7&lt;H68, 0, 1+INT(($G$7-H68)/(0.8660254*H68)))))</f>
        <v/>
      </c>
      <c r="O68" s="48">
        <f>IF(OR(M68=0,N68=0), 0, IF(OR($K$6="Square Grid", M68=1), M68*N68*$K$5, (INT((N68+1)/2)*M68 + INT(N68/2)*IF(($G$6-M68*H68)&gt;=0.5*H68, M68, M68-1))*$K$5))</f>
        <v/>
      </c>
      <c r="P68" s="48">
        <f>IF(L68&lt;=0, 0, INT($G$8/L68))</f>
        <v/>
      </c>
      <c r="Q68" s="42">
        <f>MIN(O68, P68)</f>
        <v/>
      </c>
      <c r="R68" s="43">
        <f>ROUND((Q68*L68)/1000, 2)</f>
        <v/>
      </c>
      <c r="S68" s="49">
        <f>IF($C$8&gt;0, R68/$C$8, 0)</f>
        <v/>
      </c>
      <c r="T68" s="49">
        <f>IF(O68&gt;0, Q68/O68, 0)</f>
        <v/>
      </c>
      <c r="U68" s="18">
        <f>IF(Q68=0, "Exceeds Limit", IF(P68&lt;=O68, "Weight Limited", "Volume Limited"))</f>
        <v/>
      </c>
    </row>
    <row r="69" ht="19" customHeight="1">
      <c r="A69" s="38" t="n">
        <v>59</v>
      </c>
      <c r="B69" s="39" t="inlineStr">
        <is>
          <t>Carbon Steel</t>
        </is>
      </c>
      <c r="C69" s="13" t="inlineStr">
        <is>
          <t>ASME B36.10M</t>
        </is>
      </c>
      <c r="D69" s="12" t="inlineStr">
        <is>
          <t>1-1/2''</t>
        </is>
      </c>
      <c r="E69" s="38" t="n">
        <v>40</v>
      </c>
      <c r="F69" s="12" t="inlineStr">
        <is>
          <t>40</t>
        </is>
      </c>
      <c r="G69" s="14" t="n">
        <v>1.9</v>
      </c>
      <c r="H69" s="40" t="n">
        <v>48.26</v>
      </c>
      <c r="I69" s="14" t="n">
        <v>0.145</v>
      </c>
      <c r="J69" s="40" t="n">
        <v>3.68</v>
      </c>
      <c r="K69" s="14">
        <f>ROUND((H69-J69)*J69*IF(B69="Carbon Steel",$K$7,IF(B69="Stainless Steel 304",$K$8,$L$8)), 3)</f>
        <v/>
      </c>
      <c r="L69" s="40">
        <f>ROUND(K69*$G$5, 2)</f>
        <v/>
      </c>
      <c r="M69" s="38">
        <f>INT($G$6/H69)</f>
        <v/>
      </c>
      <c r="N69" s="38">
        <f>IF(M69=0, 0, IF(OR($K$6="Square Grid", M69=1), INT($G$7/H69), IF($G$7&lt;H69, 0, 1+INT(($G$7-H69)/(0.8660254*H69)))))</f>
        <v/>
      </c>
      <c r="O69" s="41">
        <f>IF(OR(M69=0,N69=0), 0, IF(OR($K$6="Square Grid", M69=1), M69*N69*$K$5, (INT((N69+1)/2)*M69 + INT(N69/2)*IF(($G$6-M69*H69)&gt;=0.5*H69, M69, M69-1))*$K$5))</f>
        <v/>
      </c>
      <c r="P69" s="41">
        <f>IF(L69&lt;=0, 0, INT($G$8/L69))</f>
        <v/>
      </c>
      <c r="Q69" s="42">
        <f>MIN(O69, P69)</f>
        <v/>
      </c>
      <c r="R69" s="43">
        <f>ROUND((Q69*L69)/1000, 2)</f>
        <v/>
      </c>
      <c r="S69" s="44">
        <f>IF($C$8&gt;0, R69/$C$8, 0)</f>
        <v/>
      </c>
      <c r="T69" s="44">
        <f>IF(O69&gt;0, Q69/O69, 0)</f>
        <v/>
      </c>
      <c r="U69" s="12">
        <f>IF(Q69=0, "Exceeds Limit", IF(P69&lt;=O69, "Weight Limited", "Volume Limited"))</f>
        <v/>
      </c>
    </row>
    <row r="70" ht="19" customHeight="1">
      <c r="A70" s="45" t="n">
        <v>60</v>
      </c>
      <c r="B70" s="46" t="inlineStr">
        <is>
          <t>Carbon Steel</t>
        </is>
      </c>
      <c r="C70" s="19" t="inlineStr">
        <is>
          <t>ASME B36.10M</t>
        </is>
      </c>
      <c r="D70" s="18" t="inlineStr">
        <is>
          <t>1-1/2''</t>
        </is>
      </c>
      <c r="E70" s="45" t="n">
        <v>40</v>
      </c>
      <c r="F70" s="18" t="inlineStr">
        <is>
          <t>XS</t>
        </is>
      </c>
      <c r="G70" s="20" t="n">
        <v>1.9</v>
      </c>
      <c r="H70" s="47" t="n">
        <v>48.26</v>
      </c>
      <c r="I70" s="20" t="n">
        <v>0.2</v>
      </c>
      <c r="J70" s="47" t="n">
        <v>5.08</v>
      </c>
      <c r="K70" s="20">
        <f>ROUND((H70-J70)*J70*IF(B70="Carbon Steel",$K$7,IF(B70="Stainless Steel 304",$K$8,$L$8)), 3)</f>
        <v/>
      </c>
      <c r="L70" s="47">
        <f>ROUND(K70*$G$5, 2)</f>
        <v/>
      </c>
      <c r="M70" s="45">
        <f>INT($G$6/H70)</f>
        <v/>
      </c>
      <c r="N70" s="45">
        <f>IF(M70=0, 0, IF(OR($K$6="Square Grid", M70=1), INT($G$7/H70), IF($G$7&lt;H70, 0, 1+INT(($G$7-H70)/(0.8660254*H70)))))</f>
        <v/>
      </c>
      <c r="O70" s="48">
        <f>IF(OR(M70=0,N70=0), 0, IF(OR($K$6="Square Grid", M70=1), M70*N70*$K$5, (INT((N70+1)/2)*M70 + INT(N70/2)*IF(($G$6-M70*H70)&gt;=0.5*H70, M70, M70-1))*$K$5))</f>
        <v/>
      </c>
      <c r="P70" s="48">
        <f>IF(L70&lt;=0, 0, INT($G$8/L70))</f>
        <v/>
      </c>
      <c r="Q70" s="42">
        <f>MIN(O70, P70)</f>
        <v/>
      </c>
      <c r="R70" s="43">
        <f>ROUND((Q70*L70)/1000, 2)</f>
        <v/>
      </c>
      <c r="S70" s="49">
        <f>IF($C$8&gt;0, R70/$C$8, 0)</f>
        <v/>
      </c>
      <c r="T70" s="49">
        <f>IF(O70&gt;0, Q70/O70, 0)</f>
        <v/>
      </c>
      <c r="U70" s="18">
        <f>IF(Q70=0, "Exceeds Limit", IF(P70&lt;=O70, "Weight Limited", "Volume Limited"))</f>
        <v/>
      </c>
    </row>
    <row r="71" ht="19" customHeight="1">
      <c r="A71" s="38" t="n">
        <v>61</v>
      </c>
      <c r="B71" s="39" t="inlineStr">
        <is>
          <t>Carbon Steel</t>
        </is>
      </c>
      <c r="C71" s="13" t="inlineStr">
        <is>
          <t>ASME B36.10M</t>
        </is>
      </c>
      <c r="D71" s="12" t="inlineStr">
        <is>
          <t>1-1/2''</t>
        </is>
      </c>
      <c r="E71" s="38" t="n">
        <v>40</v>
      </c>
      <c r="F71" s="12" t="inlineStr">
        <is>
          <t>80</t>
        </is>
      </c>
      <c r="G71" s="14" t="n">
        <v>1.9</v>
      </c>
      <c r="H71" s="40" t="n">
        <v>48.26</v>
      </c>
      <c r="I71" s="14" t="n">
        <v>0.2</v>
      </c>
      <c r="J71" s="40" t="n">
        <v>5.08</v>
      </c>
      <c r="K71" s="14">
        <f>ROUND((H71-J71)*J71*IF(B71="Carbon Steel",$K$7,IF(B71="Stainless Steel 304",$K$8,$L$8)), 3)</f>
        <v/>
      </c>
      <c r="L71" s="40">
        <f>ROUND(K71*$G$5, 2)</f>
        <v/>
      </c>
      <c r="M71" s="38">
        <f>INT($G$6/H71)</f>
        <v/>
      </c>
      <c r="N71" s="38">
        <f>IF(M71=0, 0, IF(OR($K$6="Square Grid", M71=1), INT($G$7/H71), IF($G$7&lt;H71, 0, 1+INT(($G$7-H71)/(0.8660254*H71)))))</f>
        <v/>
      </c>
      <c r="O71" s="41">
        <f>IF(OR(M71=0,N71=0), 0, IF(OR($K$6="Square Grid", M71=1), M71*N71*$K$5, (INT((N71+1)/2)*M71 + INT(N71/2)*IF(($G$6-M71*H71)&gt;=0.5*H71, M71, M71-1))*$K$5))</f>
        <v/>
      </c>
      <c r="P71" s="41">
        <f>IF(L71&lt;=0, 0, INT($G$8/L71))</f>
        <v/>
      </c>
      <c r="Q71" s="42">
        <f>MIN(O71, P71)</f>
        <v/>
      </c>
      <c r="R71" s="43">
        <f>ROUND((Q71*L71)/1000, 2)</f>
        <v/>
      </c>
      <c r="S71" s="44">
        <f>IF($C$8&gt;0, R71/$C$8, 0)</f>
        <v/>
      </c>
      <c r="T71" s="44">
        <f>IF(O71&gt;0, Q71/O71, 0)</f>
        <v/>
      </c>
      <c r="U71" s="12">
        <f>IF(Q71=0, "Exceeds Limit", IF(P71&lt;=O71, "Weight Limited", "Volume Limited"))</f>
        <v/>
      </c>
    </row>
    <row r="72" ht="19" customHeight="1">
      <c r="A72" s="45" t="n">
        <v>62</v>
      </c>
      <c r="B72" s="46" t="inlineStr">
        <is>
          <t>Carbon Steel</t>
        </is>
      </c>
      <c r="C72" s="19" t="inlineStr">
        <is>
          <t>ASME B36.10M</t>
        </is>
      </c>
      <c r="D72" s="18" t="inlineStr">
        <is>
          <t>1-1/2''</t>
        </is>
      </c>
      <c r="E72" s="45" t="n">
        <v>40</v>
      </c>
      <c r="F72" s="18" t="inlineStr">
        <is>
          <t>160</t>
        </is>
      </c>
      <c r="G72" s="20" t="n">
        <v>1.9</v>
      </c>
      <c r="H72" s="47" t="n">
        <v>48.26</v>
      </c>
      <c r="I72" s="20" t="n">
        <v>0.281</v>
      </c>
      <c r="J72" s="47" t="n">
        <v>7.14</v>
      </c>
      <c r="K72" s="20">
        <f>ROUND((H72-J72)*J72*IF(B72="Carbon Steel",$K$7,IF(B72="Stainless Steel 304",$K$8,$L$8)), 3)</f>
        <v/>
      </c>
      <c r="L72" s="47">
        <f>ROUND(K72*$G$5, 2)</f>
        <v/>
      </c>
      <c r="M72" s="45">
        <f>INT($G$6/H72)</f>
        <v/>
      </c>
      <c r="N72" s="45">
        <f>IF(M72=0, 0, IF(OR($K$6="Square Grid", M72=1), INT($G$7/H72), IF($G$7&lt;H72, 0, 1+INT(($G$7-H72)/(0.8660254*H72)))))</f>
        <v/>
      </c>
      <c r="O72" s="48">
        <f>IF(OR(M72=0,N72=0), 0, IF(OR($K$6="Square Grid", M72=1), M72*N72*$K$5, (INT((N72+1)/2)*M72 + INT(N72/2)*IF(($G$6-M72*H72)&gt;=0.5*H72, M72, M72-1))*$K$5))</f>
        <v/>
      </c>
      <c r="P72" s="48">
        <f>IF(L72&lt;=0, 0, INT($G$8/L72))</f>
        <v/>
      </c>
      <c r="Q72" s="42">
        <f>MIN(O72, P72)</f>
        <v/>
      </c>
      <c r="R72" s="43">
        <f>ROUND((Q72*L72)/1000, 2)</f>
        <v/>
      </c>
      <c r="S72" s="49">
        <f>IF($C$8&gt;0, R72/$C$8, 0)</f>
        <v/>
      </c>
      <c r="T72" s="49">
        <f>IF(O72&gt;0, Q72/O72, 0)</f>
        <v/>
      </c>
      <c r="U72" s="18">
        <f>IF(Q72=0, "Exceeds Limit", IF(P72&lt;=O72, "Weight Limited", "Volume Limited"))</f>
        <v/>
      </c>
    </row>
    <row r="73" ht="19" customHeight="1">
      <c r="A73" s="38" t="n">
        <v>63</v>
      </c>
      <c r="B73" s="39" t="inlineStr">
        <is>
          <t>Carbon Steel</t>
        </is>
      </c>
      <c r="C73" s="13" t="inlineStr">
        <is>
          <t>ASME B36.10M</t>
        </is>
      </c>
      <c r="D73" s="12" t="inlineStr">
        <is>
          <t>1-1/2''</t>
        </is>
      </c>
      <c r="E73" s="38" t="n">
        <v>40</v>
      </c>
      <c r="F73" s="12" t="inlineStr">
        <is>
          <t>XXS</t>
        </is>
      </c>
      <c r="G73" s="14" t="n">
        <v>1.9</v>
      </c>
      <c r="H73" s="40" t="n">
        <v>48.26</v>
      </c>
      <c r="I73" s="14" t="n">
        <v>0.4</v>
      </c>
      <c r="J73" s="40" t="n">
        <v>10.16</v>
      </c>
      <c r="K73" s="14">
        <f>ROUND((H73-J73)*J73*IF(B73="Carbon Steel",$K$7,IF(B73="Stainless Steel 304",$K$8,$L$8)), 3)</f>
        <v/>
      </c>
      <c r="L73" s="40">
        <f>ROUND(K73*$G$5, 2)</f>
        <v/>
      </c>
      <c r="M73" s="38">
        <f>INT($G$6/H73)</f>
        <v/>
      </c>
      <c r="N73" s="38">
        <f>IF(M73=0, 0, IF(OR($K$6="Square Grid", M73=1), INT($G$7/H73), IF($G$7&lt;H73, 0, 1+INT(($G$7-H73)/(0.8660254*H73)))))</f>
        <v/>
      </c>
      <c r="O73" s="41">
        <f>IF(OR(M73=0,N73=0), 0, IF(OR($K$6="Square Grid", M73=1), M73*N73*$K$5, (INT((N73+1)/2)*M73 + INT(N73/2)*IF(($G$6-M73*H73)&gt;=0.5*H73, M73, M73-1))*$K$5))</f>
        <v/>
      </c>
      <c r="P73" s="41">
        <f>IF(L73&lt;=0, 0, INT($G$8/L73))</f>
        <v/>
      </c>
      <c r="Q73" s="42">
        <f>MIN(O73, P73)</f>
        <v/>
      </c>
      <c r="R73" s="43">
        <f>ROUND((Q73*L73)/1000, 2)</f>
        <v/>
      </c>
      <c r="S73" s="44">
        <f>IF($C$8&gt;0, R73/$C$8, 0)</f>
        <v/>
      </c>
      <c r="T73" s="44">
        <f>IF(O73&gt;0, Q73/O73, 0)</f>
        <v/>
      </c>
      <c r="U73" s="12">
        <f>IF(Q73=0, "Exceeds Limit", IF(P73&lt;=O73, "Weight Limited", "Volume Limited"))</f>
        <v/>
      </c>
    </row>
    <row r="74" ht="19" customHeight="1">
      <c r="A74" s="45" t="n">
        <v>64</v>
      </c>
      <c r="B74" s="46" t="inlineStr">
        <is>
          <t>Carbon Steel</t>
        </is>
      </c>
      <c r="C74" s="19" t="inlineStr">
        <is>
          <t>ASME B36.10M</t>
        </is>
      </c>
      <c r="D74" s="18" t="inlineStr">
        <is>
          <t>2''</t>
        </is>
      </c>
      <c r="E74" s="45" t="n">
        <v>50</v>
      </c>
      <c r="F74" s="18" t="inlineStr">
        <is>
          <t>5</t>
        </is>
      </c>
      <c r="G74" s="20" t="n">
        <v>2.375</v>
      </c>
      <c r="H74" s="47" t="n">
        <v>60.32</v>
      </c>
      <c r="I74" s="20" t="n">
        <v>0.065</v>
      </c>
      <c r="J74" s="47" t="n">
        <v>1.65</v>
      </c>
      <c r="K74" s="20">
        <f>ROUND((H74-J74)*J74*IF(B74="Carbon Steel",$K$7,IF(B74="Stainless Steel 304",$K$8,$L$8)), 3)</f>
        <v/>
      </c>
      <c r="L74" s="47">
        <f>ROUND(K74*$G$5, 2)</f>
        <v/>
      </c>
      <c r="M74" s="45">
        <f>INT($G$6/H74)</f>
        <v/>
      </c>
      <c r="N74" s="45">
        <f>IF(M74=0, 0, IF(OR($K$6="Square Grid", M74=1), INT($G$7/H74), IF($G$7&lt;H74, 0, 1+INT(($G$7-H74)/(0.8660254*H74)))))</f>
        <v/>
      </c>
      <c r="O74" s="48">
        <f>IF(OR(M74=0,N74=0), 0, IF(OR($K$6="Square Grid", M74=1), M74*N74*$K$5, (INT((N74+1)/2)*M74 + INT(N74/2)*IF(($G$6-M74*H74)&gt;=0.5*H74, M74, M74-1))*$K$5))</f>
        <v/>
      </c>
      <c r="P74" s="48">
        <f>IF(L74&lt;=0, 0, INT($G$8/L74))</f>
        <v/>
      </c>
      <c r="Q74" s="42">
        <f>MIN(O74, P74)</f>
        <v/>
      </c>
      <c r="R74" s="43">
        <f>ROUND((Q74*L74)/1000, 2)</f>
        <v/>
      </c>
      <c r="S74" s="49">
        <f>IF($C$8&gt;0, R74/$C$8, 0)</f>
        <v/>
      </c>
      <c r="T74" s="49">
        <f>IF(O74&gt;0, Q74/O74, 0)</f>
        <v/>
      </c>
      <c r="U74" s="18">
        <f>IF(Q74=0, "Exceeds Limit", IF(P74&lt;=O74, "Weight Limited", "Volume Limited"))</f>
        <v/>
      </c>
    </row>
    <row r="75" ht="19" customHeight="1">
      <c r="A75" s="38" t="n">
        <v>65</v>
      </c>
      <c r="B75" s="39" t="inlineStr">
        <is>
          <t>Carbon Steel</t>
        </is>
      </c>
      <c r="C75" s="13" t="inlineStr">
        <is>
          <t>ASME B36.10M</t>
        </is>
      </c>
      <c r="D75" s="12" t="inlineStr">
        <is>
          <t>2''</t>
        </is>
      </c>
      <c r="E75" s="38" t="n">
        <v>50</v>
      </c>
      <c r="F75" s="12" t="inlineStr">
        <is>
          <t>10</t>
        </is>
      </c>
      <c r="G75" s="14" t="n">
        <v>2.375</v>
      </c>
      <c r="H75" s="40" t="n">
        <v>60.32</v>
      </c>
      <c r="I75" s="14" t="n">
        <v>0.109</v>
      </c>
      <c r="J75" s="40" t="n">
        <v>2.77</v>
      </c>
      <c r="K75" s="14">
        <f>ROUND((H75-J75)*J75*IF(B75="Carbon Steel",$K$7,IF(B75="Stainless Steel 304",$K$8,$L$8)), 3)</f>
        <v/>
      </c>
      <c r="L75" s="40">
        <f>ROUND(K75*$G$5, 2)</f>
        <v/>
      </c>
      <c r="M75" s="38">
        <f>INT($G$6/H75)</f>
        <v/>
      </c>
      <c r="N75" s="38">
        <f>IF(M75=0, 0, IF(OR($K$6="Square Grid", M75=1), INT($G$7/H75), IF($G$7&lt;H75, 0, 1+INT(($G$7-H75)/(0.8660254*H75)))))</f>
        <v/>
      </c>
      <c r="O75" s="41">
        <f>IF(OR(M75=0,N75=0), 0, IF(OR($K$6="Square Grid", M75=1), M75*N75*$K$5, (INT((N75+1)/2)*M75 + INT(N75/2)*IF(($G$6-M75*H75)&gt;=0.5*H75, M75, M75-1))*$K$5))</f>
        <v/>
      </c>
      <c r="P75" s="41">
        <f>IF(L75&lt;=0, 0, INT($G$8/L75))</f>
        <v/>
      </c>
      <c r="Q75" s="42">
        <f>MIN(O75, P75)</f>
        <v/>
      </c>
      <c r="R75" s="43">
        <f>ROUND((Q75*L75)/1000, 2)</f>
        <v/>
      </c>
      <c r="S75" s="44">
        <f>IF($C$8&gt;0, R75/$C$8, 0)</f>
        <v/>
      </c>
      <c r="T75" s="44">
        <f>IF(O75&gt;0, Q75/O75, 0)</f>
        <v/>
      </c>
      <c r="U75" s="12">
        <f>IF(Q75=0, "Exceeds Limit", IF(P75&lt;=O75, "Weight Limited", "Volume Limited"))</f>
        <v/>
      </c>
    </row>
    <row r="76" ht="19" customHeight="1">
      <c r="A76" s="45" t="n">
        <v>66</v>
      </c>
      <c r="B76" s="46" t="inlineStr">
        <is>
          <t>Carbon Steel</t>
        </is>
      </c>
      <c r="C76" s="19" t="inlineStr">
        <is>
          <t>ASME B36.10M</t>
        </is>
      </c>
      <c r="D76" s="18" t="inlineStr">
        <is>
          <t>2''</t>
        </is>
      </c>
      <c r="E76" s="45" t="n">
        <v>50</v>
      </c>
      <c r="F76" s="18" t="inlineStr">
        <is>
          <t>30</t>
        </is>
      </c>
      <c r="G76" s="20" t="n">
        <v>2.375</v>
      </c>
      <c r="H76" s="47" t="n">
        <v>60.32</v>
      </c>
      <c r="I76" s="20" t="n">
        <v>0.125</v>
      </c>
      <c r="J76" s="47" t="n">
        <v>3.17</v>
      </c>
      <c r="K76" s="20">
        <f>ROUND((H76-J76)*J76*IF(B76="Carbon Steel",$K$7,IF(B76="Stainless Steel 304",$K$8,$L$8)), 3)</f>
        <v/>
      </c>
      <c r="L76" s="47">
        <f>ROUND(K76*$G$5, 2)</f>
        <v/>
      </c>
      <c r="M76" s="45">
        <f>INT($G$6/H76)</f>
        <v/>
      </c>
      <c r="N76" s="45">
        <f>IF(M76=0, 0, IF(OR($K$6="Square Grid", M76=1), INT($G$7/H76), IF($G$7&lt;H76, 0, 1+INT(($G$7-H76)/(0.8660254*H76)))))</f>
        <v/>
      </c>
      <c r="O76" s="48">
        <f>IF(OR(M76=0,N76=0), 0, IF(OR($K$6="Square Grid", M76=1), M76*N76*$K$5, (INT((N76+1)/2)*M76 + INT(N76/2)*IF(($G$6-M76*H76)&gt;=0.5*H76, M76, M76-1))*$K$5))</f>
        <v/>
      </c>
      <c r="P76" s="48">
        <f>IF(L76&lt;=0, 0, INT($G$8/L76))</f>
        <v/>
      </c>
      <c r="Q76" s="42">
        <f>MIN(O76, P76)</f>
        <v/>
      </c>
      <c r="R76" s="43">
        <f>ROUND((Q76*L76)/1000, 2)</f>
        <v/>
      </c>
      <c r="S76" s="49">
        <f>IF($C$8&gt;0, R76/$C$8, 0)</f>
        <v/>
      </c>
      <c r="T76" s="49">
        <f>IF(O76&gt;0, Q76/O76, 0)</f>
        <v/>
      </c>
      <c r="U76" s="18">
        <f>IF(Q76=0, "Exceeds Limit", IF(P76&lt;=O76, "Weight Limited", "Volume Limited"))</f>
        <v/>
      </c>
    </row>
    <row r="77" ht="19" customHeight="1">
      <c r="A77" s="38" t="n">
        <v>67</v>
      </c>
      <c r="B77" s="39" t="inlineStr">
        <is>
          <t>Carbon Steel</t>
        </is>
      </c>
      <c r="C77" s="13" t="inlineStr">
        <is>
          <t>ASME B36.10M</t>
        </is>
      </c>
      <c r="D77" s="12" t="inlineStr">
        <is>
          <t>2''</t>
        </is>
      </c>
      <c r="E77" s="38" t="n">
        <v>50</v>
      </c>
      <c r="F77" s="12" t="inlineStr">
        <is>
          <t>STD</t>
        </is>
      </c>
      <c r="G77" s="14" t="n">
        <v>2.375</v>
      </c>
      <c r="H77" s="40" t="n">
        <v>60.32</v>
      </c>
      <c r="I77" s="14" t="n">
        <v>0.154</v>
      </c>
      <c r="J77" s="40" t="n">
        <v>3.91</v>
      </c>
      <c r="K77" s="14">
        <f>ROUND((H77-J77)*J77*IF(B77="Carbon Steel",$K$7,IF(B77="Stainless Steel 304",$K$8,$L$8)), 3)</f>
        <v/>
      </c>
      <c r="L77" s="40">
        <f>ROUND(K77*$G$5, 2)</f>
        <v/>
      </c>
      <c r="M77" s="38">
        <f>INT($G$6/H77)</f>
        <v/>
      </c>
      <c r="N77" s="38">
        <f>IF(M77=0, 0, IF(OR($K$6="Square Grid", M77=1), INT($G$7/H77), IF($G$7&lt;H77, 0, 1+INT(($G$7-H77)/(0.8660254*H77)))))</f>
        <v/>
      </c>
      <c r="O77" s="41">
        <f>IF(OR(M77=0,N77=0), 0, IF(OR($K$6="Square Grid", M77=1), M77*N77*$K$5, (INT((N77+1)/2)*M77 + INT(N77/2)*IF(($G$6-M77*H77)&gt;=0.5*H77, M77, M77-1))*$K$5))</f>
        <v/>
      </c>
      <c r="P77" s="41">
        <f>IF(L77&lt;=0, 0, INT($G$8/L77))</f>
        <v/>
      </c>
      <c r="Q77" s="42">
        <f>MIN(O77, P77)</f>
        <v/>
      </c>
      <c r="R77" s="43">
        <f>ROUND((Q77*L77)/1000, 2)</f>
        <v/>
      </c>
      <c r="S77" s="44">
        <f>IF($C$8&gt;0, R77/$C$8, 0)</f>
        <v/>
      </c>
      <c r="T77" s="44">
        <f>IF(O77&gt;0, Q77/O77, 0)</f>
        <v/>
      </c>
      <c r="U77" s="12">
        <f>IF(Q77=0, "Exceeds Limit", IF(P77&lt;=O77, "Weight Limited", "Volume Limited"))</f>
        <v/>
      </c>
    </row>
    <row r="78" ht="19" customHeight="1">
      <c r="A78" s="45" t="n">
        <v>68</v>
      </c>
      <c r="B78" s="46" t="inlineStr">
        <is>
          <t>Carbon Steel</t>
        </is>
      </c>
      <c r="C78" s="19" t="inlineStr">
        <is>
          <t>ASME B36.10M</t>
        </is>
      </c>
      <c r="D78" s="18" t="inlineStr">
        <is>
          <t>2''</t>
        </is>
      </c>
      <c r="E78" s="45" t="n">
        <v>50</v>
      </c>
      <c r="F78" s="18" t="inlineStr">
        <is>
          <t>40</t>
        </is>
      </c>
      <c r="G78" s="20" t="n">
        <v>2.375</v>
      </c>
      <c r="H78" s="47" t="n">
        <v>60.32</v>
      </c>
      <c r="I78" s="20" t="n">
        <v>0.154</v>
      </c>
      <c r="J78" s="47" t="n">
        <v>3.91</v>
      </c>
      <c r="K78" s="20">
        <f>ROUND((H78-J78)*J78*IF(B78="Carbon Steel",$K$7,IF(B78="Stainless Steel 304",$K$8,$L$8)), 3)</f>
        <v/>
      </c>
      <c r="L78" s="47">
        <f>ROUND(K78*$G$5, 2)</f>
        <v/>
      </c>
      <c r="M78" s="45">
        <f>INT($G$6/H78)</f>
        <v/>
      </c>
      <c r="N78" s="45">
        <f>IF(M78=0, 0, IF(OR($K$6="Square Grid", M78=1), INT($G$7/H78), IF($G$7&lt;H78, 0, 1+INT(($G$7-H78)/(0.8660254*H78)))))</f>
        <v/>
      </c>
      <c r="O78" s="48">
        <f>IF(OR(M78=0,N78=0), 0, IF(OR($K$6="Square Grid", M78=1), M78*N78*$K$5, (INT((N78+1)/2)*M78 + INT(N78/2)*IF(($G$6-M78*H78)&gt;=0.5*H78, M78, M78-1))*$K$5))</f>
        <v/>
      </c>
      <c r="P78" s="48">
        <f>IF(L78&lt;=0, 0, INT($G$8/L78))</f>
        <v/>
      </c>
      <c r="Q78" s="42">
        <f>MIN(O78, P78)</f>
        <v/>
      </c>
      <c r="R78" s="43">
        <f>ROUND((Q78*L78)/1000, 2)</f>
        <v/>
      </c>
      <c r="S78" s="49">
        <f>IF($C$8&gt;0, R78/$C$8, 0)</f>
        <v/>
      </c>
      <c r="T78" s="49">
        <f>IF(O78&gt;0, Q78/O78, 0)</f>
        <v/>
      </c>
      <c r="U78" s="18">
        <f>IF(Q78=0, "Exceeds Limit", IF(P78&lt;=O78, "Weight Limited", "Volume Limited"))</f>
        <v/>
      </c>
    </row>
    <row r="79" ht="19" customHeight="1">
      <c r="A79" s="38" t="n">
        <v>69</v>
      </c>
      <c r="B79" s="39" t="inlineStr">
        <is>
          <t>Carbon Steel</t>
        </is>
      </c>
      <c r="C79" s="13" t="inlineStr">
        <is>
          <t>ASME B36.10M</t>
        </is>
      </c>
      <c r="D79" s="12" t="inlineStr">
        <is>
          <t>2''</t>
        </is>
      </c>
      <c r="E79" s="38" t="n">
        <v>50</v>
      </c>
      <c r="F79" s="12" t="inlineStr">
        <is>
          <t>XS</t>
        </is>
      </c>
      <c r="G79" s="14" t="n">
        <v>2.375</v>
      </c>
      <c r="H79" s="40" t="n">
        <v>60.32</v>
      </c>
      <c r="I79" s="14" t="n">
        <v>0.218</v>
      </c>
      <c r="J79" s="40" t="n">
        <v>5.54</v>
      </c>
      <c r="K79" s="14">
        <f>ROUND((H79-J79)*J79*IF(B79="Carbon Steel",$K$7,IF(B79="Stainless Steel 304",$K$8,$L$8)), 3)</f>
        <v/>
      </c>
      <c r="L79" s="40">
        <f>ROUND(K79*$G$5, 2)</f>
        <v/>
      </c>
      <c r="M79" s="38">
        <f>INT($G$6/H79)</f>
        <v/>
      </c>
      <c r="N79" s="38">
        <f>IF(M79=0, 0, IF(OR($K$6="Square Grid", M79=1), INT($G$7/H79), IF($G$7&lt;H79, 0, 1+INT(($G$7-H79)/(0.8660254*H79)))))</f>
        <v/>
      </c>
      <c r="O79" s="41">
        <f>IF(OR(M79=0,N79=0), 0, IF(OR($K$6="Square Grid", M79=1), M79*N79*$K$5, (INT((N79+1)/2)*M79 + INT(N79/2)*IF(($G$6-M79*H79)&gt;=0.5*H79, M79, M79-1))*$K$5))</f>
        <v/>
      </c>
      <c r="P79" s="41">
        <f>IF(L79&lt;=0, 0, INT($G$8/L79))</f>
        <v/>
      </c>
      <c r="Q79" s="42">
        <f>MIN(O79, P79)</f>
        <v/>
      </c>
      <c r="R79" s="43">
        <f>ROUND((Q79*L79)/1000, 2)</f>
        <v/>
      </c>
      <c r="S79" s="44">
        <f>IF($C$8&gt;0, R79/$C$8, 0)</f>
        <v/>
      </c>
      <c r="T79" s="44">
        <f>IF(O79&gt;0, Q79/O79, 0)</f>
        <v/>
      </c>
      <c r="U79" s="12">
        <f>IF(Q79=0, "Exceeds Limit", IF(P79&lt;=O79, "Weight Limited", "Volume Limited"))</f>
        <v/>
      </c>
    </row>
    <row r="80" ht="19" customHeight="1">
      <c r="A80" s="45" t="n">
        <v>70</v>
      </c>
      <c r="B80" s="46" t="inlineStr">
        <is>
          <t>Carbon Steel</t>
        </is>
      </c>
      <c r="C80" s="19" t="inlineStr">
        <is>
          <t>ASME B36.10M</t>
        </is>
      </c>
      <c r="D80" s="18" t="inlineStr">
        <is>
          <t>2''</t>
        </is>
      </c>
      <c r="E80" s="45" t="n">
        <v>50</v>
      </c>
      <c r="F80" s="18" t="inlineStr">
        <is>
          <t>80</t>
        </is>
      </c>
      <c r="G80" s="20" t="n">
        <v>2.375</v>
      </c>
      <c r="H80" s="47" t="n">
        <v>60.32</v>
      </c>
      <c r="I80" s="20" t="n">
        <v>0.218</v>
      </c>
      <c r="J80" s="47" t="n">
        <v>5.54</v>
      </c>
      <c r="K80" s="20">
        <f>ROUND((H80-J80)*J80*IF(B80="Carbon Steel",$K$7,IF(B80="Stainless Steel 304",$K$8,$L$8)), 3)</f>
        <v/>
      </c>
      <c r="L80" s="47">
        <f>ROUND(K80*$G$5, 2)</f>
        <v/>
      </c>
      <c r="M80" s="45">
        <f>INT($G$6/H80)</f>
        <v/>
      </c>
      <c r="N80" s="45">
        <f>IF(M80=0, 0, IF(OR($K$6="Square Grid", M80=1), INT($G$7/H80), IF($G$7&lt;H80, 0, 1+INT(($G$7-H80)/(0.8660254*H80)))))</f>
        <v/>
      </c>
      <c r="O80" s="48">
        <f>IF(OR(M80=0,N80=0), 0, IF(OR($K$6="Square Grid", M80=1), M80*N80*$K$5, (INT((N80+1)/2)*M80 + INT(N80/2)*IF(($G$6-M80*H80)&gt;=0.5*H80, M80, M80-1))*$K$5))</f>
        <v/>
      </c>
      <c r="P80" s="48">
        <f>IF(L80&lt;=0, 0, INT($G$8/L80))</f>
        <v/>
      </c>
      <c r="Q80" s="42">
        <f>MIN(O80, P80)</f>
        <v/>
      </c>
      <c r="R80" s="43">
        <f>ROUND((Q80*L80)/1000, 2)</f>
        <v/>
      </c>
      <c r="S80" s="49">
        <f>IF($C$8&gt;0, R80/$C$8, 0)</f>
        <v/>
      </c>
      <c r="T80" s="49">
        <f>IF(O80&gt;0, Q80/O80, 0)</f>
        <v/>
      </c>
      <c r="U80" s="18">
        <f>IF(Q80=0, "Exceeds Limit", IF(P80&lt;=O80, "Weight Limited", "Volume Limited"))</f>
        <v/>
      </c>
    </row>
    <row r="81" ht="19" customHeight="1">
      <c r="A81" s="38" t="n">
        <v>71</v>
      </c>
      <c r="B81" s="39" t="inlineStr">
        <is>
          <t>Carbon Steel</t>
        </is>
      </c>
      <c r="C81" s="13" t="inlineStr">
        <is>
          <t>ASME B36.10M</t>
        </is>
      </c>
      <c r="D81" s="12" t="inlineStr">
        <is>
          <t>2''</t>
        </is>
      </c>
      <c r="E81" s="38" t="n">
        <v>50</v>
      </c>
      <c r="F81" s="12" t="inlineStr">
        <is>
          <t>160</t>
        </is>
      </c>
      <c r="G81" s="14" t="n">
        <v>2.375</v>
      </c>
      <c r="H81" s="40" t="n">
        <v>60.32</v>
      </c>
      <c r="I81" s="14" t="n">
        <v>0.344</v>
      </c>
      <c r="J81" s="40" t="n">
        <v>8.74</v>
      </c>
      <c r="K81" s="14">
        <f>ROUND((H81-J81)*J81*IF(B81="Carbon Steel",$K$7,IF(B81="Stainless Steel 304",$K$8,$L$8)), 3)</f>
        <v/>
      </c>
      <c r="L81" s="40">
        <f>ROUND(K81*$G$5, 2)</f>
        <v/>
      </c>
      <c r="M81" s="38">
        <f>INT($G$6/H81)</f>
        <v/>
      </c>
      <c r="N81" s="38">
        <f>IF(M81=0, 0, IF(OR($K$6="Square Grid", M81=1), INT($G$7/H81), IF($G$7&lt;H81, 0, 1+INT(($G$7-H81)/(0.8660254*H81)))))</f>
        <v/>
      </c>
      <c r="O81" s="41">
        <f>IF(OR(M81=0,N81=0), 0, IF(OR($K$6="Square Grid", M81=1), M81*N81*$K$5, (INT((N81+1)/2)*M81 + INT(N81/2)*IF(($G$6-M81*H81)&gt;=0.5*H81, M81, M81-1))*$K$5))</f>
        <v/>
      </c>
      <c r="P81" s="41">
        <f>IF(L81&lt;=0, 0, INT($G$8/L81))</f>
        <v/>
      </c>
      <c r="Q81" s="42">
        <f>MIN(O81, P81)</f>
        <v/>
      </c>
      <c r="R81" s="43">
        <f>ROUND((Q81*L81)/1000, 2)</f>
        <v/>
      </c>
      <c r="S81" s="44">
        <f>IF($C$8&gt;0, R81/$C$8, 0)</f>
        <v/>
      </c>
      <c r="T81" s="44">
        <f>IF(O81&gt;0, Q81/O81, 0)</f>
        <v/>
      </c>
      <c r="U81" s="12">
        <f>IF(Q81=0, "Exceeds Limit", IF(P81&lt;=O81, "Weight Limited", "Volume Limited"))</f>
        <v/>
      </c>
    </row>
    <row r="82" ht="19" customHeight="1">
      <c r="A82" s="45" t="n">
        <v>72</v>
      </c>
      <c r="B82" s="46" t="inlineStr">
        <is>
          <t>Carbon Steel</t>
        </is>
      </c>
      <c r="C82" s="19" t="inlineStr">
        <is>
          <t>ASME B36.10M</t>
        </is>
      </c>
      <c r="D82" s="18" t="inlineStr">
        <is>
          <t>2''</t>
        </is>
      </c>
      <c r="E82" s="45" t="n">
        <v>50</v>
      </c>
      <c r="F82" s="18" t="inlineStr">
        <is>
          <t>XXS</t>
        </is>
      </c>
      <c r="G82" s="20" t="n">
        <v>2.375</v>
      </c>
      <c r="H82" s="47" t="n">
        <v>60.32</v>
      </c>
      <c r="I82" s="20" t="n">
        <v>0.436</v>
      </c>
      <c r="J82" s="47" t="n">
        <v>11.07</v>
      </c>
      <c r="K82" s="20">
        <f>ROUND((H82-J82)*J82*IF(B82="Carbon Steel",$K$7,IF(B82="Stainless Steel 304",$K$8,$L$8)), 3)</f>
        <v/>
      </c>
      <c r="L82" s="47">
        <f>ROUND(K82*$G$5, 2)</f>
        <v/>
      </c>
      <c r="M82" s="45">
        <f>INT($G$6/H82)</f>
        <v/>
      </c>
      <c r="N82" s="45">
        <f>IF(M82=0, 0, IF(OR($K$6="Square Grid", M82=1), INT($G$7/H82), IF($G$7&lt;H82, 0, 1+INT(($G$7-H82)/(0.8660254*H82)))))</f>
        <v/>
      </c>
      <c r="O82" s="48">
        <f>IF(OR(M82=0,N82=0), 0, IF(OR($K$6="Square Grid", M82=1), M82*N82*$K$5, (INT((N82+1)/2)*M82 + INT(N82/2)*IF(($G$6-M82*H82)&gt;=0.5*H82, M82, M82-1))*$K$5))</f>
        <v/>
      </c>
      <c r="P82" s="48">
        <f>IF(L82&lt;=0, 0, INT($G$8/L82))</f>
        <v/>
      </c>
      <c r="Q82" s="42">
        <f>MIN(O82, P82)</f>
        <v/>
      </c>
      <c r="R82" s="43">
        <f>ROUND((Q82*L82)/1000, 2)</f>
        <v/>
      </c>
      <c r="S82" s="49">
        <f>IF($C$8&gt;0, R82/$C$8, 0)</f>
        <v/>
      </c>
      <c r="T82" s="49">
        <f>IF(O82&gt;0, Q82/O82, 0)</f>
        <v/>
      </c>
      <c r="U82" s="18">
        <f>IF(Q82=0, "Exceeds Limit", IF(P82&lt;=O82, "Weight Limited", "Volume Limited"))</f>
        <v/>
      </c>
    </row>
    <row r="83" ht="19" customHeight="1">
      <c r="A83" s="38" t="n">
        <v>73</v>
      </c>
      <c r="B83" s="39" t="inlineStr">
        <is>
          <t>Carbon Steel</t>
        </is>
      </c>
      <c r="C83" s="13" t="inlineStr">
        <is>
          <t>ASME B36.10M</t>
        </is>
      </c>
      <c r="D83" s="12" t="inlineStr">
        <is>
          <t>2-1/2''</t>
        </is>
      </c>
      <c r="E83" s="38" t="n">
        <v>65</v>
      </c>
      <c r="F83" s="12" t="inlineStr">
        <is>
          <t>5</t>
        </is>
      </c>
      <c r="G83" s="14" t="n">
        <v>2.875</v>
      </c>
      <c r="H83" s="40" t="n">
        <v>73.02</v>
      </c>
      <c r="I83" s="14" t="n">
        <v>0.083</v>
      </c>
      <c r="J83" s="40" t="n">
        <v>2.11</v>
      </c>
      <c r="K83" s="14">
        <f>ROUND((H83-J83)*J83*IF(B83="Carbon Steel",$K$7,IF(B83="Stainless Steel 304",$K$8,$L$8)), 3)</f>
        <v/>
      </c>
      <c r="L83" s="40">
        <f>ROUND(K83*$G$5, 2)</f>
        <v/>
      </c>
      <c r="M83" s="38">
        <f>INT($G$6/H83)</f>
        <v/>
      </c>
      <c r="N83" s="38">
        <f>IF(M83=0, 0, IF(OR($K$6="Square Grid", M83=1), INT($G$7/H83), IF($G$7&lt;H83, 0, 1+INT(($G$7-H83)/(0.8660254*H83)))))</f>
        <v/>
      </c>
      <c r="O83" s="41">
        <f>IF(OR(M83=0,N83=0), 0, IF(OR($K$6="Square Grid", M83=1), M83*N83*$K$5, (INT((N83+1)/2)*M83 + INT(N83/2)*IF(($G$6-M83*H83)&gt;=0.5*H83, M83, M83-1))*$K$5))</f>
        <v/>
      </c>
      <c r="P83" s="41">
        <f>IF(L83&lt;=0, 0, INT($G$8/L83))</f>
        <v/>
      </c>
      <c r="Q83" s="42">
        <f>MIN(O83, P83)</f>
        <v/>
      </c>
      <c r="R83" s="43">
        <f>ROUND((Q83*L83)/1000, 2)</f>
        <v/>
      </c>
      <c r="S83" s="44">
        <f>IF($C$8&gt;0, R83/$C$8, 0)</f>
        <v/>
      </c>
      <c r="T83" s="44">
        <f>IF(O83&gt;0, Q83/O83, 0)</f>
        <v/>
      </c>
      <c r="U83" s="12">
        <f>IF(Q83=0, "Exceeds Limit", IF(P83&lt;=O83, "Weight Limited", "Volume Limited"))</f>
        <v/>
      </c>
    </row>
    <row r="84" ht="19" customHeight="1">
      <c r="A84" s="45" t="n">
        <v>74</v>
      </c>
      <c r="B84" s="46" t="inlineStr">
        <is>
          <t>Carbon Steel</t>
        </is>
      </c>
      <c r="C84" s="19" t="inlineStr">
        <is>
          <t>ASME B36.10M</t>
        </is>
      </c>
      <c r="D84" s="18" t="inlineStr">
        <is>
          <t>2-1/2''</t>
        </is>
      </c>
      <c r="E84" s="45" t="n">
        <v>65</v>
      </c>
      <c r="F84" s="18" t="inlineStr">
        <is>
          <t>10</t>
        </is>
      </c>
      <c r="G84" s="20" t="n">
        <v>2.875</v>
      </c>
      <c r="H84" s="47" t="n">
        <v>73.02</v>
      </c>
      <c r="I84" s="20" t="n">
        <v>0.12</v>
      </c>
      <c r="J84" s="47" t="n">
        <v>3.05</v>
      </c>
      <c r="K84" s="20">
        <f>ROUND((H84-J84)*J84*IF(B84="Carbon Steel",$K$7,IF(B84="Stainless Steel 304",$K$8,$L$8)), 3)</f>
        <v/>
      </c>
      <c r="L84" s="47">
        <f>ROUND(K84*$G$5, 2)</f>
        <v/>
      </c>
      <c r="M84" s="45">
        <f>INT($G$6/H84)</f>
        <v/>
      </c>
      <c r="N84" s="45">
        <f>IF(M84=0, 0, IF(OR($K$6="Square Grid", M84=1), INT($G$7/H84), IF($G$7&lt;H84, 0, 1+INT(($G$7-H84)/(0.8660254*H84)))))</f>
        <v/>
      </c>
      <c r="O84" s="48">
        <f>IF(OR(M84=0,N84=0), 0, IF(OR($K$6="Square Grid", M84=1), M84*N84*$K$5, (INT((N84+1)/2)*M84 + INT(N84/2)*IF(($G$6-M84*H84)&gt;=0.5*H84, M84, M84-1))*$K$5))</f>
        <v/>
      </c>
      <c r="P84" s="48">
        <f>IF(L84&lt;=0, 0, INT($G$8/L84))</f>
        <v/>
      </c>
      <c r="Q84" s="42">
        <f>MIN(O84, P84)</f>
        <v/>
      </c>
      <c r="R84" s="43">
        <f>ROUND((Q84*L84)/1000, 2)</f>
        <v/>
      </c>
      <c r="S84" s="49">
        <f>IF($C$8&gt;0, R84/$C$8, 0)</f>
        <v/>
      </c>
      <c r="T84" s="49">
        <f>IF(O84&gt;0, Q84/O84, 0)</f>
        <v/>
      </c>
      <c r="U84" s="18">
        <f>IF(Q84=0, "Exceeds Limit", IF(P84&lt;=O84, "Weight Limited", "Volume Limited"))</f>
        <v/>
      </c>
    </row>
    <row r="85" ht="19" customHeight="1">
      <c r="A85" s="38" t="n">
        <v>75</v>
      </c>
      <c r="B85" s="39" t="inlineStr">
        <is>
          <t>Carbon Steel</t>
        </is>
      </c>
      <c r="C85" s="13" t="inlineStr">
        <is>
          <t>ASME B36.10M</t>
        </is>
      </c>
      <c r="D85" s="12" t="inlineStr">
        <is>
          <t>2-1/2''</t>
        </is>
      </c>
      <c r="E85" s="38" t="n">
        <v>65</v>
      </c>
      <c r="F85" s="12" t="inlineStr">
        <is>
          <t>30</t>
        </is>
      </c>
      <c r="G85" s="14" t="n">
        <v>2.875</v>
      </c>
      <c r="H85" s="40" t="n">
        <v>73.02</v>
      </c>
      <c r="I85" s="14" t="n">
        <v>0.188</v>
      </c>
      <c r="J85" s="40" t="n">
        <v>4.78</v>
      </c>
      <c r="K85" s="14">
        <f>ROUND((H85-J85)*J85*IF(B85="Carbon Steel",$K$7,IF(B85="Stainless Steel 304",$K$8,$L$8)), 3)</f>
        <v/>
      </c>
      <c r="L85" s="40">
        <f>ROUND(K85*$G$5, 2)</f>
        <v/>
      </c>
      <c r="M85" s="38">
        <f>INT($G$6/H85)</f>
        <v/>
      </c>
      <c r="N85" s="38">
        <f>IF(M85=0, 0, IF(OR($K$6="Square Grid", M85=1), INT($G$7/H85), IF($G$7&lt;H85, 0, 1+INT(($G$7-H85)/(0.8660254*H85)))))</f>
        <v/>
      </c>
      <c r="O85" s="41">
        <f>IF(OR(M85=0,N85=0), 0, IF(OR($K$6="Square Grid", M85=1), M85*N85*$K$5, (INT((N85+1)/2)*M85 + INT(N85/2)*IF(($G$6-M85*H85)&gt;=0.5*H85, M85, M85-1))*$K$5))</f>
        <v/>
      </c>
      <c r="P85" s="41">
        <f>IF(L85&lt;=0, 0, INT($G$8/L85))</f>
        <v/>
      </c>
      <c r="Q85" s="42">
        <f>MIN(O85, P85)</f>
        <v/>
      </c>
      <c r="R85" s="43">
        <f>ROUND((Q85*L85)/1000, 2)</f>
        <v/>
      </c>
      <c r="S85" s="44">
        <f>IF($C$8&gt;0, R85/$C$8, 0)</f>
        <v/>
      </c>
      <c r="T85" s="44">
        <f>IF(O85&gt;0, Q85/O85, 0)</f>
        <v/>
      </c>
      <c r="U85" s="12">
        <f>IF(Q85=0, "Exceeds Limit", IF(P85&lt;=O85, "Weight Limited", "Volume Limited"))</f>
        <v/>
      </c>
    </row>
    <row r="86" ht="19" customHeight="1">
      <c r="A86" s="45" t="n">
        <v>76</v>
      </c>
      <c r="B86" s="46" t="inlineStr">
        <is>
          <t>Carbon Steel</t>
        </is>
      </c>
      <c r="C86" s="19" t="inlineStr">
        <is>
          <t>ASME B36.10M</t>
        </is>
      </c>
      <c r="D86" s="18" t="inlineStr">
        <is>
          <t>2-1/2''</t>
        </is>
      </c>
      <c r="E86" s="45" t="n">
        <v>65</v>
      </c>
      <c r="F86" s="18" t="inlineStr">
        <is>
          <t>STD</t>
        </is>
      </c>
      <c r="G86" s="20" t="n">
        <v>2.875</v>
      </c>
      <c r="H86" s="47" t="n">
        <v>73.02</v>
      </c>
      <c r="I86" s="20" t="n">
        <v>0.203</v>
      </c>
      <c r="J86" s="47" t="n">
        <v>5.16</v>
      </c>
      <c r="K86" s="20">
        <f>ROUND((H86-J86)*J86*IF(B86="Carbon Steel",$K$7,IF(B86="Stainless Steel 304",$K$8,$L$8)), 3)</f>
        <v/>
      </c>
      <c r="L86" s="47">
        <f>ROUND(K86*$G$5, 2)</f>
        <v/>
      </c>
      <c r="M86" s="45">
        <f>INT($G$6/H86)</f>
        <v/>
      </c>
      <c r="N86" s="45">
        <f>IF(M86=0, 0, IF(OR($K$6="Square Grid", M86=1), INT($G$7/H86), IF($G$7&lt;H86, 0, 1+INT(($G$7-H86)/(0.8660254*H86)))))</f>
        <v/>
      </c>
      <c r="O86" s="48">
        <f>IF(OR(M86=0,N86=0), 0, IF(OR($K$6="Square Grid", M86=1), M86*N86*$K$5, (INT((N86+1)/2)*M86 + INT(N86/2)*IF(($G$6-M86*H86)&gt;=0.5*H86, M86, M86-1))*$K$5))</f>
        <v/>
      </c>
      <c r="P86" s="48">
        <f>IF(L86&lt;=0, 0, INT($G$8/L86))</f>
        <v/>
      </c>
      <c r="Q86" s="42">
        <f>MIN(O86, P86)</f>
        <v/>
      </c>
      <c r="R86" s="43">
        <f>ROUND((Q86*L86)/1000, 2)</f>
        <v/>
      </c>
      <c r="S86" s="49">
        <f>IF($C$8&gt;0, R86/$C$8, 0)</f>
        <v/>
      </c>
      <c r="T86" s="49">
        <f>IF(O86&gt;0, Q86/O86, 0)</f>
        <v/>
      </c>
      <c r="U86" s="18">
        <f>IF(Q86=0, "Exceeds Limit", IF(P86&lt;=O86, "Weight Limited", "Volume Limited"))</f>
        <v/>
      </c>
    </row>
    <row r="87" ht="19" customHeight="1">
      <c r="A87" s="38" t="n">
        <v>77</v>
      </c>
      <c r="B87" s="39" t="inlineStr">
        <is>
          <t>Carbon Steel</t>
        </is>
      </c>
      <c r="C87" s="13" t="inlineStr">
        <is>
          <t>ASME B36.10M</t>
        </is>
      </c>
      <c r="D87" s="12" t="inlineStr">
        <is>
          <t>2-1/2''</t>
        </is>
      </c>
      <c r="E87" s="38" t="n">
        <v>65</v>
      </c>
      <c r="F87" s="12" t="inlineStr">
        <is>
          <t>40</t>
        </is>
      </c>
      <c r="G87" s="14" t="n">
        <v>2.875</v>
      </c>
      <c r="H87" s="40" t="n">
        <v>73.02</v>
      </c>
      <c r="I87" s="14" t="n">
        <v>0.203</v>
      </c>
      <c r="J87" s="40" t="n">
        <v>5.16</v>
      </c>
      <c r="K87" s="14">
        <f>ROUND((H87-J87)*J87*IF(B87="Carbon Steel",$K$7,IF(B87="Stainless Steel 304",$K$8,$L$8)), 3)</f>
        <v/>
      </c>
      <c r="L87" s="40">
        <f>ROUND(K87*$G$5, 2)</f>
        <v/>
      </c>
      <c r="M87" s="38">
        <f>INT($G$6/H87)</f>
        <v/>
      </c>
      <c r="N87" s="38">
        <f>IF(M87=0, 0, IF(OR($K$6="Square Grid", M87=1), INT($G$7/H87), IF($G$7&lt;H87, 0, 1+INT(($G$7-H87)/(0.8660254*H87)))))</f>
        <v/>
      </c>
      <c r="O87" s="41">
        <f>IF(OR(M87=0,N87=0), 0, IF(OR($K$6="Square Grid", M87=1), M87*N87*$K$5, (INT((N87+1)/2)*M87 + INT(N87/2)*IF(($G$6-M87*H87)&gt;=0.5*H87, M87, M87-1))*$K$5))</f>
        <v/>
      </c>
      <c r="P87" s="41">
        <f>IF(L87&lt;=0, 0, INT($G$8/L87))</f>
        <v/>
      </c>
      <c r="Q87" s="42">
        <f>MIN(O87, P87)</f>
        <v/>
      </c>
      <c r="R87" s="43">
        <f>ROUND((Q87*L87)/1000, 2)</f>
        <v/>
      </c>
      <c r="S87" s="44">
        <f>IF($C$8&gt;0, R87/$C$8, 0)</f>
        <v/>
      </c>
      <c r="T87" s="44">
        <f>IF(O87&gt;0, Q87/O87, 0)</f>
        <v/>
      </c>
      <c r="U87" s="12">
        <f>IF(Q87=0, "Exceeds Limit", IF(P87&lt;=O87, "Weight Limited", "Volume Limited"))</f>
        <v/>
      </c>
    </row>
    <row r="88" ht="19" customHeight="1">
      <c r="A88" s="45" t="n">
        <v>78</v>
      </c>
      <c r="B88" s="46" t="inlineStr">
        <is>
          <t>Carbon Steel</t>
        </is>
      </c>
      <c r="C88" s="19" t="inlineStr">
        <is>
          <t>ASME B36.10M</t>
        </is>
      </c>
      <c r="D88" s="18" t="inlineStr">
        <is>
          <t>2-1/2''</t>
        </is>
      </c>
      <c r="E88" s="45" t="n">
        <v>65</v>
      </c>
      <c r="F88" s="18" t="inlineStr">
        <is>
          <t>XS</t>
        </is>
      </c>
      <c r="G88" s="20" t="n">
        <v>2.875</v>
      </c>
      <c r="H88" s="47" t="n">
        <v>73.02</v>
      </c>
      <c r="I88" s="20" t="n">
        <v>0.276</v>
      </c>
      <c r="J88" s="47" t="n">
        <v>7.01</v>
      </c>
      <c r="K88" s="20">
        <f>ROUND((H88-J88)*J88*IF(B88="Carbon Steel",$K$7,IF(B88="Stainless Steel 304",$K$8,$L$8)), 3)</f>
        <v/>
      </c>
      <c r="L88" s="47">
        <f>ROUND(K88*$G$5, 2)</f>
        <v/>
      </c>
      <c r="M88" s="45">
        <f>INT($G$6/H88)</f>
        <v/>
      </c>
      <c r="N88" s="45">
        <f>IF(M88=0, 0, IF(OR($K$6="Square Grid", M88=1), INT($G$7/H88), IF($G$7&lt;H88, 0, 1+INT(($G$7-H88)/(0.8660254*H88)))))</f>
        <v/>
      </c>
      <c r="O88" s="48">
        <f>IF(OR(M88=0,N88=0), 0, IF(OR($K$6="Square Grid", M88=1), M88*N88*$K$5, (INT((N88+1)/2)*M88 + INT(N88/2)*IF(($G$6-M88*H88)&gt;=0.5*H88, M88, M88-1))*$K$5))</f>
        <v/>
      </c>
      <c r="P88" s="48">
        <f>IF(L88&lt;=0, 0, INT($G$8/L88))</f>
        <v/>
      </c>
      <c r="Q88" s="42">
        <f>MIN(O88, P88)</f>
        <v/>
      </c>
      <c r="R88" s="43">
        <f>ROUND((Q88*L88)/1000, 2)</f>
        <v/>
      </c>
      <c r="S88" s="49">
        <f>IF($C$8&gt;0, R88/$C$8, 0)</f>
        <v/>
      </c>
      <c r="T88" s="49">
        <f>IF(O88&gt;0, Q88/O88, 0)</f>
        <v/>
      </c>
      <c r="U88" s="18">
        <f>IF(Q88=0, "Exceeds Limit", IF(P88&lt;=O88, "Weight Limited", "Volume Limited"))</f>
        <v/>
      </c>
    </row>
    <row r="89" ht="19" customHeight="1">
      <c r="A89" s="38" t="n">
        <v>79</v>
      </c>
      <c r="B89" s="39" t="inlineStr">
        <is>
          <t>Carbon Steel</t>
        </is>
      </c>
      <c r="C89" s="13" t="inlineStr">
        <is>
          <t>ASME B36.10M</t>
        </is>
      </c>
      <c r="D89" s="12" t="inlineStr">
        <is>
          <t>2-1/2''</t>
        </is>
      </c>
      <c r="E89" s="38" t="n">
        <v>65</v>
      </c>
      <c r="F89" s="12" t="inlineStr">
        <is>
          <t>80</t>
        </is>
      </c>
      <c r="G89" s="14" t="n">
        <v>2.875</v>
      </c>
      <c r="H89" s="40" t="n">
        <v>73.02</v>
      </c>
      <c r="I89" s="14" t="n">
        <v>0.276</v>
      </c>
      <c r="J89" s="40" t="n">
        <v>7.01</v>
      </c>
      <c r="K89" s="14">
        <f>ROUND((H89-J89)*J89*IF(B89="Carbon Steel",$K$7,IF(B89="Stainless Steel 304",$K$8,$L$8)), 3)</f>
        <v/>
      </c>
      <c r="L89" s="40">
        <f>ROUND(K89*$G$5, 2)</f>
        <v/>
      </c>
      <c r="M89" s="38">
        <f>INT($G$6/H89)</f>
        <v/>
      </c>
      <c r="N89" s="38">
        <f>IF(M89=0, 0, IF(OR($K$6="Square Grid", M89=1), INT($G$7/H89), IF($G$7&lt;H89, 0, 1+INT(($G$7-H89)/(0.8660254*H89)))))</f>
        <v/>
      </c>
      <c r="O89" s="41">
        <f>IF(OR(M89=0,N89=0), 0, IF(OR($K$6="Square Grid", M89=1), M89*N89*$K$5, (INT((N89+1)/2)*M89 + INT(N89/2)*IF(($G$6-M89*H89)&gt;=0.5*H89, M89, M89-1))*$K$5))</f>
        <v/>
      </c>
      <c r="P89" s="41">
        <f>IF(L89&lt;=0, 0, INT($G$8/L89))</f>
        <v/>
      </c>
      <c r="Q89" s="42">
        <f>MIN(O89, P89)</f>
        <v/>
      </c>
      <c r="R89" s="43">
        <f>ROUND((Q89*L89)/1000, 2)</f>
        <v/>
      </c>
      <c r="S89" s="44">
        <f>IF($C$8&gt;0, R89/$C$8, 0)</f>
        <v/>
      </c>
      <c r="T89" s="44">
        <f>IF(O89&gt;0, Q89/O89, 0)</f>
        <v/>
      </c>
      <c r="U89" s="12">
        <f>IF(Q89=0, "Exceeds Limit", IF(P89&lt;=O89, "Weight Limited", "Volume Limited"))</f>
        <v/>
      </c>
    </row>
    <row r="90" ht="19" customHeight="1">
      <c r="A90" s="45" t="n">
        <v>80</v>
      </c>
      <c r="B90" s="46" t="inlineStr">
        <is>
          <t>Carbon Steel</t>
        </is>
      </c>
      <c r="C90" s="19" t="inlineStr">
        <is>
          <t>ASME B36.10M</t>
        </is>
      </c>
      <c r="D90" s="18" t="inlineStr">
        <is>
          <t>2-1/2''</t>
        </is>
      </c>
      <c r="E90" s="45" t="n">
        <v>65</v>
      </c>
      <c r="F90" s="18" t="inlineStr">
        <is>
          <t>160</t>
        </is>
      </c>
      <c r="G90" s="20" t="n">
        <v>2.875</v>
      </c>
      <c r="H90" s="47" t="n">
        <v>73.02</v>
      </c>
      <c r="I90" s="20" t="n">
        <v>0.375</v>
      </c>
      <c r="J90" s="47" t="n">
        <v>9.52</v>
      </c>
      <c r="K90" s="20">
        <f>ROUND((H90-J90)*J90*IF(B90="Carbon Steel",$K$7,IF(B90="Stainless Steel 304",$K$8,$L$8)), 3)</f>
        <v/>
      </c>
      <c r="L90" s="47">
        <f>ROUND(K90*$G$5, 2)</f>
        <v/>
      </c>
      <c r="M90" s="45">
        <f>INT($G$6/H90)</f>
        <v/>
      </c>
      <c r="N90" s="45">
        <f>IF(M90=0, 0, IF(OR($K$6="Square Grid", M90=1), INT($G$7/H90), IF($G$7&lt;H90, 0, 1+INT(($G$7-H90)/(0.8660254*H90)))))</f>
        <v/>
      </c>
      <c r="O90" s="48">
        <f>IF(OR(M90=0,N90=0), 0, IF(OR($K$6="Square Grid", M90=1), M90*N90*$K$5, (INT((N90+1)/2)*M90 + INT(N90/2)*IF(($G$6-M90*H90)&gt;=0.5*H90, M90, M90-1))*$K$5))</f>
        <v/>
      </c>
      <c r="P90" s="48">
        <f>IF(L90&lt;=0, 0, INT($G$8/L90))</f>
        <v/>
      </c>
      <c r="Q90" s="42">
        <f>MIN(O90, P90)</f>
        <v/>
      </c>
      <c r="R90" s="43">
        <f>ROUND((Q90*L90)/1000, 2)</f>
        <v/>
      </c>
      <c r="S90" s="49">
        <f>IF($C$8&gt;0, R90/$C$8, 0)</f>
        <v/>
      </c>
      <c r="T90" s="49">
        <f>IF(O90&gt;0, Q90/O90, 0)</f>
        <v/>
      </c>
      <c r="U90" s="18">
        <f>IF(Q90=0, "Exceeds Limit", IF(P90&lt;=O90, "Weight Limited", "Volume Limited"))</f>
        <v/>
      </c>
    </row>
    <row r="91" ht="19" customHeight="1">
      <c r="A91" s="38" t="n">
        <v>81</v>
      </c>
      <c r="B91" s="39" t="inlineStr">
        <is>
          <t>Carbon Steel</t>
        </is>
      </c>
      <c r="C91" s="13" t="inlineStr">
        <is>
          <t>ASME B36.10M</t>
        </is>
      </c>
      <c r="D91" s="12" t="inlineStr">
        <is>
          <t>2-1/2''</t>
        </is>
      </c>
      <c r="E91" s="38" t="n">
        <v>65</v>
      </c>
      <c r="F91" s="12" t="inlineStr">
        <is>
          <t>XXS</t>
        </is>
      </c>
      <c r="G91" s="14" t="n">
        <v>2.875</v>
      </c>
      <c r="H91" s="40" t="n">
        <v>73.02</v>
      </c>
      <c r="I91" s="14" t="n">
        <v>0.552</v>
      </c>
      <c r="J91" s="40" t="n">
        <v>14.02</v>
      </c>
      <c r="K91" s="14">
        <f>ROUND((H91-J91)*J91*IF(B91="Carbon Steel",$K$7,IF(B91="Stainless Steel 304",$K$8,$L$8)), 3)</f>
        <v/>
      </c>
      <c r="L91" s="40">
        <f>ROUND(K91*$G$5, 2)</f>
        <v/>
      </c>
      <c r="M91" s="38">
        <f>INT($G$6/H91)</f>
        <v/>
      </c>
      <c r="N91" s="38">
        <f>IF(M91=0, 0, IF(OR($K$6="Square Grid", M91=1), INT($G$7/H91), IF($G$7&lt;H91, 0, 1+INT(($G$7-H91)/(0.8660254*H91)))))</f>
        <v/>
      </c>
      <c r="O91" s="41">
        <f>IF(OR(M91=0,N91=0), 0, IF(OR($K$6="Square Grid", M91=1), M91*N91*$K$5, (INT((N91+1)/2)*M91 + INT(N91/2)*IF(($G$6-M91*H91)&gt;=0.5*H91, M91, M91-1))*$K$5))</f>
        <v/>
      </c>
      <c r="P91" s="41">
        <f>IF(L91&lt;=0, 0, INT($G$8/L91))</f>
        <v/>
      </c>
      <c r="Q91" s="42">
        <f>MIN(O91, P91)</f>
        <v/>
      </c>
      <c r="R91" s="43">
        <f>ROUND((Q91*L91)/1000, 2)</f>
        <v/>
      </c>
      <c r="S91" s="44">
        <f>IF($C$8&gt;0, R91/$C$8, 0)</f>
        <v/>
      </c>
      <c r="T91" s="44">
        <f>IF(O91&gt;0, Q91/O91, 0)</f>
        <v/>
      </c>
      <c r="U91" s="12">
        <f>IF(Q91=0, "Exceeds Limit", IF(P91&lt;=O91, "Weight Limited", "Volume Limited"))</f>
        <v/>
      </c>
    </row>
    <row r="92" ht="19" customHeight="1">
      <c r="A92" s="45" t="n">
        <v>82</v>
      </c>
      <c r="B92" s="46" t="inlineStr">
        <is>
          <t>Carbon Steel</t>
        </is>
      </c>
      <c r="C92" s="19" t="inlineStr">
        <is>
          <t>ASME B36.10M</t>
        </is>
      </c>
      <c r="D92" s="18" t="inlineStr">
        <is>
          <t>3''</t>
        </is>
      </c>
      <c r="E92" s="45" t="n">
        <v>80</v>
      </c>
      <c r="F92" s="18" t="inlineStr">
        <is>
          <t>5</t>
        </is>
      </c>
      <c r="G92" s="20" t="n">
        <v>3.5</v>
      </c>
      <c r="H92" s="47" t="n">
        <v>88.90000000000001</v>
      </c>
      <c r="I92" s="20" t="n">
        <v>0.083</v>
      </c>
      <c r="J92" s="47" t="n">
        <v>2.11</v>
      </c>
      <c r="K92" s="20">
        <f>ROUND((H92-J92)*J92*IF(B92="Carbon Steel",$K$7,IF(B92="Stainless Steel 304",$K$8,$L$8)), 3)</f>
        <v/>
      </c>
      <c r="L92" s="47">
        <f>ROUND(K92*$G$5, 2)</f>
        <v/>
      </c>
      <c r="M92" s="45">
        <f>INT($G$6/H92)</f>
        <v/>
      </c>
      <c r="N92" s="45">
        <f>IF(M92=0, 0, IF(OR($K$6="Square Grid", M92=1), INT($G$7/H92), IF($G$7&lt;H92, 0, 1+INT(($G$7-H92)/(0.8660254*H92)))))</f>
        <v/>
      </c>
      <c r="O92" s="48">
        <f>IF(OR(M92=0,N92=0), 0, IF(OR($K$6="Square Grid", M92=1), M92*N92*$K$5, (INT((N92+1)/2)*M92 + INT(N92/2)*IF(($G$6-M92*H92)&gt;=0.5*H92, M92, M92-1))*$K$5))</f>
        <v/>
      </c>
      <c r="P92" s="48">
        <f>IF(L92&lt;=0, 0, INT($G$8/L92))</f>
        <v/>
      </c>
      <c r="Q92" s="42">
        <f>MIN(O92, P92)</f>
        <v/>
      </c>
      <c r="R92" s="43">
        <f>ROUND((Q92*L92)/1000, 2)</f>
        <v/>
      </c>
      <c r="S92" s="49">
        <f>IF($C$8&gt;0, R92/$C$8, 0)</f>
        <v/>
      </c>
      <c r="T92" s="49">
        <f>IF(O92&gt;0, Q92/O92, 0)</f>
        <v/>
      </c>
      <c r="U92" s="18">
        <f>IF(Q92=0, "Exceeds Limit", IF(P92&lt;=O92, "Weight Limited", "Volume Limited"))</f>
        <v/>
      </c>
    </row>
    <row r="93" ht="19" customHeight="1">
      <c r="A93" s="38" t="n">
        <v>83</v>
      </c>
      <c r="B93" s="39" t="inlineStr">
        <is>
          <t>Carbon Steel</t>
        </is>
      </c>
      <c r="C93" s="13" t="inlineStr">
        <is>
          <t>ASME B36.10M</t>
        </is>
      </c>
      <c r="D93" s="12" t="inlineStr">
        <is>
          <t>3''</t>
        </is>
      </c>
      <c r="E93" s="38" t="n">
        <v>80</v>
      </c>
      <c r="F93" s="12" t="inlineStr">
        <is>
          <t>10</t>
        </is>
      </c>
      <c r="G93" s="14" t="n">
        <v>3.5</v>
      </c>
      <c r="H93" s="40" t="n">
        <v>88.90000000000001</v>
      </c>
      <c r="I93" s="14" t="n">
        <v>0.12</v>
      </c>
      <c r="J93" s="40" t="n">
        <v>3.05</v>
      </c>
      <c r="K93" s="14">
        <f>ROUND((H93-J93)*J93*IF(B93="Carbon Steel",$K$7,IF(B93="Stainless Steel 304",$K$8,$L$8)), 3)</f>
        <v/>
      </c>
      <c r="L93" s="40">
        <f>ROUND(K93*$G$5, 2)</f>
        <v/>
      </c>
      <c r="M93" s="38">
        <f>INT($G$6/H93)</f>
        <v/>
      </c>
      <c r="N93" s="38">
        <f>IF(M93=0, 0, IF(OR($K$6="Square Grid", M93=1), INT($G$7/H93), IF($G$7&lt;H93, 0, 1+INT(($G$7-H93)/(0.8660254*H93)))))</f>
        <v/>
      </c>
      <c r="O93" s="41">
        <f>IF(OR(M93=0,N93=0), 0, IF(OR($K$6="Square Grid", M93=1), M93*N93*$K$5, (INT((N93+1)/2)*M93 + INT(N93/2)*IF(($G$6-M93*H93)&gt;=0.5*H93, M93, M93-1))*$K$5))</f>
        <v/>
      </c>
      <c r="P93" s="41">
        <f>IF(L93&lt;=0, 0, INT($G$8/L93))</f>
        <v/>
      </c>
      <c r="Q93" s="42">
        <f>MIN(O93, P93)</f>
        <v/>
      </c>
      <c r="R93" s="43">
        <f>ROUND((Q93*L93)/1000, 2)</f>
        <v/>
      </c>
      <c r="S93" s="44">
        <f>IF($C$8&gt;0, R93/$C$8, 0)</f>
        <v/>
      </c>
      <c r="T93" s="44">
        <f>IF(O93&gt;0, Q93/O93, 0)</f>
        <v/>
      </c>
      <c r="U93" s="12">
        <f>IF(Q93=0, "Exceeds Limit", IF(P93&lt;=O93, "Weight Limited", "Volume Limited"))</f>
        <v/>
      </c>
    </row>
    <row r="94" ht="19" customHeight="1">
      <c r="A94" s="45" t="n">
        <v>84</v>
      </c>
      <c r="B94" s="46" t="inlineStr">
        <is>
          <t>Carbon Steel</t>
        </is>
      </c>
      <c r="C94" s="19" t="inlineStr">
        <is>
          <t>ASME B36.10M</t>
        </is>
      </c>
      <c r="D94" s="18" t="inlineStr">
        <is>
          <t>3''</t>
        </is>
      </c>
      <c r="E94" s="45" t="n">
        <v>80</v>
      </c>
      <c r="F94" s="18" t="inlineStr">
        <is>
          <t>30</t>
        </is>
      </c>
      <c r="G94" s="20" t="n">
        <v>3.5</v>
      </c>
      <c r="H94" s="47" t="n">
        <v>88.90000000000001</v>
      </c>
      <c r="I94" s="20" t="n">
        <v>0.188</v>
      </c>
      <c r="J94" s="47" t="n">
        <v>4.78</v>
      </c>
      <c r="K94" s="20">
        <f>ROUND((H94-J94)*J94*IF(B94="Carbon Steel",$K$7,IF(B94="Stainless Steel 304",$K$8,$L$8)), 3)</f>
        <v/>
      </c>
      <c r="L94" s="47">
        <f>ROUND(K94*$G$5, 2)</f>
        <v/>
      </c>
      <c r="M94" s="45">
        <f>INT($G$6/H94)</f>
        <v/>
      </c>
      <c r="N94" s="45">
        <f>IF(M94=0, 0, IF(OR($K$6="Square Grid", M94=1), INT($G$7/H94), IF($G$7&lt;H94, 0, 1+INT(($G$7-H94)/(0.8660254*H94)))))</f>
        <v/>
      </c>
      <c r="O94" s="48">
        <f>IF(OR(M94=0,N94=0), 0, IF(OR($K$6="Square Grid", M94=1), M94*N94*$K$5, (INT((N94+1)/2)*M94 + INT(N94/2)*IF(($G$6-M94*H94)&gt;=0.5*H94, M94, M94-1))*$K$5))</f>
        <v/>
      </c>
      <c r="P94" s="48">
        <f>IF(L94&lt;=0, 0, INT($G$8/L94))</f>
        <v/>
      </c>
      <c r="Q94" s="42">
        <f>MIN(O94, P94)</f>
        <v/>
      </c>
      <c r="R94" s="43">
        <f>ROUND((Q94*L94)/1000, 2)</f>
        <v/>
      </c>
      <c r="S94" s="49">
        <f>IF($C$8&gt;0, R94/$C$8, 0)</f>
        <v/>
      </c>
      <c r="T94" s="49">
        <f>IF(O94&gt;0, Q94/O94, 0)</f>
        <v/>
      </c>
      <c r="U94" s="18">
        <f>IF(Q94=0, "Exceeds Limit", IF(P94&lt;=O94, "Weight Limited", "Volume Limited"))</f>
        <v/>
      </c>
    </row>
    <row r="95" ht="19" customHeight="1">
      <c r="A95" s="38" t="n">
        <v>85</v>
      </c>
      <c r="B95" s="39" t="inlineStr">
        <is>
          <t>Carbon Steel</t>
        </is>
      </c>
      <c r="C95" s="13" t="inlineStr">
        <is>
          <t>ASME B36.10M</t>
        </is>
      </c>
      <c r="D95" s="12" t="inlineStr">
        <is>
          <t>3''</t>
        </is>
      </c>
      <c r="E95" s="38" t="n">
        <v>80</v>
      </c>
      <c r="F95" s="12" t="inlineStr">
        <is>
          <t>STD</t>
        </is>
      </c>
      <c r="G95" s="14" t="n">
        <v>3.5</v>
      </c>
      <c r="H95" s="40" t="n">
        <v>88.90000000000001</v>
      </c>
      <c r="I95" s="14" t="n">
        <v>0.216</v>
      </c>
      <c r="J95" s="40" t="n">
        <v>5.49</v>
      </c>
      <c r="K95" s="14">
        <f>ROUND((H95-J95)*J95*IF(B95="Carbon Steel",$K$7,IF(B95="Stainless Steel 304",$K$8,$L$8)), 3)</f>
        <v/>
      </c>
      <c r="L95" s="40">
        <f>ROUND(K95*$G$5, 2)</f>
        <v/>
      </c>
      <c r="M95" s="38">
        <f>INT($G$6/H95)</f>
        <v/>
      </c>
      <c r="N95" s="38">
        <f>IF(M95=0, 0, IF(OR($K$6="Square Grid", M95=1), INT($G$7/H95), IF($G$7&lt;H95, 0, 1+INT(($G$7-H95)/(0.8660254*H95)))))</f>
        <v/>
      </c>
      <c r="O95" s="41">
        <f>IF(OR(M95=0,N95=0), 0, IF(OR($K$6="Square Grid", M95=1), M95*N95*$K$5, (INT((N95+1)/2)*M95 + INT(N95/2)*IF(($G$6-M95*H95)&gt;=0.5*H95, M95, M95-1))*$K$5))</f>
        <v/>
      </c>
      <c r="P95" s="41">
        <f>IF(L95&lt;=0, 0, INT($G$8/L95))</f>
        <v/>
      </c>
      <c r="Q95" s="42">
        <f>MIN(O95, P95)</f>
        <v/>
      </c>
      <c r="R95" s="43">
        <f>ROUND((Q95*L95)/1000, 2)</f>
        <v/>
      </c>
      <c r="S95" s="44">
        <f>IF($C$8&gt;0, R95/$C$8, 0)</f>
        <v/>
      </c>
      <c r="T95" s="44">
        <f>IF(O95&gt;0, Q95/O95, 0)</f>
        <v/>
      </c>
      <c r="U95" s="12">
        <f>IF(Q95=0, "Exceeds Limit", IF(P95&lt;=O95, "Weight Limited", "Volume Limited"))</f>
        <v/>
      </c>
    </row>
    <row r="96" ht="19" customHeight="1">
      <c r="A96" s="45" t="n">
        <v>86</v>
      </c>
      <c r="B96" s="46" t="inlineStr">
        <is>
          <t>Carbon Steel</t>
        </is>
      </c>
      <c r="C96" s="19" t="inlineStr">
        <is>
          <t>ASME B36.10M</t>
        </is>
      </c>
      <c r="D96" s="18" t="inlineStr">
        <is>
          <t>3''</t>
        </is>
      </c>
      <c r="E96" s="45" t="n">
        <v>80</v>
      </c>
      <c r="F96" s="18" t="inlineStr">
        <is>
          <t>40</t>
        </is>
      </c>
      <c r="G96" s="20" t="n">
        <v>3.5</v>
      </c>
      <c r="H96" s="47" t="n">
        <v>88.90000000000001</v>
      </c>
      <c r="I96" s="20" t="n">
        <v>0.216</v>
      </c>
      <c r="J96" s="47" t="n">
        <v>5.49</v>
      </c>
      <c r="K96" s="20">
        <f>ROUND((H96-J96)*J96*IF(B96="Carbon Steel",$K$7,IF(B96="Stainless Steel 304",$K$8,$L$8)), 3)</f>
        <v/>
      </c>
      <c r="L96" s="47">
        <f>ROUND(K96*$G$5, 2)</f>
        <v/>
      </c>
      <c r="M96" s="45">
        <f>INT($G$6/H96)</f>
        <v/>
      </c>
      <c r="N96" s="45">
        <f>IF(M96=0, 0, IF(OR($K$6="Square Grid", M96=1), INT($G$7/H96), IF($G$7&lt;H96, 0, 1+INT(($G$7-H96)/(0.8660254*H96)))))</f>
        <v/>
      </c>
      <c r="O96" s="48">
        <f>IF(OR(M96=0,N96=0), 0, IF(OR($K$6="Square Grid", M96=1), M96*N96*$K$5, (INT((N96+1)/2)*M96 + INT(N96/2)*IF(($G$6-M96*H96)&gt;=0.5*H96, M96, M96-1))*$K$5))</f>
        <v/>
      </c>
      <c r="P96" s="48">
        <f>IF(L96&lt;=0, 0, INT($G$8/L96))</f>
        <v/>
      </c>
      <c r="Q96" s="42">
        <f>MIN(O96, P96)</f>
        <v/>
      </c>
      <c r="R96" s="43">
        <f>ROUND((Q96*L96)/1000, 2)</f>
        <v/>
      </c>
      <c r="S96" s="49">
        <f>IF($C$8&gt;0, R96/$C$8, 0)</f>
        <v/>
      </c>
      <c r="T96" s="49">
        <f>IF(O96&gt;0, Q96/O96, 0)</f>
        <v/>
      </c>
      <c r="U96" s="18">
        <f>IF(Q96=0, "Exceeds Limit", IF(P96&lt;=O96, "Weight Limited", "Volume Limited"))</f>
        <v/>
      </c>
    </row>
    <row r="97" ht="19" customHeight="1">
      <c r="A97" s="38" t="n">
        <v>87</v>
      </c>
      <c r="B97" s="39" t="inlineStr">
        <is>
          <t>Carbon Steel</t>
        </is>
      </c>
      <c r="C97" s="13" t="inlineStr">
        <is>
          <t>ASME B36.10M</t>
        </is>
      </c>
      <c r="D97" s="12" t="inlineStr">
        <is>
          <t>3''</t>
        </is>
      </c>
      <c r="E97" s="38" t="n">
        <v>80</v>
      </c>
      <c r="F97" s="12" t="inlineStr">
        <is>
          <t>XS</t>
        </is>
      </c>
      <c r="G97" s="14" t="n">
        <v>3.5</v>
      </c>
      <c r="H97" s="40" t="n">
        <v>88.90000000000001</v>
      </c>
      <c r="I97" s="14" t="n">
        <v>0.3</v>
      </c>
      <c r="J97" s="40" t="n">
        <v>7.62</v>
      </c>
      <c r="K97" s="14">
        <f>ROUND((H97-J97)*J97*IF(B97="Carbon Steel",$K$7,IF(B97="Stainless Steel 304",$K$8,$L$8)), 3)</f>
        <v/>
      </c>
      <c r="L97" s="40">
        <f>ROUND(K97*$G$5, 2)</f>
        <v/>
      </c>
      <c r="M97" s="38">
        <f>INT($G$6/H97)</f>
        <v/>
      </c>
      <c r="N97" s="38">
        <f>IF(M97=0, 0, IF(OR($K$6="Square Grid", M97=1), INT($G$7/H97), IF($G$7&lt;H97, 0, 1+INT(($G$7-H97)/(0.8660254*H97)))))</f>
        <v/>
      </c>
      <c r="O97" s="41">
        <f>IF(OR(M97=0,N97=0), 0, IF(OR($K$6="Square Grid", M97=1), M97*N97*$K$5, (INT((N97+1)/2)*M97 + INT(N97/2)*IF(($G$6-M97*H97)&gt;=0.5*H97, M97, M97-1))*$K$5))</f>
        <v/>
      </c>
      <c r="P97" s="41">
        <f>IF(L97&lt;=0, 0, INT($G$8/L97))</f>
        <v/>
      </c>
      <c r="Q97" s="42">
        <f>MIN(O97, P97)</f>
        <v/>
      </c>
      <c r="R97" s="43">
        <f>ROUND((Q97*L97)/1000, 2)</f>
        <v/>
      </c>
      <c r="S97" s="44">
        <f>IF($C$8&gt;0, R97/$C$8, 0)</f>
        <v/>
      </c>
      <c r="T97" s="44">
        <f>IF(O97&gt;0, Q97/O97, 0)</f>
        <v/>
      </c>
      <c r="U97" s="12">
        <f>IF(Q97=0, "Exceeds Limit", IF(P97&lt;=O97, "Weight Limited", "Volume Limited"))</f>
        <v/>
      </c>
    </row>
    <row r="98" ht="19" customHeight="1">
      <c r="A98" s="45" t="n">
        <v>88</v>
      </c>
      <c r="B98" s="46" t="inlineStr">
        <is>
          <t>Carbon Steel</t>
        </is>
      </c>
      <c r="C98" s="19" t="inlineStr">
        <is>
          <t>ASME B36.10M</t>
        </is>
      </c>
      <c r="D98" s="18" t="inlineStr">
        <is>
          <t>3''</t>
        </is>
      </c>
      <c r="E98" s="45" t="n">
        <v>80</v>
      </c>
      <c r="F98" s="18" t="inlineStr">
        <is>
          <t>80</t>
        </is>
      </c>
      <c r="G98" s="20" t="n">
        <v>3.5</v>
      </c>
      <c r="H98" s="47" t="n">
        <v>88.90000000000001</v>
      </c>
      <c r="I98" s="20" t="n">
        <v>0.3</v>
      </c>
      <c r="J98" s="47" t="n">
        <v>7.62</v>
      </c>
      <c r="K98" s="20">
        <f>ROUND((H98-J98)*J98*IF(B98="Carbon Steel",$K$7,IF(B98="Stainless Steel 304",$K$8,$L$8)), 3)</f>
        <v/>
      </c>
      <c r="L98" s="47">
        <f>ROUND(K98*$G$5, 2)</f>
        <v/>
      </c>
      <c r="M98" s="45">
        <f>INT($G$6/H98)</f>
        <v/>
      </c>
      <c r="N98" s="45">
        <f>IF(M98=0, 0, IF(OR($K$6="Square Grid", M98=1), INT($G$7/H98), IF($G$7&lt;H98, 0, 1+INT(($G$7-H98)/(0.8660254*H98)))))</f>
        <v/>
      </c>
      <c r="O98" s="48">
        <f>IF(OR(M98=0,N98=0), 0, IF(OR($K$6="Square Grid", M98=1), M98*N98*$K$5, (INT((N98+1)/2)*M98 + INT(N98/2)*IF(($G$6-M98*H98)&gt;=0.5*H98, M98, M98-1))*$K$5))</f>
        <v/>
      </c>
      <c r="P98" s="48">
        <f>IF(L98&lt;=0, 0, INT($G$8/L98))</f>
        <v/>
      </c>
      <c r="Q98" s="42">
        <f>MIN(O98, P98)</f>
        <v/>
      </c>
      <c r="R98" s="43">
        <f>ROUND((Q98*L98)/1000, 2)</f>
        <v/>
      </c>
      <c r="S98" s="49">
        <f>IF($C$8&gt;0, R98/$C$8, 0)</f>
        <v/>
      </c>
      <c r="T98" s="49">
        <f>IF(O98&gt;0, Q98/O98, 0)</f>
        <v/>
      </c>
      <c r="U98" s="18">
        <f>IF(Q98=0, "Exceeds Limit", IF(P98&lt;=O98, "Weight Limited", "Volume Limited"))</f>
        <v/>
      </c>
    </row>
    <row r="99" ht="19" customHeight="1">
      <c r="A99" s="38" t="n">
        <v>89</v>
      </c>
      <c r="B99" s="39" t="inlineStr">
        <is>
          <t>Carbon Steel</t>
        </is>
      </c>
      <c r="C99" s="13" t="inlineStr">
        <is>
          <t>ASME B36.10M</t>
        </is>
      </c>
      <c r="D99" s="12" t="inlineStr">
        <is>
          <t>3''</t>
        </is>
      </c>
      <c r="E99" s="38" t="n">
        <v>80</v>
      </c>
      <c r="F99" s="12" t="inlineStr">
        <is>
          <t>160</t>
        </is>
      </c>
      <c r="G99" s="14" t="n">
        <v>3.5</v>
      </c>
      <c r="H99" s="40" t="n">
        <v>88.90000000000001</v>
      </c>
      <c r="I99" s="14" t="n">
        <v>0.438</v>
      </c>
      <c r="J99" s="40" t="n">
        <v>11.13</v>
      </c>
      <c r="K99" s="14">
        <f>ROUND((H99-J99)*J99*IF(B99="Carbon Steel",$K$7,IF(B99="Stainless Steel 304",$K$8,$L$8)), 3)</f>
        <v/>
      </c>
      <c r="L99" s="40">
        <f>ROUND(K99*$G$5, 2)</f>
        <v/>
      </c>
      <c r="M99" s="38">
        <f>INT($G$6/H99)</f>
        <v/>
      </c>
      <c r="N99" s="38">
        <f>IF(M99=0, 0, IF(OR($K$6="Square Grid", M99=1), INT($G$7/H99), IF($G$7&lt;H99, 0, 1+INT(($G$7-H99)/(0.8660254*H99)))))</f>
        <v/>
      </c>
      <c r="O99" s="41">
        <f>IF(OR(M99=0,N99=0), 0, IF(OR($K$6="Square Grid", M99=1), M99*N99*$K$5, (INT((N99+1)/2)*M99 + INT(N99/2)*IF(($G$6-M99*H99)&gt;=0.5*H99, M99, M99-1))*$K$5))</f>
        <v/>
      </c>
      <c r="P99" s="41">
        <f>IF(L99&lt;=0, 0, INT($G$8/L99))</f>
        <v/>
      </c>
      <c r="Q99" s="42">
        <f>MIN(O99, P99)</f>
        <v/>
      </c>
      <c r="R99" s="43">
        <f>ROUND((Q99*L99)/1000, 2)</f>
        <v/>
      </c>
      <c r="S99" s="44">
        <f>IF($C$8&gt;0, R99/$C$8, 0)</f>
        <v/>
      </c>
      <c r="T99" s="44">
        <f>IF(O99&gt;0, Q99/O99, 0)</f>
        <v/>
      </c>
      <c r="U99" s="12">
        <f>IF(Q99=0, "Exceeds Limit", IF(P99&lt;=O99, "Weight Limited", "Volume Limited"))</f>
        <v/>
      </c>
    </row>
    <row r="100" ht="19" customHeight="1">
      <c r="A100" s="45" t="n">
        <v>90</v>
      </c>
      <c r="B100" s="46" t="inlineStr">
        <is>
          <t>Carbon Steel</t>
        </is>
      </c>
      <c r="C100" s="19" t="inlineStr">
        <is>
          <t>ASME B36.10M</t>
        </is>
      </c>
      <c r="D100" s="18" t="inlineStr">
        <is>
          <t>3''</t>
        </is>
      </c>
      <c r="E100" s="45" t="n">
        <v>80</v>
      </c>
      <c r="F100" s="18" t="inlineStr">
        <is>
          <t>XXS</t>
        </is>
      </c>
      <c r="G100" s="20" t="n">
        <v>3.5</v>
      </c>
      <c r="H100" s="47" t="n">
        <v>88.90000000000001</v>
      </c>
      <c r="I100" s="20" t="n">
        <v>0.6</v>
      </c>
      <c r="J100" s="47" t="n">
        <v>15.24</v>
      </c>
      <c r="K100" s="20">
        <f>ROUND((H100-J100)*J100*IF(B100="Carbon Steel",$K$7,IF(B100="Stainless Steel 304",$K$8,$L$8)), 3)</f>
        <v/>
      </c>
      <c r="L100" s="47">
        <f>ROUND(K100*$G$5, 2)</f>
        <v/>
      </c>
      <c r="M100" s="45">
        <f>INT($G$6/H100)</f>
        <v/>
      </c>
      <c r="N100" s="45">
        <f>IF(M100=0, 0, IF(OR($K$6="Square Grid", M100=1), INT($G$7/H100), IF($G$7&lt;H100, 0, 1+INT(($G$7-H100)/(0.8660254*H100)))))</f>
        <v/>
      </c>
      <c r="O100" s="48">
        <f>IF(OR(M100=0,N100=0), 0, IF(OR($K$6="Square Grid", M100=1), M100*N100*$K$5, (INT((N100+1)/2)*M100 + INT(N100/2)*IF(($G$6-M100*H100)&gt;=0.5*H100, M100, M100-1))*$K$5))</f>
        <v/>
      </c>
      <c r="P100" s="48">
        <f>IF(L100&lt;=0, 0, INT($G$8/L100))</f>
        <v/>
      </c>
      <c r="Q100" s="42">
        <f>MIN(O100, P100)</f>
        <v/>
      </c>
      <c r="R100" s="43">
        <f>ROUND((Q100*L100)/1000, 2)</f>
        <v/>
      </c>
      <c r="S100" s="49">
        <f>IF($C$8&gt;0, R100/$C$8, 0)</f>
        <v/>
      </c>
      <c r="T100" s="49">
        <f>IF(O100&gt;0, Q100/O100, 0)</f>
        <v/>
      </c>
      <c r="U100" s="18">
        <f>IF(Q100=0, "Exceeds Limit", IF(P100&lt;=O100, "Weight Limited", "Volume Limited"))</f>
        <v/>
      </c>
    </row>
    <row r="101" ht="19" customHeight="1">
      <c r="A101" s="38" t="n">
        <v>91</v>
      </c>
      <c r="B101" s="39" t="inlineStr">
        <is>
          <t>Carbon Steel</t>
        </is>
      </c>
      <c r="C101" s="13" t="inlineStr">
        <is>
          <t>ASME B36.10M</t>
        </is>
      </c>
      <c r="D101" s="12" t="inlineStr">
        <is>
          <t>3-1/2''</t>
        </is>
      </c>
      <c r="E101" s="38" t="n">
        <v>90</v>
      </c>
      <c r="F101" s="12" t="inlineStr">
        <is>
          <t>5</t>
        </is>
      </c>
      <c r="G101" s="14" t="n">
        <v>4</v>
      </c>
      <c r="H101" s="40" t="n">
        <v>101.6</v>
      </c>
      <c r="I101" s="14" t="n">
        <v>0.083</v>
      </c>
      <c r="J101" s="40" t="n">
        <v>2.11</v>
      </c>
      <c r="K101" s="14">
        <f>ROUND((H101-J101)*J101*IF(B101="Carbon Steel",$K$7,IF(B101="Stainless Steel 304",$K$8,$L$8)), 3)</f>
        <v/>
      </c>
      <c r="L101" s="40">
        <f>ROUND(K101*$G$5, 2)</f>
        <v/>
      </c>
      <c r="M101" s="38">
        <f>INT($G$6/H101)</f>
        <v/>
      </c>
      <c r="N101" s="38">
        <f>IF(M101=0, 0, IF(OR($K$6="Square Grid", M101=1), INT($G$7/H101), IF($G$7&lt;H101, 0, 1+INT(($G$7-H101)/(0.8660254*H101)))))</f>
        <v/>
      </c>
      <c r="O101" s="41">
        <f>IF(OR(M101=0,N101=0), 0, IF(OR($K$6="Square Grid", M101=1), M101*N101*$K$5, (INT((N101+1)/2)*M101 + INT(N101/2)*IF(($G$6-M101*H101)&gt;=0.5*H101, M101, M101-1))*$K$5))</f>
        <v/>
      </c>
      <c r="P101" s="41">
        <f>IF(L101&lt;=0, 0, INT($G$8/L101))</f>
        <v/>
      </c>
      <c r="Q101" s="42">
        <f>MIN(O101, P101)</f>
        <v/>
      </c>
      <c r="R101" s="43">
        <f>ROUND((Q101*L101)/1000, 2)</f>
        <v/>
      </c>
      <c r="S101" s="44">
        <f>IF($C$8&gt;0, R101/$C$8, 0)</f>
        <v/>
      </c>
      <c r="T101" s="44">
        <f>IF(O101&gt;0, Q101/O101, 0)</f>
        <v/>
      </c>
      <c r="U101" s="12">
        <f>IF(Q101=0, "Exceeds Limit", IF(P101&lt;=O101, "Weight Limited", "Volume Limited"))</f>
        <v/>
      </c>
    </row>
    <row r="102" ht="19" customHeight="1">
      <c r="A102" s="45" t="n">
        <v>92</v>
      </c>
      <c r="B102" s="46" t="inlineStr">
        <is>
          <t>Carbon Steel</t>
        </is>
      </c>
      <c r="C102" s="19" t="inlineStr">
        <is>
          <t>ASME B36.10M</t>
        </is>
      </c>
      <c r="D102" s="18" t="inlineStr">
        <is>
          <t>3-1/2''</t>
        </is>
      </c>
      <c r="E102" s="45" t="n">
        <v>90</v>
      </c>
      <c r="F102" s="18" t="inlineStr">
        <is>
          <t>10</t>
        </is>
      </c>
      <c r="G102" s="20" t="n">
        <v>4</v>
      </c>
      <c r="H102" s="47" t="n">
        <v>101.6</v>
      </c>
      <c r="I102" s="20" t="n">
        <v>0.12</v>
      </c>
      <c r="J102" s="47" t="n">
        <v>3.05</v>
      </c>
      <c r="K102" s="20">
        <f>ROUND((H102-J102)*J102*IF(B102="Carbon Steel",$K$7,IF(B102="Stainless Steel 304",$K$8,$L$8)), 3)</f>
        <v/>
      </c>
      <c r="L102" s="47">
        <f>ROUND(K102*$G$5, 2)</f>
        <v/>
      </c>
      <c r="M102" s="45">
        <f>INT($G$6/H102)</f>
        <v/>
      </c>
      <c r="N102" s="45">
        <f>IF(M102=0, 0, IF(OR($K$6="Square Grid", M102=1), INT($G$7/H102), IF($G$7&lt;H102, 0, 1+INT(($G$7-H102)/(0.8660254*H102)))))</f>
        <v/>
      </c>
      <c r="O102" s="48">
        <f>IF(OR(M102=0,N102=0), 0, IF(OR($K$6="Square Grid", M102=1), M102*N102*$K$5, (INT((N102+1)/2)*M102 + INT(N102/2)*IF(($G$6-M102*H102)&gt;=0.5*H102, M102, M102-1))*$K$5))</f>
        <v/>
      </c>
      <c r="P102" s="48">
        <f>IF(L102&lt;=0, 0, INT($G$8/L102))</f>
        <v/>
      </c>
      <c r="Q102" s="42">
        <f>MIN(O102, P102)</f>
        <v/>
      </c>
      <c r="R102" s="43">
        <f>ROUND((Q102*L102)/1000, 2)</f>
        <v/>
      </c>
      <c r="S102" s="49">
        <f>IF($C$8&gt;0, R102/$C$8, 0)</f>
        <v/>
      </c>
      <c r="T102" s="49">
        <f>IF(O102&gt;0, Q102/O102, 0)</f>
        <v/>
      </c>
      <c r="U102" s="18">
        <f>IF(Q102=0, "Exceeds Limit", IF(P102&lt;=O102, "Weight Limited", "Volume Limited"))</f>
        <v/>
      </c>
    </row>
    <row r="103" ht="19" customHeight="1">
      <c r="A103" s="38" t="n">
        <v>93</v>
      </c>
      <c r="B103" s="39" t="inlineStr">
        <is>
          <t>Carbon Steel</t>
        </is>
      </c>
      <c r="C103" s="13" t="inlineStr">
        <is>
          <t>ASME B36.10M</t>
        </is>
      </c>
      <c r="D103" s="12" t="inlineStr">
        <is>
          <t>3-1/2''</t>
        </is>
      </c>
      <c r="E103" s="38" t="n">
        <v>90</v>
      </c>
      <c r="F103" s="12" t="inlineStr">
        <is>
          <t>30</t>
        </is>
      </c>
      <c r="G103" s="14" t="n">
        <v>4</v>
      </c>
      <c r="H103" s="40" t="n">
        <v>101.6</v>
      </c>
      <c r="I103" s="14" t="n">
        <v>0.188</v>
      </c>
      <c r="J103" s="40" t="n">
        <v>4.78</v>
      </c>
      <c r="K103" s="14">
        <f>ROUND((H103-J103)*J103*IF(B103="Carbon Steel",$K$7,IF(B103="Stainless Steel 304",$K$8,$L$8)), 3)</f>
        <v/>
      </c>
      <c r="L103" s="40">
        <f>ROUND(K103*$G$5, 2)</f>
        <v/>
      </c>
      <c r="M103" s="38">
        <f>INT($G$6/H103)</f>
        <v/>
      </c>
      <c r="N103" s="38">
        <f>IF(M103=0, 0, IF(OR($K$6="Square Grid", M103=1), INT($G$7/H103), IF($G$7&lt;H103, 0, 1+INT(($G$7-H103)/(0.8660254*H103)))))</f>
        <v/>
      </c>
      <c r="O103" s="41">
        <f>IF(OR(M103=0,N103=0), 0, IF(OR($K$6="Square Grid", M103=1), M103*N103*$K$5, (INT((N103+1)/2)*M103 + INT(N103/2)*IF(($G$6-M103*H103)&gt;=0.5*H103, M103, M103-1))*$K$5))</f>
        <v/>
      </c>
      <c r="P103" s="41">
        <f>IF(L103&lt;=0, 0, INT($G$8/L103))</f>
        <v/>
      </c>
      <c r="Q103" s="42">
        <f>MIN(O103, P103)</f>
        <v/>
      </c>
      <c r="R103" s="43">
        <f>ROUND((Q103*L103)/1000, 2)</f>
        <v/>
      </c>
      <c r="S103" s="44">
        <f>IF($C$8&gt;0, R103/$C$8, 0)</f>
        <v/>
      </c>
      <c r="T103" s="44">
        <f>IF(O103&gt;0, Q103/O103, 0)</f>
        <v/>
      </c>
      <c r="U103" s="12">
        <f>IF(Q103=0, "Exceeds Limit", IF(P103&lt;=O103, "Weight Limited", "Volume Limited"))</f>
        <v/>
      </c>
    </row>
    <row r="104" ht="19" customHeight="1">
      <c r="A104" s="45" t="n">
        <v>94</v>
      </c>
      <c r="B104" s="46" t="inlineStr">
        <is>
          <t>Carbon Steel</t>
        </is>
      </c>
      <c r="C104" s="19" t="inlineStr">
        <is>
          <t>ASME B36.10M</t>
        </is>
      </c>
      <c r="D104" s="18" t="inlineStr">
        <is>
          <t>3-1/2''</t>
        </is>
      </c>
      <c r="E104" s="45" t="n">
        <v>90</v>
      </c>
      <c r="F104" s="18" t="inlineStr">
        <is>
          <t>STD</t>
        </is>
      </c>
      <c r="G104" s="20" t="n">
        <v>4</v>
      </c>
      <c r="H104" s="47" t="n">
        <v>101.6</v>
      </c>
      <c r="I104" s="20" t="n">
        <v>0.226</v>
      </c>
      <c r="J104" s="47" t="n">
        <v>5.74</v>
      </c>
      <c r="K104" s="20">
        <f>ROUND((H104-J104)*J104*IF(B104="Carbon Steel",$K$7,IF(B104="Stainless Steel 304",$K$8,$L$8)), 3)</f>
        <v/>
      </c>
      <c r="L104" s="47">
        <f>ROUND(K104*$G$5, 2)</f>
        <v/>
      </c>
      <c r="M104" s="45">
        <f>INT($G$6/H104)</f>
        <v/>
      </c>
      <c r="N104" s="45">
        <f>IF(M104=0, 0, IF(OR($K$6="Square Grid", M104=1), INT($G$7/H104), IF($G$7&lt;H104, 0, 1+INT(($G$7-H104)/(0.8660254*H104)))))</f>
        <v/>
      </c>
      <c r="O104" s="48">
        <f>IF(OR(M104=0,N104=0), 0, IF(OR($K$6="Square Grid", M104=1), M104*N104*$K$5, (INT((N104+1)/2)*M104 + INT(N104/2)*IF(($G$6-M104*H104)&gt;=0.5*H104, M104, M104-1))*$K$5))</f>
        <v/>
      </c>
      <c r="P104" s="48">
        <f>IF(L104&lt;=0, 0, INT($G$8/L104))</f>
        <v/>
      </c>
      <c r="Q104" s="42">
        <f>MIN(O104, P104)</f>
        <v/>
      </c>
      <c r="R104" s="43">
        <f>ROUND((Q104*L104)/1000, 2)</f>
        <v/>
      </c>
      <c r="S104" s="49">
        <f>IF($C$8&gt;0, R104/$C$8, 0)</f>
        <v/>
      </c>
      <c r="T104" s="49">
        <f>IF(O104&gt;0, Q104/O104, 0)</f>
        <v/>
      </c>
      <c r="U104" s="18">
        <f>IF(Q104=0, "Exceeds Limit", IF(P104&lt;=O104, "Weight Limited", "Volume Limited"))</f>
        <v/>
      </c>
    </row>
    <row r="105" ht="19" customHeight="1">
      <c r="A105" s="38" t="n">
        <v>95</v>
      </c>
      <c r="B105" s="39" t="inlineStr">
        <is>
          <t>Carbon Steel</t>
        </is>
      </c>
      <c r="C105" s="13" t="inlineStr">
        <is>
          <t>ASME B36.10M</t>
        </is>
      </c>
      <c r="D105" s="12" t="inlineStr">
        <is>
          <t>3-1/2''</t>
        </is>
      </c>
      <c r="E105" s="38" t="n">
        <v>90</v>
      </c>
      <c r="F105" s="12" t="inlineStr">
        <is>
          <t>40</t>
        </is>
      </c>
      <c r="G105" s="14" t="n">
        <v>4</v>
      </c>
      <c r="H105" s="40" t="n">
        <v>101.6</v>
      </c>
      <c r="I105" s="14" t="n">
        <v>0.226</v>
      </c>
      <c r="J105" s="40" t="n">
        <v>5.74</v>
      </c>
      <c r="K105" s="14">
        <f>ROUND((H105-J105)*J105*IF(B105="Carbon Steel",$K$7,IF(B105="Stainless Steel 304",$K$8,$L$8)), 3)</f>
        <v/>
      </c>
      <c r="L105" s="40">
        <f>ROUND(K105*$G$5, 2)</f>
        <v/>
      </c>
      <c r="M105" s="38">
        <f>INT($G$6/H105)</f>
        <v/>
      </c>
      <c r="N105" s="38">
        <f>IF(M105=0, 0, IF(OR($K$6="Square Grid", M105=1), INT($G$7/H105), IF($G$7&lt;H105, 0, 1+INT(($G$7-H105)/(0.8660254*H105)))))</f>
        <v/>
      </c>
      <c r="O105" s="41">
        <f>IF(OR(M105=0,N105=0), 0, IF(OR($K$6="Square Grid", M105=1), M105*N105*$K$5, (INT((N105+1)/2)*M105 + INT(N105/2)*IF(($G$6-M105*H105)&gt;=0.5*H105, M105, M105-1))*$K$5))</f>
        <v/>
      </c>
      <c r="P105" s="41">
        <f>IF(L105&lt;=0, 0, INT($G$8/L105))</f>
        <v/>
      </c>
      <c r="Q105" s="42">
        <f>MIN(O105, P105)</f>
        <v/>
      </c>
      <c r="R105" s="43">
        <f>ROUND((Q105*L105)/1000, 2)</f>
        <v/>
      </c>
      <c r="S105" s="44">
        <f>IF($C$8&gt;0, R105/$C$8, 0)</f>
        <v/>
      </c>
      <c r="T105" s="44">
        <f>IF(O105&gt;0, Q105/O105, 0)</f>
        <v/>
      </c>
      <c r="U105" s="12">
        <f>IF(Q105=0, "Exceeds Limit", IF(P105&lt;=O105, "Weight Limited", "Volume Limited"))</f>
        <v/>
      </c>
    </row>
    <row r="106" ht="19" customHeight="1">
      <c r="A106" s="45" t="n">
        <v>96</v>
      </c>
      <c r="B106" s="46" t="inlineStr">
        <is>
          <t>Carbon Steel</t>
        </is>
      </c>
      <c r="C106" s="19" t="inlineStr">
        <is>
          <t>ASME B36.10M</t>
        </is>
      </c>
      <c r="D106" s="18" t="inlineStr">
        <is>
          <t>3-1/2''</t>
        </is>
      </c>
      <c r="E106" s="45" t="n">
        <v>90</v>
      </c>
      <c r="F106" s="18" t="inlineStr">
        <is>
          <t>XS</t>
        </is>
      </c>
      <c r="G106" s="20" t="n">
        <v>4</v>
      </c>
      <c r="H106" s="47" t="n">
        <v>101.6</v>
      </c>
      <c r="I106" s="20" t="n">
        <v>0.318</v>
      </c>
      <c r="J106" s="47" t="n">
        <v>8.08</v>
      </c>
      <c r="K106" s="20">
        <f>ROUND((H106-J106)*J106*IF(B106="Carbon Steel",$K$7,IF(B106="Stainless Steel 304",$K$8,$L$8)), 3)</f>
        <v/>
      </c>
      <c r="L106" s="47">
        <f>ROUND(K106*$G$5, 2)</f>
        <v/>
      </c>
      <c r="M106" s="45">
        <f>INT($G$6/H106)</f>
        <v/>
      </c>
      <c r="N106" s="45">
        <f>IF(M106=0, 0, IF(OR($K$6="Square Grid", M106=1), INT($G$7/H106), IF($G$7&lt;H106, 0, 1+INT(($G$7-H106)/(0.8660254*H106)))))</f>
        <v/>
      </c>
      <c r="O106" s="48">
        <f>IF(OR(M106=0,N106=0), 0, IF(OR($K$6="Square Grid", M106=1), M106*N106*$K$5, (INT((N106+1)/2)*M106 + INT(N106/2)*IF(($G$6-M106*H106)&gt;=0.5*H106, M106, M106-1))*$K$5))</f>
        <v/>
      </c>
      <c r="P106" s="48">
        <f>IF(L106&lt;=0, 0, INT($G$8/L106))</f>
        <v/>
      </c>
      <c r="Q106" s="42">
        <f>MIN(O106, P106)</f>
        <v/>
      </c>
      <c r="R106" s="43">
        <f>ROUND((Q106*L106)/1000, 2)</f>
        <v/>
      </c>
      <c r="S106" s="49">
        <f>IF($C$8&gt;0, R106/$C$8, 0)</f>
        <v/>
      </c>
      <c r="T106" s="49">
        <f>IF(O106&gt;0, Q106/O106, 0)</f>
        <v/>
      </c>
      <c r="U106" s="18">
        <f>IF(Q106=0, "Exceeds Limit", IF(P106&lt;=O106, "Weight Limited", "Volume Limited"))</f>
        <v/>
      </c>
    </row>
    <row r="107" ht="19" customHeight="1">
      <c r="A107" s="38" t="n">
        <v>97</v>
      </c>
      <c r="B107" s="39" t="inlineStr">
        <is>
          <t>Carbon Steel</t>
        </is>
      </c>
      <c r="C107" s="13" t="inlineStr">
        <is>
          <t>ASME B36.10M</t>
        </is>
      </c>
      <c r="D107" s="12" t="inlineStr">
        <is>
          <t>3-1/2''</t>
        </is>
      </c>
      <c r="E107" s="38" t="n">
        <v>90</v>
      </c>
      <c r="F107" s="12" t="inlineStr">
        <is>
          <t>80</t>
        </is>
      </c>
      <c r="G107" s="14" t="n">
        <v>4</v>
      </c>
      <c r="H107" s="40" t="n">
        <v>101.6</v>
      </c>
      <c r="I107" s="14" t="n">
        <v>0.318</v>
      </c>
      <c r="J107" s="40" t="n">
        <v>8.08</v>
      </c>
      <c r="K107" s="14">
        <f>ROUND((H107-J107)*J107*IF(B107="Carbon Steel",$K$7,IF(B107="Stainless Steel 304",$K$8,$L$8)), 3)</f>
        <v/>
      </c>
      <c r="L107" s="40">
        <f>ROUND(K107*$G$5, 2)</f>
        <v/>
      </c>
      <c r="M107" s="38">
        <f>INT($G$6/H107)</f>
        <v/>
      </c>
      <c r="N107" s="38">
        <f>IF(M107=0, 0, IF(OR($K$6="Square Grid", M107=1), INT($G$7/H107), IF($G$7&lt;H107, 0, 1+INT(($G$7-H107)/(0.8660254*H107)))))</f>
        <v/>
      </c>
      <c r="O107" s="41">
        <f>IF(OR(M107=0,N107=0), 0, IF(OR($K$6="Square Grid", M107=1), M107*N107*$K$5, (INT((N107+1)/2)*M107 + INT(N107/2)*IF(($G$6-M107*H107)&gt;=0.5*H107, M107, M107-1))*$K$5))</f>
        <v/>
      </c>
      <c r="P107" s="41">
        <f>IF(L107&lt;=0, 0, INT($G$8/L107))</f>
        <v/>
      </c>
      <c r="Q107" s="42">
        <f>MIN(O107, P107)</f>
        <v/>
      </c>
      <c r="R107" s="43">
        <f>ROUND((Q107*L107)/1000, 2)</f>
        <v/>
      </c>
      <c r="S107" s="44">
        <f>IF($C$8&gt;0, R107/$C$8, 0)</f>
        <v/>
      </c>
      <c r="T107" s="44">
        <f>IF(O107&gt;0, Q107/O107, 0)</f>
        <v/>
      </c>
      <c r="U107" s="12">
        <f>IF(Q107=0, "Exceeds Limit", IF(P107&lt;=O107, "Weight Limited", "Volume Limited"))</f>
        <v/>
      </c>
    </row>
    <row r="108" ht="19" customHeight="1">
      <c r="A108" s="45" t="n">
        <v>98</v>
      </c>
      <c r="B108" s="46" t="inlineStr">
        <is>
          <t>Carbon Steel</t>
        </is>
      </c>
      <c r="C108" s="19" t="inlineStr">
        <is>
          <t>ASME B36.10M</t>
        </is>
      </c>
      <c r="D108" s="18" t="inlineStr">
        <is>
          <t>3-1/2''</t>
        </is>
      </c>
      <c r="E108" s="45" t="n">
        <v>90</v>
      </c>
      <c r="F108" s="18" t="inlineStr">
        <is>
          <t>XXS</t>
        </is>
      </c>
      <c r="G108" s="20" t="n">
        <v>4</v>
      </c>
      <c r="H108" s="47" t="n">
        <v>101.6</v>
      </c>
      <c r="I108" s="20" t="n">
        <v>0.636</v>
      </c>
      <c r="J108" s="47" t="n">
        <v>16.15</v>
      </c>
      <c r="K108" s="20">
        <f>ROUND((H108-J108)*J108*IF(B108="Carbon Steel",$K$7,IF(B108="Stainless Steel 304",$K$8,$L$8)), 3)</f>
        <v/>
      </c>
      <c r="L108" s="47">
        <f>ROUND(K108*$G$5, 2)</f>
        <v/>
      </c>
      <c r="M108" s="45">
        <f>INT($G$6/H108)</f>
        <v/>
      </c>
      <c r="N108" s="45">
        <f>IF(M108=0, 0, IF(OR($K$6="Square Grid", M108=1), INT($G$7/H108), IF($G$7&lt;H108, 0, 1+INT(($G$7-H108)/(0.8660254*H108)))))</f>
        <v/>
      </c>
      <c r="O108" s="48">
        <f>IF(OR(M108=0,N108=0), 0, IF(OR($K$6="Square Grid", M108=1), M108*N108*$K$5, (INT((N108+1)/2)*M108 + INT(N108/2)*IF(($G$6-M108*H108)&gt;=0.5*H108, M108, M108-1))*$K$5))</f>
        <v/>
      </c>
      <c r="P108" s="48">
        <f>IF(L108&lt;=0, 0, INT($G$8/L108))</f>
        <v/>
      </c>
      <c r="Q108" s="42">
        <f>MIN(O108, P108)</f>
        <v/>
      </c>
      <c r="R108" s="43">
        <f>ROUND((Q108*L108)/1000, 2)</f>
        <v/>
      </c>
      <c r="S108" s="49">
        <f>IF($C$8&gt;0, R108/$C$8, 0)</f>
        <v/>
      </c>
      <c r="T108" s="49">
        <f>IF(O108&gt;0, Q108/O108, 0)</f>
        <v/>
      </c>
      <c r="U108" s="18">
        <f>IF(Q108=0, "Exceeds Limit", IF(P108&lt;=O108, "Weight Limited", "Volume Limited"))</f>
        <v/>
      </c>
    </row>
    <row r="109" ht="19" customHeight="1">
      <c r="A109" s="38" t="n">
        <v>99</v>
      </c>
      <c r="B109" s="39" t="inlineStr">
        <is>
          <t>Carbon Steel</t>
        </is>
      </c>
      <c r="C109" s="13" t="inlineStr">
        <is>
          <t>ASME B36.10M</t>
        </is>
      </c>
      <c r="D109" s="12" t="inlineStr">
        <is>
          <t>4''</t>
        </is>
      </c>
      <c r="E109" s="38" t="n">
        <v>100</v>
      </c>
      <c r="F109" s="12" t="inlineStr">
        <is>
          <t>5</t>
        </is>
      </c>
      <c r="G109" s="14" t="n">
        <v>4.5</v>
      </c>
      <c r="H109" s="40" t="n">
        <v>114.3</v>
      </c>
      <c r="I109" s="14" t="n">
        <v>0.083</v>
      </c>
      <c r="J109" s="40" t="n">
        <v>2.11</v>
      </c>
      <c r="K109" s="14">
        <f>ROUND((H109-J109)*J109*IF(B109="Carbon Steel",$K$7,IF(B109="Stainless Steel 304",$K$8,$L$8)), 3)</f>
        <v/>
      </c>
      <c r="L109" s="40">
        <f>ROUND(K109*$G$5, 2)</f>
        <v/>
      </c>
      <c r="M109" s="38">
        <f>INT($G$6/H109)</f>
        <v/>
      </c>
      <c r="N109" s="38">
        <f>IF(M109=0, 0, IF(OR($K$6="Square Grid", M109=1), INT($G$7/H109), IF($G$7&lt;H109, 0, 1+INT(($G$7-H109)/(0.8660254*H109)))))</f>
        <v/>
      </c>
      <c r="O109" s="41">
        <f>IF(OR(M109=0,N109=0), 0, IF(OR($K$6="Square Grid", M109=1), M109*N109*$K$5, (INT((N109+1)/2)*M109 + INT(N109/2)*IF(($G$6-M109*H109)&gt;=0.5*H109, M109, M109-1))*$K$5))</f>
        <v/>
      </c>
      <c r="P109" s="41">
        <f>IF(L109&lt;=0, 0, INT($G$8/L109))</f>
        <v/>
      </c>
      <c r="Q109" s="42">
        <f>MIN(O109, P109)</f>
        <v/>
      </c>
      <c r="R109" s="43">
        <f>ROUND((Q109*L109)/1000, 2)</f>
        <v/>
      </c>
      <c r="S109" s="44">
        <f>IF($C$8&gt;0, R109/$C$8, 0)</f>
        <v/>
      </c>
      <c r="T109" s="44">
        <f>IF(O109&gt;0, Q109/O109, 0)</f>
        <v/>
      </c>
      <c r="U109" s="12">
        <f>IF(Q109=0, "Exceeds Limit", IF(P109&lt;=O109, "Weight Limited", "Volume Limited"))</f>
        <v/>
      </c>
    </row>
    <row r="110" ht="19" customHeight="1">
      <c r="A110" s="45" t="n">
        <v>100</v>
      </c>
      <c r="B110" s="46" t="inlineStr">
        <is>
          <t>Carbon Steel</t>
        </is>
      </c>
      <c r="C110" s="19" t="inlineStr">
        <is>
          <t>ASME B36.10M</t>
        </is>
      </c>
      <c r="D110" s="18" t="inlineStr">
        <is>
          <t>4''</t>
        </is>
      </c>
      <c r="E110" s="45" t="n">
        <v>100</v>
      </c>
      <c r="F110" s="18" t="inlineStr">
        <is>
          <t>10</t>
        </is>
      </c>
      <c r="G110" s="20" t="n">
        <v>4.5</v>
      </c>
      <c r="H110" s="47" t="n">
        <v>114.3</v>
      </c>
      <c r="I110" s="20" t="n">
        <v>0.12</v>
      </c>
      <c r="J110" s="47" t="n">
        <v>3.05</v>
      </c>
      <c r="K110" s="20">
        <f>ROUND((H110-J110)*J110*IF(B110="Carbon Steel",$K$7,IF(B110="Stainless Steel 304",$K$8,$L$8)), 3)</f>
        <v/>
      </c>
      <c r="L110" s="47">
        <f>ROUND(K110*$G$5, 2)</f>
        <v/>
      </c>
      <c r="M110" s="45">
        <f>INT($G$6/H110)</f>
        <v/>
      </c>
      <c r="N110" s="45">
        <f>IF(M110=0, 0, IF(OR($K$6="Square Grid", M110=1), INT($G$7/H110), IF($G$7&lt;H110, 0, 1+INT(($G$7-H110)/(0.8660254*H110)))))</f>
        <v/>
      </c>
      <c r="O110" s="48">
        <f>IF(OR(M110=0,N110=0), 0, IF(OR($K$6="Square Grid", M110=1), M110*N110*$K$5, (INT((N110+1)/2)*M110 + INT(N110/2)*IF(($G$6-M110*H110)&gt;=0.5*H110, M110, M110-1))*$K$5))</f>
        <v/>
      </c>
      <c r="P110" s="48">
        <f>IF(L110&lt;=0, 0, INT($G$8/L110))</f>
        <v/>
      </c>
      <c r="Q110" s="42">
        <f>MIN(O110, P110)</f>
        <v/>
      </c>
      <c r="R110" s="43">
        <f>ROUND((Q110*L110)/1000, 2)</f>
        <v/>
      </c>
      <c r="S110" s="49">
        <f>IF($C$8&gt;0, R110/$C$8, 0)</f>
        <v/>
      </c>
      <c r="T110" s="49">
        <f>IF(O110&gt;0, Q110/O110, 0)</f>
        <v/>
      </c>
      <c r="U110" s="18">
        <f>IF(Q110=0, "Exceeds Limit", IF(P110&lt;=O110, "Weight Limited", "Volume Limited"))</f>
        <v/>
      </c>
    </row>
    <row r="111" ht="19" customHeight="1">
      <c r="A111" s="38" t="n">
        <v>101</v>
      </c>
      <c r="B111" s="39" t="inlineStr">
        <is>
          <t>Carbon Steel</t>
        </is>
      </c>
      <c r="C111" s="13" t="inlineStr">
        <is>
          <t>ASME B36.10M</t>
        </is>
      </c>
      <c r="D111" s="12" t="inlineStr">
        <is>
          <t>4''</t>
        </is>
      </c>
      <c r="E111" s="38" t="n">
        <v>100</v>
      </c>
      <c r="F111" s="12" t="inlineStr">
        <is>
          <t>30</t>
        </is>
      </c>
      <c r="G111" s="14" t="n">
        <v>4.5</v>
      </c>
      <c r="H111" s="40" t="n">
        <v>114.3</v>
      </c>
      <c r="I111" s="14" t="n">
        <v>0.188</v>
      </c>
      <c r="J111" s="40" t="n">
        <v>4.78</v>
      </c>
      <c r="K111" s="14">
        <f>ROUND((H111-J111)*J111*IF(B111="Carbon Steel",$K$7,IF(B111="Stainless Steel 304",$K$8,$L$8)), 3)</f>
        <v/>
      </c>
      <c r="L111" s="40">
        <f>ROUND(K111*$G$5, 2)</f>
        <v/>
      </c>
      <c r="M111" s="38">
        <f>INT($G$6/H111)</f>
        <v/>
      </c>
      <c r="N111" s="38">
        <f>IF(M111=0, 0, IF(OR($K$6="Square Grid", M111=1), INT($G$7/H111), IF($G$7&lt;H111, 0, 1+INT(($G$7-H111)/(0.8660254*H111)))))</f>
        <v/>
      </c>
      <c r="O111" s="41">
        <f>IF(OR(M111=0,N111=0), 0, IF(OR($K$6="Square Grid", M111=1), M111*N111*$K$5, (INT((N111+1)/2)*M111 + INT(N111/2)*IF(($G$6-M111*H111)&gt;=0.5*H111, M111, M111-1))*$K$5))</f>
        <v/>
      </c>
      <c r="P111" s="41">
        <f>IF(L111&lt;=0, 0, INT($G$8/L111))</f>
        <v/>
      </c>
      <c r="Q111" s="42">
        <f>MIN(O111, P111)</f>
        <v/>
      </c>
      <c r="R111" s="43">
        <f>ROUND((Q111*L111)/1000, 2)</f>
        <v/>
      </c>
      <c r="S111" s="44">
        <f>IF($C$8&gt;0, R111/$C$8, 0)</f>
        <v/>
      </c>
      <c r="T111" s="44">
        <f>IF(O111&gt;0, Q111/O111, 0)</f>
        <v/>
      </c>
      <c r="U111" s="12">
        <f>IF(Q111=0, "Exceeds Limit", IF(P111&lt;=O111, "Weight Limited", "Volume Limited"))</f>
        <v/>
      </c>
    </row>
    <row r="112" ht="19" customHeight="1">
      <c r="A112" s="45" t="n">
        <v>102</v>
      </c>
      <c r="B112" s="46" t="inlineStr">
        <is>
          <t>Carbon Steel</t>
        </is>
      </c>
      <c r="C112" s="19" t="inlineStr">
        <is>
          <t>ASME B36.10M</t>
        </is>
      </c>
      <c r="D112" s="18" t="inlineStr">
        <is>
          <t>4''</t>
        </is>
      </c>
      <c r="E112" s="45" t="n">
        <v>100</v>
      </c>
      <c r="F112" s="18" t="inlineStr">
        <is>
          <t>STD</t>
        </is>
      </c>
      <c r="G112" s="20" t="n">
        <v>4.5</v>
      </c>
      <c r="H112" s="47" t="n">
        <v>114.3</v>
      </c>
      <c r="I112" s="20" t="n">
        <v>0.237</v>
      </c>
      <c r="J112" s="47" t="n">
        <v>6.02</v>
      </c>
      <c r="K112" s="20">
        <f>ROUND((H112-J112)*J112*IF(B112="Carbon Steel",$K$7,IF(B112="Stainless Steel 304",$K$8,$L$8)), 3)</f>
        <v/>
      </c>
      <c r="L112" s="47">
        <f>ROUND(K112*$G$5, 2)</f>
        <v/>
      </c>
      <c r="M112" s="45">
        <f>INT($G$6/H112)</f>
        <v/>
      </c>
      <c r="N112" s="45">
        <f>IF(M112=0, 0, IF(OR($K$6="Square Grid", M112=1), INT($G$7/H112), IF($G$7&lt;H112, 0, 1+INT(($G$7-H112)/(0.8660254*H112)))))</f>
        <v/>
      </c>
      <c r="O112" s="48">
        <f>IF(OR(M112=0,N112=0), 0, IF(OR($K$6="Square Grid", M112=1), M112*N112*$K$5, (INT((N112+1)/2)*M112 + INT(N112/2)*IF(($G$6-M112*H112)&gt;=0.5*H112, M112, M112-1))*$K$5))</f>
        <v/>
      </c>
      <c r="P112" s="48">
        <f>IF(L112&lt;=0, 0, INT($G$8/L112))</f>
        <v/>
      </c>
      <c r="Q112" s="42">
        <f>MIN(O112, P112)</f>
        <v/>
      </c>
      <c r="R112" s="43">
        <f>ROUND((Q112*L112)/1000, 2)</f>
        <v/>
      </c>
      <c r="S112" s="49">
        <f>IF($C$8&gt;0, R112/$C$8, 0)</f>
        <v/>
      </c>
      <c r="T112" s="49">
        <f>IF(O112&gt;0, Q112/O112, 0)</f>
        <v/>
      </c>
      <c r="U112" s="18">
        <f>IF(Q112=0, "Exceeds Limit", IF(P112&lt;=O112, "Weight Limited", "Volume Limited"))</f>
        <v/>
      </c>
    </row>
    <row r="113" ht="19" customHeight="1">
      <c r="A113" s="38" t="n">
        <v>103</v>
      </c>
      <c r="B113" s="39" t="inlineStr">
        <is>
          <t>Carbon Steel</t>
        </is>
      </c>
      <c r="C113" s="13" t="inlineStr">
        <is>
          <t>ASME B36.10M</t>
        </is>
      </c>
      <c r="D113" s="12" t="inlineStr">
        <is>
          <t>4''</t>
        </is>
      </c>
      <c r="E113" s="38" t="n">
        <v>100</v>
      </c>
      <c r="F113" s="12" t="inlineStr">
        <is>
          <t>40</t>
        </is>
      </c>
      <c r="G113" s="14" t="n">
        <v>4.5</v>
      </c>
      <c r="H113" s="40" t="n">
        <v>114.3</v>
      </c>
      <c r="I113" s="14" t="n">
        <v>0.237</v>
      </c>
      <c r="J113" s="40" t="n">
        <v>6.02</v>
      </c>
      <c r="K113" s="14">
        <f>ROUND((H113-J113)*J113*IF(B113="Carbon Steel",$K$7,IF(B113="Stainless Steel 304",$K$8,$L$8)), 3)</f>
        <v/>
      </c>
      <c r="L113" s="40">
        <f>ROUND(K113*$G$5, 2)</f>
        <v/>
      </c>
      <c r="M113" s="38">
        <f>INT($G$6/H113)</f>
        <v/>
      </c>
      <c r="N113" s="38">
        <f>IF(M113=0, 0, IF(OR($K$6="Square Grid", M113=1), INT($G$7/H113), IF($G$7&lt;H113, 0, 1+INT(($G$7-H113)/(0.8660254*H113)))))</f>
        <v/>
      </c>
      <c r="O113" s="41">
        <f>IF(OR(M113=0,N113=0), 0, IF(OR($K$6="Square Grid", M113=1), M113*N113*$K$5, (INT((N113+1)/2)*M113 + INT(N113/2)*IF(($G$6-M113*H113)&gt;=0.5*H113, M113, M113-1))*$K$5))</f>
        <v/>
      </c>
      <c r="P113" s="41">
        <f>IF(L113&lt;=0, 0, INT($G$8/L113))</f>
        <v/>
      </c>
      <c r="Q113" s="42">
        <f>MIN(O113, P113)</f>
        <v/>
      </c>
      <c r="R113" s="43">
        <f>ROUND((Q113*L113)/1000, 2)</f>
        <v/>
      </c>
      <c r="S113" s="44">
        <f>IF($C$8&gt;0, R113/$C$8, 0)</f>
        <v/>
      </c>
      <c r="T113" s="44">
        <f>IF(O113&gt;0, Q113/O113, 0)</f>
        <v/>
      </c>
      <c r="U113" s="12">
        <f>IF(Q113=0, "Exceeds Limit", IF(P113&lt;=O113, "Weight Limited", "Volume Limited"))</f>
        <v/>
      </c>
    </row>
    <row r="114" ht="19" customHeight="1">
      <c r="A114" s="45" t="n">
        <v>104</v>
      </c>
      <c r="B114" s="46" t="inlineStr">
        <is>
          <t>Carbon Steel</t>
        </is>
      </c>
      <c r="C114" s="19" t="inlineStr">
        <is>
          <t>ASME B36.10M</t>
        </is>
      </c>
      <c r="D114" s="18" t="inlineStr">
        <is>
          <t>4''</t>
        </is>
      </c>
      <c r="E114" s="45" t="n">
        <v>100</v>
      </c>
      <c r="F114" s="18" t="inlineStr">
        <is>
          <t>60</t>
        </is>
      </c>
      <c r="G114" s="20" t="n">
        <v>4.5</v>
      </c>
      <c r="H114" s="47" t="n">
        <v>114.3</v>
      </c>
      <c r="I114" s="20" t="n">
        <v>0.281</v>
      </c>
      <c r="J114" s="47" t="n">
        <v>7.14</v>
      </c>
      <c r="K114" s="20">
        <f>ROUND((H114-J114)*J114*IF(B114="Carbon Steel",$K$7,IF(B114="Stainless Steel 304",$K$8,$L$8)), 3)</f>
        <v/>
      </c>
      <c r="L114" s="47">
        <f>ROUND(K114*$G$5, 2)</f>
        <v/>
      </c>
      <c r="M114" s="45">
        <f>INT($G$6/H114)</f>
        <v/>
      </c>
      <c r="N114" s="45">
        <f>IF(M114=0, 0, IF(OR($K$6="Square Grid", M114=1), INT($G$7/H114), IF($G$7&lt;H114, 0, 1+INT(($G$7-H114)/(0.8660254*H114)))))</f>
        <v/>
      </c>
      <c r="O114" s="48">
        <f>IF(OR(M114=0,N114=0), 0, IF(OR($K$6="Square Grid", M114=1), M114*N114*$K$5, (INT((N114+1)/2)*M114 + INT(N114/2)*IF(($G$6-M114*H114)&gt;=0.5*H114, M114, M114-1))*$K$5))</f>
        <v/>
      </c>
      <c r="P114" s="48">
        <f>IF(L114&lt;=0, 0, INT($G$8/L114))</f>
        <v/>
      </c>
      <c r="Q114" s="42">
        <f>MIN(O114, P114)</f>
        <v/>
      </c>
      <c r="R114" s="43">
        <f>ROUND((Q114*L114)/1000, 2)</f>
        <v/>
      </c>
      <c r="S114" s="49">
        <f>IF($C$8&gt;0, R114/$C$8, 0)</f>
        <v/>
      </c>
      <c r="T114" s="49">
        <f>IF(O114&gt;0, Q114/O114, 0)</f>
        <v/>
      </c>
      <c r="U114" s="18">
        <f>IF(Q114=0, "Exceeds Limit", IF(P114&lt;=O114, "Weight Limited", "Volume Limited"))</f>
        <v/>
      </c>
    </row>
    <row r="115" ht="19" customHeight="1">
      <c r="A115" s="38" t="n">
        <v>105</v>
      </c>
      <c r="B115" s="39" t="inlineStr">
        <is>
          <t>Carbon Steel</t>
        </is>
      </c>
      <c r="C115" s="13" t="inlineStr">
        <is>
          <t>ASME B36.10M</t>
        </is>
      </c>
      <c r="D115" s="12" t="inlineStr">
        <is>
          <t>4''</t>
        </is>
      </c>
      <c r="E115" s="38" t="n">
        <v>100</v>
      </c>
      <c r="F115" s="12" t="inlineStr">
        <is>
          <t>XS</t>
        </is>
      </c>
      <c r="G115" s="14" t="n">
        <v>4.5</v>
      </c>
      <c r="H115" s="40" t="n">
        <v>114.3</v>
      </c>
      <c r="I115" s="14" t="n">
        <v>0.337</v>
      </c>
      <c r="J115" s="40" t="n">
        <v>8.56</v>
      </c>
      <c r="K115" s="14">
        <f>ROUND((H115-J115)*J115*IF(B115="Carbon Steel",$K$7,IF(B115="Stainless Steel 304",$K$8,$L$8)), 3)</f>
        <v/>
      </c>
      <c r="L115" s="40">
        <f>ROUND(K115*$G$5, 2)</f>
        <v/>
      </c>
      <c r="M115" s="38">
        <f>INT($G$6/H115)</f>
        <v/>
      </c>
      <c r="N115" s="38">
        <f>IF(M115=0, 0, IF(OR($K$6="Square Grid", M115=1), INT($G$7/H115), IF($G$7&lt;H115, 0, 1+INT(($G$7-H115)/(0.8660254*H115)))))</f>
        <v/>
      </c>
      <c r="O115" s="41">
        <f>IF(OR(M115=0,N115=0), 0, IF(OR($K$6="Square Grid", M115=1), M115*N115*$K$5, (INT((N115+1)/2)*M115 + INT(N115/2)*IF(($G$6-M115*H115)&gt;=0.5*H115, M115, M115-1))*$K$5))</f>
        <v/>
      </c>
      <c r="P115" s="41">
        <f>IF(L115&lt;=0, 0, INT($G$8/L115))</f>
        <v/>
      </c>
      <c r="Q115" s="42">
        <f>MIN(O115, P115)</f>
        <v/>
      </c>
      <c r="R115" s="43">
        <f>ROUND((Q115*L115)/1000, 2)</f>
        <v/>
      </c>
      <c r="S115" s="44">
        <f>IF($C$8&gt;0, R115/$C$8, 0)</f>
        <v/>
      </c>
      <c r="T115" s="44">
        <f>IF(O115&gt;0, Q115/O115, 0)</f>
        <v/>
      </c>
      <c r="U115" s="12">
        <f>IF(Q115=0, "Exceeds Limit", IF(P115&lt;=O115, "Weight Limited", "Volume Limited"))</f>
        <v/>
      </c>
    </row>
    <row r="116" ht="19" customHeight="1">
      <c r="A116" s="45" t="n">
        <v>106</v>
      </c>
      <c r="B116" s="46" t="inlineStr">
        <is>
          <t>Carbon Steel</t>
        </is>
      </c>
      <c r="C116" s="19" t="inlineStr">
        <is>
          <t>ASME B36.10M</t>
        </is>
      </c>
      <c r="D116" s="18" t="inlineStr">
        <is>
          <t>4''</t>
        </is>
      </c>
      <c r="E116" s="45" t="n">
        <v>100</v>
      </c>
      <c r="F116" s="18" t="inlineStr">
        <is>
          <t>80</t>
        </is>
      </c>
      <c r="G116" s="20" t="n">
        <v>4.5</v>
      </c>
      <c r="H116" s="47" t="n">
        <v>114.3</v>
      </c>
      <c r="I116" s="20" t="n">
        <v>0.337</v>
      </c>
      <c r="J116" s="47" t="n">
        <v>8.56</v>
      </c>
      <c r="K116" s="20">
        <f>ROUND((H116-J116)*J116*IF(B116="Carbon Steel",$K$7,IF(B116="Stainless Steel 304",$K$8,$L$8)), 3)</f>
        <v/>
      </c>
      <c r="L116" s="47">
        <f>ROUND(K116*$G$5, 2)</f>
        <v/>
      </c>
      <c r="M116" s="45">
        <f>INT($G$6/H116)</f>
        <v/>
      </c>
      <c r="N116" s="45">
        <f>IF(M116=0, 0, IF(OR($K$6="Square Grid", M116=1), INT($G$7/H116), IF($G$7&lt;H116, 0, 1+INT(($G$7-H116)/(0.8660254*H116)))))</f>
        <v/>
      </c>
      <c r="O116" s="48">
        <f>IF(OR(M116=0,N116=0), 0, IF(OR($K$6="Square Grid", M116=1), M116*N116*$K$5, (INT((N116+1)/2)*M116 + INT(N116/2)*IF(($G$6-M116*H116)&gt;=0.5*H116, M116, M116-1))*$K$5))</f>
        <v/>
      </c>
      <c r="P116" s="48">
        <f>IF(L116&lt;=0, 0, INT($G$8/L116))</f>
        <v/>
      </c>
      <c r="Q116" s="42">
        <f>MIN(O116, P116)</f>
        <v/>
      </c>
      <c r="R116" s="43">
        <f>ROUND((Q116*L116)/1000, 2)</f>
        <v/>
      </c>
      <c r="S116" s="49">
        <f>IF($C$8&gt;0, R116/$C$8, 0)</f>
        <v/>
      </c>
      <c r="T116" s="49">
        <f>IF(O116&gt;0, Q116/O116, 0)</f>
        <v/>
      </c>
      <c r="U116" s="18">
        <f>IF(Q116=0, "Exceeds Limit", IF(P116&lt;=O116, "Weight Limited", "Volume Limited"))</f>
        <v/>
      </c>
    </row>
    <row r="117" ht="19" customHeight="1">
      <c r="A117" s="38" t="n">
        <v>107</v>
      </c>
      <c r="B117" s="39" t="inlineStr">
        <is>
          <t>Carbon Steel</t>
        </is>
      </c>
      <c r="C117" s="13" t="inlineStr">
        <is>
          <t>ASME B36.10M</t>
        </is>
      </c>
      <c r="D117" s="12" t="inlineStr">
        <is>
          <t>4''</t>
        </is>
      </c>
      <c r="E117" s="38" t="n">
        <v>100</v>
      </c>
      <c r="F117" s="12" t="inlineStr">
        <is>
          <t>120</t>
        </is>
      </c>
      <c r="G117" s="14" t="n">
        <v>4.5</v>
      </c>
      <c r="H117" s="40" t="n">
        <v>114.3</v>
      </c>
      <c r="I117" s="14" t="n">
        <v>0.438</v>
      </c>
      <c r="J117" s="40" t="n">
        <v>11.13</v>
      </c>
      <c r="K117" s="14">
        <f>ROUND((H117-J117)*J117*IF(B117="Carbon Steel",$K$7,IF(B117="Stainless Steel 304",$K$8,$L$8)), 3)</f>
        <v/>
      </c>
      <c r="L117" s="40">
        <f>ROUND(K117*$G$5, 2)</f>
        <v/>
      </c>
      <c r="M117" s="38">
        <f>INT($G$6/H117)</f>
        <v/>
      </c>
      <c r="N117" s="38">
        <f>IF(M117=0, 0, IF(OR($K$6="Square Grid", M117=1), INT($G$7/H117), IF($G$7&lt;H117, 0, 1+INT(($G$7-H117)/(0.8660254*H117)))))</f>
        <v/>
      </c>
      <c r="O117" s="41">
        <f>IF(OR(M117=0,N117=0), 0, IF(OR($K$6="Square Grid", M117=1), M117*N117*$K$5, (INT((N117+1)/2)*M117 + INT(N117/2)*IF(($G$6-M117*H117)&gt;=0.5*H117, M117, M117-1))*$K$5))</f>
        <v/>
      </c>
      <c r="P117" s="41">
        <f>IF(L117&lt;=0, 0, INT($G$8/L117))</f>
        <v/>
      </c>
      <c r="Q117" s="42">
        <f>MIN(O117, P117)</f>
        <v/>
      </c>
      <c r="R117" s="43">
        <f>ROUND((Q117*L117)/1000, 2)</f>
        <v/>
      </c>
      <c r="S117" s="44">
        <f>IF($C$8&gt;0, R117/$C$8, 0)</f>
        <v/>
      </c>
      <c r="T117" s="44">
        <f>IF(O117&gt;0, Q117/O117, 0)</f>
        <v/>
      </c>
      <c r="U117" s="12">
        <f>IF(Q117=0, "Exceeds Limit", IF(P117&lt;=O117, "Weight Limited", "Volume Limited"))</f>
        <v/>
      </c>
    </row>
    <row r="118" ht="19" customHeight="1">
      <c r="A118" s="45" t="n">
        <v>108</v>
      </c>
      <c r="B118" s="46" t="inlineStr">
        <is>
          <t>Carbon Steel</t>
        </is>
      </c>
      <c r="C118" s="19" t="inlineStr">
        <is>
          <t>ASME B36.10M</t>
        </is>
      </c>
      <c r="D118" s="18" t="inlineStr">
        <is>
          <t>4''</t>
        </is>
      </c>
      <c r="E118" s="45" t="n">
        <v>100</v>
      </c>
      <c r="F118" s="18" t="inlineStr">
        <is>
          <t>160</t>
        </is>
      </c>
      <c r="G118" s="20" t="n">
        <v>4.5</v>
      </c>
      <c r="H118" s="47" t="n">
        <v>114.3</v>
      </c>
      <c r="I118" s="20" t="n">
        <v>0.531</v>
      </c>
      <c r="J118" s="47" t="n">
        <v>13.49</v>
      </c>
      <c r="K118" s="20">
        <f>ROUND((H118-J118)*J118*IF(B118="Carbon Steel",$K$7,IF(B118="Stainless Steel 304",$K$8,$L$8)), 3)</f>
        <v/>
      </c>
      <c r="L118" s="47">
        <f>ROUND(K118*$G$5, 2)</f>
        <v/>
      </c>
      <c r="M118" s="45">
        <f>INT($G$6/H118)</f>
        <v/>
      </c>
      <c r="N118" s="45">
        <f>IF(M118=0, 0, IF(OR($K$6="Square Grid", M118=1), INT($G$7/H118), IF($G$7&lt;H118, 0, 1+INT(($G$7-H118)/(0.8660254*H118)))))</f>
        <v/>
      </c>
      <c r="O118" s="48">
        <f>IF(OR(M118=0,N118=0), 0, IF(OR($K$6="Square Grid", M118=1), M118*N118*$K$5, (INT((N118+1)/2)*M118 + INT(N118/2)*IF(($G$6-M118*H118)&gt;=0.5*H118, M118, M118-1))*$K$5))</f>
        <v/>
      </c>
      <c r="P118" s="48">
        <f>IF(L118&lt;=0, 0, INT($G$8/L118))</f>
        <v/>
      </c>
      <c r="Q118" s="42">
        <f>MIN(O118, P118)</f>
        <v/>
      </c>
      <c r="R118" s="43">
        <f>ROUND((Q118*L118)/1000, 2)</f>
        <v/>
      </c>
      <c r="S118" s="49">
        <f>IF($C$8&gt;0, R118/$C$8, 0)</f>
        <v/>
      </c>
      <c r="T118" s="49">
        <f>IF(O118&gt;0, Q118/O118, 0)</f>
        <v/>
      </c>
      <c r="U118" s="18">
        <f>IF(Q118=0, "Exceeds Limit", IF(P118&lt;=O118, "Weight Limited", "Volume Limited"))</f>
        <v/>
      </c>
    </row>
    <row r="119" ht="19" customHeight="1">
      <c r="A119" s="38" t="n">
        <v>109</v>
      </c>
      <c r="B119" s="39" t="inlineStr">
        <is>
          <t>Carbon Steel</t>
        </is>
      </c>
      <c r="C119" s="13" t="inlineStr">
        <is>
          <t>ASME B36.10M</t>
        </is>
      </c>
      <c r="D119" s="12" t="inlineStr">
        <is>
          <t>4''</t>
        </is>
      </c>
      <c r="E119" s="38" t="n">
        <v>100</v>
      </c>
      <c r="F119" s="12" t="inlineStr">
        <is>
          <t>XXS</t>
        </is>
      </c>
      <c r="G119" s="14" t="n">
        <v>4.5</v>
      </c>
      <c r="H119" s="40" t="n">
        <v>114.3</v>
      </c>
      <c r="I119" s="14" t="n">
        <v>0.674</v>
      </c>
      <c r="J119" s="40" t="n">
        <v>17.12</v>
      </c>
      <c r="K119" s="14">
        <f>ROUND((H119-J119)*J119*IF(B119="Carbon Steel",$K$7,IF(B119="Stainless Steel 304",$K$8,$L$8)), 3)</f>
        <v/>
      </c>
      <c r="L119" s="40">
        <f>ROUND(K119*$G$5, 2)</f>
        <v/>
      </c>
      <c r="M119" s="38">
        <f>INT($G$6/H119)</f>
        <v/>
      </c>
      <c r="N119" s="38">
        <f>IF(M119=0, 0, IF(OR($K$6="Square Grid", M119=1), INT($G$7/H119), IF($G$7&lt;H119, 0, 1+INT(($G$7-H119)/(0.8660254*H119)))))</f>
        <v/>
      </c>
      <c r="O119" s="41">
        <f>IF(OR(M119=0,N119=0), 0, IF(OR($K$6="Square Grid", M119=1), M119*N119*$K$5, (INT((N119+1)/2)*M119 + INT(N119/2)*IF(($G$6-M119*H119)&gt;=0.5*H119, M119, M119-1))*$K$5))</f>
        <v/>
      </c>
      <c r="P119" s="41">
        <f>IF(L119&lt;=0, 0, INT($G$8/L119))</f>
        <v/>
      </c>
      <c r="Q119" s="42">
        <f>MIN(O119, P119)</f>
        <v/>
      </c>
      <c r="R119" s="43">
        <f>ROUND((Q119*L119)/1000, 2)</f>
        <v/>
      </c>
      <c r="S119" s="44">
        <f>IF($C$8&gt;0, R119/$C$8, 0)</f>
        <v/>
      </c>
      <c r="T119" s="44">
        <f>IF(O119&gt;0, Q119/O119, 0)</f>
        <v/>
      </c>
      <c r="U119" s="12">
        <f>IF(Q119=0, "Exceeds Limit", IF(P119&lt;=O119, "Weight Limited", "Volume Limited"))</f>
        <v/>
      </c>
    </row>
    <row r="120" ht="19" customHeight="1">
      <c r="A120" s="45" t="n">
        <v>110</v>
      </c>
      <c r="B120" s="46" t="inlineStr">
        <is>
          <t>Carbon Steel</t>
        </is>
      </c>
      <c r="C120" s="19" t="inlineStr">
        <is>
          <t>ASME B36.10M</t>
        </is>
      </c>
      <c r="D120" s="18" t="inlineStr">
        <is>
          <t>5''</t>
        </is>
      </c>
      <c r="E120" s="45" t="n">
        <v>125</v>
      </c>
      <c r="F120" s="18" t="inlineStr">
        <is>
          <t>5</t>
        </is>
      </c>
      <c r="G120" s="20" t="n">
        <v>5.563</v>
      </c>
      <c r="H120" s="47" t="n">
        <v>141.3</v>
      </c>
      <c r="I120" s="20" t="n">
        <v>0.109</v>
      </c>
      <c r="J120" s="47" t="n">
        <v>2.77</v>
      </c>
      <c r="K120" s="20">
        <f>ROUND((H120-J120)*J120*IF(B120="Carbon Steel",$K$7,IF(B120="Stainless Steel 304",$K$8,$L$8)), 3)</f>
        <v/>
      </c>
      <c r="L120" s="47">
        <f>ROUND(K120*$G$5, 2)</f>
        <v/>
      </c>
      <c r="M120" s="45">
        <f>INT($G$6/H120)</f>
        <v/>
      </c>
      <c r="N120" s="45">
        <f>IF(M120=0, 0, IF(OR($K$6="Square Grid", M120=1), INT($G$7/H120), IF($G$7&lt;H120, 0, 1+INT(($G$7-H120)/(0.8660254*H120)))))</f>
        <v/>
      </c>
      <c r="O120" s="48">
        <f>IF(OR(M120=0,N120=0), 0, IF(OR($K$6="Square Grid", M120=1), M120*N120*$K$5, (INT((N120+1)/2)*M120 + INT(N120/2)*IF(($G$6-M120*H120)&gt;=0.5*H120, M120, M120-1))*$K$5))</f>
        <v/>
      </c>
      <c r="P120" s="48">
        <f>IF(L120&lt;=0, 0, INT($G$8/L120))</f>
        <v/>
      </c>
      <c r="Q120" s="42">
        <f>MIN(O120, P120)</f>
        <v/>
      </c>
      <c r="R120" s="43">
        <f>ROUND((Q120*L120)/1000, 2)</f>
        <v/>
      </c>
      <c r="S120" s="49">
        <f>IF($C$8&gt;0, R120/$C$8, 0)</f>
        <v/>
      </c>
      <c r="T120" s="49">
        <f>IF(O120&gt;0, Q120/O120, 0)</f>
        <v/>
      </c>
      <c r="U120" s="18">
        <f>IF(Q120=0, "Exceeds Limit", IF(P120&lt;=O120, "Weight Limited", "Volume Limited"))</f>
        <v/>
      </c>
    </row>
    <row r="121" ht="19" customHeight="1">
      <c r="A121" s="38" t="n">
        <v>111</v>
      </c>
      <c r="B121" s="39" t="inlineStr">
        <is>
          <t>Carbon Steel</t>
        </is>
      </c>
      <c r="C121" s="13" t="inlineStr">
        <is>
          <t>ASME B36.10M</t>
        </is>
      </c>
      <c r="D121" s="12" t="inlineStr">
        <is>
          <t>5''</t>
        </is>
      </c>
      <c r="E121" s="38" t="n">
        <v>125</v>
      </c>
      <c r="F121" s="12" t="inlineStr">
        <is>
          <t>10</t>
        </is>
      </c>
      <c r="G121" s="14" t="n">
        <v>5.563</v>
      </c>
      <c r="H121" s="40" t="n">
        <v>141.3</v>
      </c>
      <c r="I121" s="14" t="n">
        <v>0.134</v>
      </c>
      <c r="J121" s="40" t="n">
        <v>3.4</v>
      </c>
      <c r="K121" s="14">
        <f>ROUND((H121-J121)*J121*IF(B121="Carbon Steel",$K$7,IF(B121="Stainless Steel 304",$K$8,$L$8)), 3)</f>
        <v/>
      </c>
      <c r="L121" s="40">
        <f>ROUND(K121*$G$5, 2)</f>
        <v/>
      </c>
      <c r="M121" s="38">
        <f>INT($G$6/H121)</f>
        <v/>
      </c>
      <c r="N121" s="38">
        <f>IF(M121=0, 0, IF(OR($K$6="Square Grid", M121=1), INT($G$7/H121), IF($G$7&lt;H121, 0, 1+INT(($G$7-H121)/(0.8660254*H121)))))</f>
        <v/>
      </c>
      <c r="O121" s="41">
        <f>IF(OR(M121=0,N121=0), 0, IF(OR($K$6="Square Grid", M121=1), M121*N121*$K$5, (INT((N121+1)/2)*M121 + INT(N121/2)*IF(($G$6-M121*H121)&gt;=0.5*H121, M121, M121-1))*$K$5))</f>
        <v/>
      </c>
      <c r="P121" s="41">
        <f>IF(L121&lt;=0, 0, INT($G$8/L121))</f>
        <v/>
      </c>
      <c r="Q121" s="42">
        <f>MIN(O121, P121)</f>
        <v/>
      </c>
      <c r="R121" s="43">
        <f>ROUND((Q121*L121)/1000, 2)</f>
        <v/>
      </c>
      <c r="S121" s="44">
        <f>IF($C$8&gt;0, R121/$C$8, 0)</f>
        <v/>
      </c>
      <c r="T121" s="44">
        <f>IF(O121&gt;0, Q121/O121, 0)</f>
        <v/>
      </c>
      <c r="U121" s="12">
        <f>IF(Q121=0, "Exceeds Limit", IF(P121&lt;=O121, "Weight Limited", "Volume Limited"))</f>
        <v/>
      </c>
    </row>
    <row r="122" ht="19" customHeight="1">
      <c r="A122" s="45" t="n">
        <v>112</v>
      </c>
      <c r="B122" s="46" t="inlineStr">
        <is>
          <t>Carbon Steel</t>
        </is>
      </c>
      <c r="C122" s="19" t="inlineStr">
        <is>
          <t>ASME B36.10M</t>
        </is>
      </c>
      <c r="D122" s="18" t="inlineStr">
        <is>
          <t>5''</t>
        </is>
      </c>
      <c r="E122" s="45" t="n">
        <v>125</v>
      </c>
      <c r="F122" s="18" t="inlineStr">
        <is>
          <t>STD</t>
        </is>
      </c>
      <c r="G122" s="20" t="n">
        <v>5.563</v>
      </c>
      <c r="H122" s="47" t="n">
        <v>141.3</v>
      </c>
      <c r="I122" s="20" t="n">
        <v>0.258</v>
      </c>
      <c r="J122" s="47" t="n">
        <v>6.55</v>
      </c>
      <c r="K122" s="20">
        <f>ROUND((H122-J122)*J122*IF(B122="Carbon Steel",$K$7,IF(B122="Stainless Steel 304",$K$8,$L$8)), 3)</f>
        <v/>
      </c>
      <c r="L122" s="47">
        <f>ROUND(K122*$G$5, 2)</f>
        <v/>
      </c>
      <c r="M122" s="45">
        <f>INT($G$6/H122)</f>
        <v/>
      </c>
      <c r="N122" s="45">
        <f>IF(M122=0, 0, IF(OR($K$6="Square Grid", M122=1), INT($G$7/H122), IF($G$7&lt;H122, 0, 1+INT(($G$7-H122)/(0.8660254*H122)))))</f>
        <v/>
      </c>
      <c r="O122" s="48">
        <f>IF(OR(M122=0,N122=0), 0, IF(OR($K$6="Square Grid", M122=1), M122*N122*$K$5, (INT((N122+1)/2)*M122 + INT(N122/2)*IF(($G$6-M122*H122)&gt;=0.5*H122, M122, M122-1))*$K$5))</f>
        <v/>
      </c>
      <c r="P122" s="48">
        <f>IF(L122&lt;=0, 0, INT($G$8/L122))</f>
        <v/>
      </c>
      <c r="Q122" s="42">
        <f>MIN(O122, P122)</f>
        <v/>
      </c>
      <c r="R122" s="43">
        <f>ROUND((Q122*L122)/1000, 2)</f>
        <v/>
      </c>
      <c r="S122" s="49">
        <f>IF($C$8&gt;0, R122/$C$8, 0)</f>
        <v/>
      </c>
      <c r="T122" s="49">
        <f>IF(O122&gt;0, Q122/O122, 0)</f>
        <v/>
      </c>
      <c r="U122" s="18">
        <f>IF(Q122=0, "Exceeds Limit", IF(P122&lt;=O122, "Weight Limited", "Volume Limited"))</f>
        <v/>
      </c>
    </row>
    <row r="123" ht="19" customHeight="1">
      <c r="A123" s="38" t="n">
        <v>113</v>
      </c>
      <c r="B123" s="39" t="inlineStr">
        <is>
          <t>Carbon Steel</t>
        </is>
      </c>
      <c r="C123" s="13" t="inlineStr">
        <is>
          <t>ASME B36.10M</t>
        </is>
      </c>
      <c r="D123" s="12" t="inlineStr">
        <is>
          <t>5''</t>
        </is>
      </c>
      <c r="E123" s="38" t="n">
        <v>125</v>
      </c>
      <c r="F123" s="12" t="inlineStr">
        <is>
          <t>40</t>
        </is>
      </c>
      <c r="G123" s="14" t="n">
        <v>5.563</v>
      </c>
      <c r="H123" s="40" t="n">
        <v>141.3</v>
      </c>
      <c r="I123" s="14" t="n">
        <v>0.258</v>
      </c>
      <c r="J123" s="40" t="n">
        <v>6.55</v>
      </c>
      <c r="K123" s="14">
        <f>ROUND((H123-J123)*J123*IF(B123="Carbon Steel",$K$7,IF(B123="Stainless Steel 304",$K$8,$L$8)), 3)</f>
        <v/>
      </c>
      <c r="L123" s="40">
        <f>ROUND(K123*$G$5, 2)</f>
        <v/>
      </c>
      <c r="M123" s="38">
        <f>INT($G$6/H123)</f>
        <v/>
      </c>
      <c r="N123" s="38">
        <f>IF(M123=0, 0, IF(OR($K$6="Square Grid", M123=1), INT($G$7/H123), IF($G$7&lt;H123, 0, 1+INT(($G$7-H123)/(0.8660254*H123)))))</f>
        <v/>
      </c>
      <c r="O123" s="41">
        <f>IF(OR(M123=0,N123=0), 0, IF(OR($K$6="Square Grid", M123=1), M123*N123*$K$5, (INT((N123+1)/2)*M123 + INT(N123/2)*IF(($G$6-M123*H123)&gt;=0.5*H123, M123, M123-1))*$K$5))</f>
        <v/>
      </c>
      <c r="P123" s="41">
        <f>IF(L123&lt;=0, 0, INT($G$8/L123))</f>
        <v/>
      </c>
      <c r="Q123" s="42">
        <f>MIN(O123, P123)</f>
        <v/>
      </c>
      <c r="R123" s="43">
        <f>ROUND((Q123*L123)/1000, 2)</f>
        <v/>
      </c>
      <c r="S123" s="44">
        <f>IF($C$8&gt;0, R123/$C$8, 0)</f>
        <v/>
      </c>
      <c r="T123" s="44">
        <f>IF(O123&gt;0, Q123/O123, 0)</f>
        <v/>
      </c>
      <c r="U123" s="12">
        <f>IF(Q123=0, "Exceeds Limit", IF(P123&lt;=O123, "Weight Limited", "Volume Limited"))</f>
        <v/>
      </c>
    </row>
    <row r="124" ht="19" customHeight="1">
      <c r="A124" s="45" t="n">
        <v>114</v>
      </c>
      <c r="B124" s="46" t="inlineStr">
        <is>
          <t>Carbon Steel</t>
        </is>
      </c>
      <c r="C124" s="19" t="inlineStr">
        <is>
          <t>ASME B36.10M</t>
        </is>
      </c>
      <c r="D124" s="18" t="inlineStr">
        <is>
          <t>5''</t>
        </is>
      </c>
      <c r="E124" s="45" t="n">
        <v>125</v>
      </c>
      <c r="F124" s="18" t="inlineStr">
        <is>
          <t>XS</t>
        </is>
      </c>
      <c r="G124" s="20" t="n">
        <v>5.563</v>
      </c>
      <c r="H124" s="47" t="n">
        <v>141.3</v>
      </c>
      <c r="I124" s="20" t="n">
        <v>0.375</v>
      </c>
      <c r="J124" s="47" t="n">
        <v>9.52</v>
      </c>
      <c r="K124" s="20">
        <f>ROUND((H124-J124)*J124*IF(B124="Carbon Steel",$K$7,IF(B124="Stainless Steel 304",$K$8,$L$8)), 3)</f>
        <v/>
      </c>
      <c r="L124" s="47">
        <f>ROUND(K124*$G$5, 2)</f>
        <v/>
      </c>
      <c r="M124" s="45">
        <f>INT($G$6/H124)</f>
        <v/>
      </c>
      <c r="N124" s="45">
        <f>IF(M124=0, 0, IF(OR($K$6="Square Grid", M124=1), INT($G$7/H124), IF($G$7&lt;H124, 0, 1+INT(($G$7-H124)/(0.8660254*H124)))))</f>
        <v/>
      </c>
      <c r="O124" s="48">
        <f>IF(OR(M124=0,N124=0), 0, IF(OR($K$6="Square Grid", M124=1), M124*N124*$K$5, (INT((N124+1)/2)*M124 + INT(N124/2)*IF(($G$6-M124*H124)&gt;=0.5*H124, M124, M124-1))*$K$5))</f>
        <v/>
      </c>
      <c r="P124" s="48">
        <f>IF(L124&lt;=0, 0, INT($G$8/L124))</f>
        <v/>
      </c>
      <c r="Q124" s="42">
        <f>MIN(O124, P124)</f>
        <v/>
      </c>
      <c r="R124" s="43">
        <f>ROUND((Q124*L124)/1000, 2)</f>
        <v/>
      </c>
      <c r="S124" s="49">
        <f>IF($C$8&gt;0, R124/$C$8, 0)</f>
        <v/>
      </c>
      <c r="T124" s="49">
        <f>IF(O124&gt;0, Q124/O124, 0)</f>
        <v/>
      </c>
      <c r="U124" s="18">
        <f>IF(Q124=0, "Exceeds Limit", IF(P124&lt;=O124, "Weight Limited", "Volume Limited"))</f>
        <v/>
      </c>
    </row>
    <row r="125" ht="19" customHeight="1">
      <c r="A125" s="38" t="n">
        <v>115</v>
      </c>
      <c r="B125" s="39" t="inlineStr">
        <is>
          <t>Carbon Steel</t>
        </is>
      </c>
      <c r="C125" s="13" t="inlineStr">
        <is>
          <t>ASME B36.10M</t>
        </is>
      </c>
      <c r="D125" s="12" t="inlineStr">
        <is>
          <t>5''</t>
        </is>
      </c>
      <c r="E125" s="38" t="n">
        <v>125</v>
      </c>
      <c r="F125" s="12" t="inlineStr">
        <is>
          <t>80</t>
        </is>
      </c>
      <c r="G125" s="14" t="n">
        <v>5.563</v>
      </c>
      <c r="H125" s="40" t="n">
        <v>141.3</v>
      </c>
      <c r="I125" s="14" t="n">
        <v>0.375</v>
      </c>
      <c r="J125" s="40" t="n">
        <v>9.52</v>
      </c>
      <c r="K125" s="14">
        <f>ROUND((H125-J125)*J125*IF(B125="Carbon Steel",$K$7,IF(B125="Stainless Steel 304",$K$8,$L$8)), 3)</f>
        <v/>
      </c>
      <c r="L125" s="40">
        <f>ROUND(K125*$G$5, 2)</f>
        <v/>
      </c>
      <c r="M125" s="38">
        <f>INT($G$6/H125)</f>
        <v/>
      </c>
      <c r="N125" s="38">
        <f>IF(M125=0, 0, IF(OR($K$6="Square Grid", M125=1), INT($G$7/H125), IF($G$7&lt;H125, 0, 1+INT(($G$7-H125)/(0.8660254*H125)))))</f>
        <v/>
      </c>
      <c r="O125" s="41">
        <f>IF(OR(M125=0,N125=0), 0, IF(OR($K$6="Square Grid", M125=1), M125*N125*$K$5, (INT((N125+1)/2)*M125 + INT(N125/2)*IF(($G$6-M125*H125)&gt;=0.5*H125, M125, M125-1))*$K$5))</f>
        <v/>
      </c>
      <c r="P125" s="41">
        <f>IF(L125&lt;=0, 0, INT($G$8/L125))</f>
        <v/>
      </c>
      <c r="Q125" s="42">
        <f>MIN(O125, P125)</f>
        <v/>
      </c>
      <c r="R125" s="43">
        <f>ROUND((Q125*L125)/1000, 2)</f>
        <v/>
      </c>
      <c r="S125" s="44">
        <f>IF($C$8&gt;0, R125/$C$8, 0)</f>
        <v/>
      </c>
      <c r="T125" s="44">
        <f>IF(O125&gt;0, Q125/O125, 0)</f>
        <v/>
      </c>
      <c r="U125" s="12">
        <f>IF(Q125=0, "Exceeds Limit", IF(P125&lt;=O125, "Weight Limited", "Volume Limited"))</f>
        <v/>
      </c>
    </row>
    <row r="126" ht="19" customHeight="1">
      <c r="A126" s="45" t="n">
        <v>116</v>
      </c>
      <c r="B126" s="46" t="inlineStr">
        <is>
          <t>Carbon Steel</t>
        </is>
      </c>
      <c r="C126" s="19" t="inlineStr">
        <is>
          <t>ASME B36.10M</t>
        </is>
      </c>
      <c r="D126" s="18" t="inlineStr">
        <is>
          <t>5''</t>
        </is>
      </c>
      <c r="E126" s="45" t="n">
        <v>125</v>
      </c>
      <c r="F126" s="18" t="inlineStr">
        <is>
          <t>120</t>
        </is>
      </c>
      <c r="G126" s="20" t="n">
        <v>5.563</v>
      </c>
      <c r="H126" s="47" t="n">
        <v>141.3</v>
      </c>
      <c r="I126" s="20" t="n">
        <v>0.5</v>
      </c>
      <c r="J126" s="47" t="n">
        <v>12.7</v>
      </c>
      <c r="K126" s="20">
        <f>ROUND((H126-J126)*J126*IF(B126="Carbon Steel",$K$7,IF(B126="Stainless Steel 304",$K$8,$L$8)), 3)</f>
        <v/>
      </c>
      <c r="L126" s="47">
        <f>ROUND(K126*$G$5, 2)</f>
        <v/>
      </c>
      <c r="M126" s="45">
        <f>INT($G$6/H126)</f>
        <v/>
      </c>
      <c r="N126" s="45">
        <f>IF(M126=0, 0, IF(OR($K$6="Square Grid", M126=1), INT($G$7/H126), IF($G$7&lt;H126, 0, 1+INT(($G$7-H126)/(0.8660254*H126)))))</f>
        <v/>
      </c>
      <c r="O126" s="48">
        <f>IF(OR(M126=0,N126=0), 0, IF(OR($K$6="Square Grid", M126=1), M126*N126*$K$5, (INT((N126+1)/2)*M126 + INT(N126/2)*IF(($G$6-M126*H126)&gt;=0.5*H126, M126, M126-1))*$K$5))</f>
        <v/>
      </c>
      <c r="P126" s="48">
        <f>IF(L126&lt;=0, 0, INT($G$8/L126))</f>
        <v/>
      </c>
      <c r="Q126" s="42">
        <f>MIN(O126, P126)</f>
        <v/>
      </c>
      <c r="R126" s="43">
        <f>ROUND((Q126*L126)/1000, 2)</f>
        <v/>
      </c>
      <c r="S126" s="49">
        <f>IF($C$8&gt;0, R126/$C$8, 0)</f>
        <v/>
      </c>
      <c r="T126" s="49">
        <f>IF(O126&gt;0, Q126/O126, 0)</f>
        <v/>
      </c>
      <c r="U126" s="18">
        <f>IF(Q126=0, "Exceeds Limit", IF(P126&lt;=O126, "Weight Limited", "Volume Limited"))</f>
        <v/>
      </c>
    </row>
    <row r="127" ht="19" customHeight="1">
      <c r="A127" s="38" t="n">
        <v>117</v>
      </c>
      <c r="B127" s="39" t="inlineStr">
        <is>
          <t>Carbon Steel</t>
        </is>
      </c>
      <c r="C127" s="13" t="inlineStr">
        <is>
          <t>ASME B36.10M</t>
        </is>
      </c>
      <c r="D127" s="12" t="inlineStr">
        <is>
          <t>5''</t>
        </is>
      </c>
      <c r="E127" s="38" t="n">
        <v>125</v>
      </c>
      <c r="F127" s="12" t="inlineStr">
        <is>
          <t>160</t>
        </is>
      </c>
      <c r="G127" s="14" t="n">
        <v>5.563</v>
      </c>
      <c r="H127" s="40" t="n">
        <v>141.3</v>
      </c>
      <c r="I127" s="14" t="n">
        <v>0.625</v>
      </c>
      <c r="J127" s="40" t="n">
        <v>15.88</v>
      </c>
      <c r="K127" s="14">
        <f>ROUND((H127-J127)*J127*IF(B127="Carbon Steel",$K$7,IF(B127="Stainless Steel 304",$K$8,$L$8)), 3)</f>
        <v/>
      </c>
      <c r="L127" s="40">
        <f>ROUND(K127*$G$5, 2)</f>
        <v/>
      </c>
      <c r="M127" s="38">
        <f>INT($G$6/H127)</f>
        <v/>
      </c>
      <c r="N127" s="38">
        <f>IF(M127=0, 0, IF(OR($K$6="Square Grid", M127=1), INT($G$7/H127), IF($G$7&lt;H127, 0, 1+INT(($G$7-H127)/(0.8660254*H127)))))</f>
        <v/>
      </c>
      <c r="O127" s="41">
        <f>IF(OR(M127=0,N127=0), 0, IF(OR($K$6="Square Grid", M127=1), M127*N127*$K$5, (INT((N127+1)/2)*M127 + INT(N127/2)*IF(($G$6-M127*H127)&gt;=0.5*H127, M127, M127-1))*$K$5))</f>
        <v/>
      </c>
      <c r="P127" s="41">
        <f>IF(L127&lt;=0, 0, INT($G$8/L127))</f>
        <v/>
      </c>
      <c r="Q127" s="42">
        <f>MIN(O127, P127)</f>
        <v/>
      </c>
      <c r="R127" s="43">
        <f>ROUND((Q127*L127)/1000, 2)</f>
        <v/>
      </c>
      <c r="S127" s="44">
        <f>IF($C$8&gt;0, R127/$C$8, 0)</f>
        <v/>
      </c>
      <c r="T127" s="44">
        <f>IF(O127&gt;0, Q127/O127, 0)</f>
        <v/>
      </c>
      <c r="U127" s="12">
        <f>IF(Q127=0, "Exceeds Limit", IF(P127&lt;=O127, "Weight Limited", "Volume Limited"))</f>
        <v/>
      </c>
    </row>
    <row r="128" ht="19" customHeight="1">
      <c r="A128" s="45" t="n">
        <v>118</v>
      </c>
      <c r="B128" s="46" t="inlineStr">
        <is>
          <t>Carbon Steel</t>
        </is>
      </c>
      <c r="C128" s="19" t="inlineStr">
        <is>
          <t>ASME B36.10M</t>
        </is>
      </c>
      <c r="D128" s="18" t="inlineStr">
        <is>
          <t>5''</t>
        </is>
      </c>
      <c r="E128" s="45" t="n">
        <v>125</v>
      </c>
      <c r="F128" s="18" t="inlineStr">
        <is>
          <t>XXS</t>
        </is>
      </c>
      <c r="G128" s="20" t="n">
        <v>5.563</v>
      </c>
      <c r="H128" s="47" t="n">
        <v>141.3</v>
      </c>
      <c r="I128" s="20" t="n">
        <v>0.75</v>
      </c>
      <c r="J128" s="47" t="n">
        <v>19.05</v>
      </c>
      <c r="K128" s="20">
        <f>ROUND((H128-J128)*J128*IF(B128="Carbon Steel",$K$7,IF(B128="Stainless Steel 304",$K$8,$L$8)), 3)</f>
        <v/>
      </c>
      <c r="L128" s="47">
        <f>ROUND(K128*$G$5, 2)</f>
        <v/>
      </c>
      <c r="M128" s="45">
        <f>INT($G$6/H128)</f>
        <v/>
      </c>
      <c r="N128" s="45">
        <f>IF(M128=0, 0, IF(OR($K$6="Square Grid", M128=1), INT($G$7/H128), IF($G$7&lt;H128, 0, 1+INT(($G$7-H128)/(0.8660254*H128)))))</f>
        <v/>
      </c>
      <c r="O128" s="48">
        <f>IF(OR(M128=0,N128=0), 0, IF(OR($K$6="Square Grid", M128=1), M128*N128*$K$5, (INT((N128+1)/2)*M128 + INT(N128/2)*IF(($G$6-M128*H128)&gt;=0.5*H128, M128, M128-1))*$K$5))</f>
        <v/>
      </c>
      <c r="P128" s="48">
        <f>IF(L128&lt;=0, 0, INT($G$8/L128))</f>
        <v/>
      </c>
      <c r="Q128" s="42">
        <f>MIN(O128, P128)</f>
        <v/>
      </c>
      <c r="R128" s="43">
        <f>ROUND((Q128*L128)/1000, 2)</f>
        <v/>
      </c>
      <c r="S128" s="49">
        <f>IF($C$8&gt;0, R128/$C$8, 0)</f>
        <v/>
      </c>
      <c r="T128" s="49">
        <f>IF(O128&gt;0, Q128/O128, 0)</f>
        <v/>
      </c>
      <c r="U128" s="18">
        <f>IF(Q128=0, "Exceeds Limit", IF(P128&lt;=O128, "Weight Limited", "Volume Limited"))</f>
        <v/>
      </c>
    </row>
    <row r="129" ht="19" customHeight="1">
      <c r="A129" s="38" t="n">
        <v>119</v>
      </c>
      <c r="B129" s="39" t="inlineStr">
        <is>
          <t>Carbon Steel</t>
        </is>
      </c>
      <c r="C129" s="13" t="inlineStr">
        <is>
          <t>ASME B36.10M</t>
        </is>
      </c>
      <c r="D129" s="12" t="inlineStr">
        <is>
          <t>6''</t>
        </is>
      </c>
      <c r="E129" s="38" t="n">
        <v>150</v>
      </c>
      <c r="F129" s="12" t="inlineStr">
        <is>
          <t>5</t>
        </is>
      </c>
      <c r="G129" s="14" t="n">
        <v>6.625</v>
      </c>
      <c r="H129" s="40" t="n">
        <v>168.27</v>
      </c>
      <c r="I129" s="14" t="n">
        <v>0.109</v>
      </c>
      <c r="J129" s="40" t="n">
        <v>2.77</v>
      </c>
      <c r="K129" s="14">
        <f>ROUND((H129-J129)*J129*IF(B129="Carbon Steel",$K$7,IF(B129="Stainless Steel 304",$K$8,$L$8)), 3)</f>
        <v/>
      </c>
      <c r="L129" s="40">
        <f>ROUND(K129*$G$5, 2)</f>
        <v/>
      </c>
      <c r="M129" s="38">
        <f>INT($G$6/H129)</f>
        <v/>
      </c>
      <c r="N129" s="38">
        <f>IF(M129=0, 0, IF(OR($K$6="Square Grid", M129=1), INT($G$7/H129), IF($G$7&lt;H129, 0, 1+INT(($G$7-H129)/(0.8660254*H129)))))</f>
        <v/>
      </c>
      <c r="O129" s="41">
        <f>IF(OR(M129=0,N129=0), 0, IF(OR($K$6="Square Grid", M129=1), M129*N129*$K$5, (INT((N129+1)/2)*M129 + INT(N129/2)*IF(($G$6-M129*H129)&gt;=0.5*H129, M129, M129-1))*$K$5))</f>
        <v/>
      </c>
      <c r="P129" s="41">
        <f>IF(L129&lt;=0, 0, INT($G$8/L129))</f>
        <v/>
      </c>
      <c r="Q129" s="42">
        <f>MIN(O129, P129)</f>
        <v/>
      </c>
      <c r="R129" s="43">
        <f>ROUND((Q129*L129)/1000, 2)</f>
        <v/>
      </c>
      <c r="S129" s="44">
        <f>IF($C$8&gt;0, R129/$C$8, 0)</f>
        <v/>
      </c>
      <c r="T129" s="44">
        <f>IF(O129&gt;0, Q129/O129, 0)</f>
        <v/>
      </c>
      <c r="U129" s="12">
        <f>IF(Q129=0, "Exceeds Limit", IF(P129&lt;=O129, "Weight Limited", "Volume Limited"))</f>
        <v/>
      </c>
    </row>
    <row r="130" ht="19" customHeight="1">
      <c r="A130" s="45" t="n">
        <v>120</v>
      </c>
      <c r="B130" s="46" t="inlineStr">
        <is>
          <t>Carbon Steel</t>
        </is>
      </c>
      <c r="C130" s="19" t="inlineStr">
        <is>
          <t>ASME B36.10M</t>
        </is>
      </c>
      <c r="D130" s="18" t="inlineStr">
        <is>
          <t>6''</t>
        </is>
      </c>
      <c r="E130" s="45" t="n">
        <v>150</v>
      </c>
      <c r="F130" s="18" t="inlineStr">
        <is>
          <t>10</t>
        </is>
      </c>
      <c r="G130" s="20" t="n">
        <v>6.625</v>
      </c>
      <c r="H130" s="47" t="n">
        <v>168.27</v>
      </c>
      <c r="I130" s="20" t="n">
        <v>0.134</v>
      </c>
      <c r="J130" s="47" t="n">
        <v>3.4</v>
      </c>
      <c r="K130" s="20">
        <f>ROUND((H130-J130)*J130*IF(B130="Carbon Steel",$K$7,IF(B130="Stainless Steel 304",$K$8,$L$8)), 3)</f>
        <v/>
      </c>
      <c r="L130" s="47">
        <f>ROUND(K130*$G$5, 2)</f>
        <v/>
      </c>
      <c r="M130" s="45">
        <f>INT($G$6/H130)</f>
        <v/>
      </c>
      <c r="N130" s="45">
        <f>IF(M130=0, 0, IF(OR($K$6="Square Grid", M130=1), INT($G$7/H130), IF($G$7&lt;H130, 0, 1+INT(($G$7-H130)/(0.8660254*H130)))))</f>
        <v/>
      </c>
      <c r="O130" s="48">
        <f>IF(OR(M130=0,N130=0), 0, IF(OR($K$6="Square Grid", M130=1), M130*N130*$K$5, (INT((N130+1)/2)*M130 + INT(N130/2)*IF(($G$6-M130*H130)&gt;=0.5*H130, M130, M130-1))*$K$5))</f>
        <v/>
      </c>
      <c r="P130" s="48">
        <f>IF(L130&lt;=0, 0, INT($G$8/L130))</f>
        <v/>
      </c>
      <c r="Q130" s="42">
        <f>MIN(O130, P130)</f>
        <v/>
      </c>
      <c r="R130" s="43">
        <f>ROUND((Q130*L130)/1000, 2)</f>
        <v/>
      </c>
      <c r="S130" s="49">
        <f>IF($C$8&gt;0, R130/$C$8, 0)</f>
        <v/>
      </c>
      <c r="T130" s="49">
        <f>IF(O130&gt;0, Q130/O130, 0)</f>
        <v/>
      </c>
      <c r="U130" s="18">
        <f>IF(Q130=0, "Exceeds Limit", IF(P130&lt;=O130, "Weight Limited", "Volume Limited"))</f>
        <v/>
      </c>
    </row>
    <row r="131" ht="19" customHeight="1">
      <c r="A131" s="38" t="n">
        <v>121</v>
      </c>
      <c r="B131" s="39" t="inlineStr">
        <is>
          <t>Carbon Steel</t>
        </is>
      </c>
      <c r="C131" s="13" t="inlineStr">
        <is>
          <t>ASME B36.10M</t>
        </is>
      </c>
      <c r="D131" s="12" t="inlineStr">
        <is>
          <t>6''</t>
        </is>
      </c>
      <c r="E131" s="38" t="n">
        <v>150</v>
      </c>
      <c r="F131" s="12" t="inlineStr">
        <is>
          <t>STD</t>
        </is>
      </c>
      <c r="G131" s="14" t="n">
        <v>6.625</v>
      </c>
      <c r="H131" s="40" t="n">
        <v>168.27</v>
      </c>
      <c r="I131" s="14" t="n">
        <v>0.28</v>
      </c>
      <c r="J131" s="40" t="n">
        <v>7.11</v>
      </c>
      <c r="K131" s="14">
        <f>ROUND((H131-J131)*J131*IF(B131="Carbon Steel",$K$7,IF(B131="Stainless Steel 304",$K$8,$L$8)), 3)</f>
        <v/>
      </c>
      <c r="L131" s="40">
        <f>ROUND(K131*$G$5, 2)</f>
        <v/>
      </c>
      <c r="M131" s="38">
        <f>INT($G$6/H131)</f>
        <v/>
      </c>
      <c r="N131" s="38">
        <f>IF(M131=0, 0, IF(OR($K$6="Square Grid", M131=1), INT($G$7/H131), IF($G$7&lt;H131, 0, 1+INT(($G$7-H131)/(0.8660254*H131)))))</f>
        <v/>
      </c>
      <c r="O131" s="41">
        <f>IF(OR(M131=0,N131=0), 0, IF(OR($K$6="Square Grid", M131=1), M131*N131*$K$5, (INT((N131+1)/2)*M131 + INT(N131/2)*IF(($G$6-M131*H131)&gt;=0.5*H131, M131, M131-1))*$K$5))</f>
        <v/>
      </c>
      <c r="P131" s="41">
        <f>IF(L131&lt;=0, 0, INT($G$8/L131))</f>
        <v/>
      </c>
      <c r="Q131" s="42">
        <f>MIN(O131, P131)</f>
        <v/>
      </c>
      <c r="R131" s="43">
        <f>ROUND((Q131*L131)/1000, 2)</f>
        <v/>
      </c>
      <c r="S131" s="44">
        <f>IF($C$8&gt;0, R131/$C$8, 0)</f>
        <v/>
      </c>
      <c r="T131" s="44">
        <f>IF(O131&gt;0, Q131/O131, 0)</f>
        <v/>
      </c>
      <c r="U131" s="12">
        <f>IF(Q131=0, "Exceeds Limit", IF(P131&lt;=O131, "Weight Limited", "Volume Limited"))</f>
        <v/>
      </c>
    </row>
    <row r="132" ht="19" customHeight="1">
      <c r="A132" s="45" t="n">
        <v>122</v>
      </c>
      <c r="B132" s="46" t="inlineStr">
        <is>
          <t>Carbon Steel</t>
        </is>
      </c>
      <c r="C132" s="19" t="inlineStr">
        <is>
          <t>ASME B36.10M</t>
        </is>
      </c>
      <c r="D132" s="18" t="inlineStr">
        <is>
          <t>6''</t>
        </is>
      </c>
      <c r="E132" s="45" t="n">
        <v>150</v>
      </c>
      <c r="F132" s="18" t="inlineStr">
        <is>
          <t>40</t>
        </is>
      </c>
      <c r="G132" s="20" t="n">
        <v>6.625</v>
      </c>
      <c r="H132" s="47" t="n">
        <v>168.27</v>
      </c>
      <c r="I132" s="20" t="n">
        <v>0.28</v>
      </c>
      <c r="J132" s="47" t="n">
        <v>7.11</v>
      </c>
      <c r="K132" s="20">
        <f>ROUND((H132-J132)*J132*IF(B132="Carbon Steel",$K$7,IF(B132="Stainless Steel 304",$K$8,$L$8)), 3)</f>
        <v/>
      </c>
      <c r="L132" s="47">
        <f>ROUND(K132*$G$5, 2)</f>
        <v/>
      </c>
      <c r="M132" s="45">
        <f>INT($G$6/H132)</f>
        <v/>
      </c>
      <c r="N132" s="45">
        <f>IF(M132=0, 0, IF(OR($K$6="Square Grid", M132=1), INT($G$7/H132), IF($G$7&lt;H132, 0, 1+INT(($G$7-H132)/(0.8660254*H132)))))</f>
        <v/>
      </c>
      <c r="O132" s="48">
        <f>IF(OR(M132=0,N132=0), 0, IF(OR($K$6="Square Grid", M132=1), M132*N132*$K$5, (INT((N132+1)/2)*M132 + INT(N132/2)*IF(($G$6-M132*H132)&gt;=0.5*H132, M132, M132-1))*$K$5))</f>
        <v/>
      </c>
      <c r="P132" s="48">
        <f>IF(L132&lt;=0, 0, INT($G$8/L132))</f>
        <v/>
      </c>
      <c r="Q132" s="42">
        <f>MIN(O132, P132)</f>
        <v/>
      </c>
      <c r="R132" s="43">
        <f>ROUND((Q132*L132)/1000, 2)</f>
        <v/>
      </c>
      <c r="S132" s="49">
        <f>IF($C$8&gt;0, R132/$C$8, 0)</f>
        <v/>
      </c>
      <c r="T132" s="49">
        <f>IF(O132&gt;0, Q132/O132, 0)</f>
        <v/>
      </c>
      <c r="U132" s="18">
        <f>IF(Q132=0, "Exceeds Limit", IF(P132&lt;=O132, "Weight Limited", "Volume Limited"))</f>
        <v/>
      </c>
    </row>
    <row r="133" ht="19" customHeight="1">
      <c r="A133" s="38" t="n">
        <v>123</v>
      </c>
      <c r="B133" s="39" t="inlineStr">
        <is>
          <t>Carbon Steel</t>
        </is>
      </c>
      <c r="C133" s="13" t="inlineStr">
        <is>
          <t>ASME B36.10M</t>
        </is>
      </c>
      <c r="D133" s="12" t="inlineStr">
        <is>
          <t>6''</t>
        </is>
      </c>
      <c r="E133" s="38" t="n">
        <v>150</v>
      </c>
      <c r="F133" s="12" t="inlineStr">
        <is>
          <t>XS</t>
        </is>
      </c>
      <c r="G133" s="14" t="n">
        <v>6.625</v>
      </c>
      <c r="H133" s="40" t="n">
        <v>168.27</v>
      </c>
      <c r="I133" s="14" t="n">
        <v>0.432</v>
      </c>
      <c r="J133" s="40" t="n">
        <v>10.97</v>
      </c>
      <c r="K133" s="14">
        <f>ROUND((H133-J133)*J133*IF(B133="Carbon Steel",$K$7,IF(B133="Stainless Steel 304",$K$8,$L$8)), 3)</f>
        <v/>
      </c>
      <c r="L133" s="40">
        <f>ROUND(K133*$G$5, 2)</f>
        <v/>
      </c>
      <c r="M133" s="38">
        <f>INT($G$6/H133)</f>
        <v/>
      </c>
      <c r="N133" s="38">
        <f>IF(M133=0, 0, IF(OR($K$6="Square Grid", M133=1), INT($G$7/H133), IF($G$7&lt;H133, 0, 1+INT(($G$7-H133)/(0.8660254*H133)))))</f>
        <v/>
      </c>
      <c r="O133" s="41">
        <f>IF(OR(M133=0,N133=0), 0, IF(OR($K$6="Square Grid", M133=1), M133*N133*$K$5, (INT((N133+1)/2)*M133 + INT(N133/2)*IF(($G$6-M133*H133)&gt;=0.5*H133, M133, M133-1))*$K$5))</f>
        <v/>
      </c>
      <c r="P133" s="41">
        <f>IF(L133&lt;=0, 0, INT($G$8/L133))</f>
        <v/>
      </c>
      <c r="Q133" s="42">
        <f>MIN(O133, P133)</f>
        <v/>
      </c>
      <c r="R133" s="43">
        <f>ROUND((Q133*L133)/1000, 2)</f>
        <v/>
      </c>
      <c r="S133" s="44">
        <f>IF($C$8&gt;0, R133/$C$8, 0)</f>
        <v/>
      </c>
      <c r="T133" s="44">
        <f>IF(O133&gt;0, Q133/O133, 0)</f>
        <v/>
      </c>
      <c r="U133" s="12">
        <f>IF(Q133=0, "Exceeds Limit", IF(P133&lt;=O133, "Weight Limited", "Volume Limited"))</f>
        <v/>
      </c>
    </row>
    <row r="134" ht="19" customHeight="1">
      <c r="A134" s="45" t="n">
        <v>124</v>
      </c>
      <c r="B134" s="46" t="inlineStr">
        <is>
          <t>Carbon Steel</t>
        </is>
      </c>
      <c r="C134" s="19" t="inlineStr">
        <is>
          <t>ASME B36.10M</t>
        </is>
      </c>
      <c r="D134" s="18" t="inlineStr">
        <is>
          <t>6''</t>
        </is>
      </c>
      <c r="E134" s="45" t="n">
        <v>150</v>
      </c>
      <c r="F134" s="18" t="inlineStr">
        <is>
          <t>80</t>
        </is>
      </c>
      <c r="G134" s="20" t="n">
        <v>6.625</v>
      </c>
      <c r="H134" s="47" t="n">
        <v>168.27</v>
      </c>
      <c r="I134" s="20" t="n">
        <v>0.432</v>
      </c>
      <c r="J134" s="47" t="n">
        <v>10.97</v>
      </c>
      <c r="K134" s="20">
        <f>ROUND((H134-J134)*J134*IF(B134="Carbon Steel",$K$7,IF(B134="Stainless Steel 304",$K$8,$L$8)), 3)</f>
        <v/>
      </c>
      <c r="L134" s="47">
        <f>ROUND(K134*$G$5, 2)</f>
        <v/>
      </c>
      <c r="M134" s="45">
        <f>INT($G$6/H134)</f>
        <v/>
      </c>
      <c r="N134" s="45">
        <f>IF(M134=0, 0, IF(OR($K$6="Square Grid", M134=1), INT($G$7/H134), IF($G$7&lt;H134, 0, 1+INT(($G$7-H134)/(0.8660254*H134)))))</f>
        <v/>
      </c>
      <c r="O134" s="48">
        <f>IF(OR(M134=0,N134=0), 0, IF(OR($K$6="Square Grid", M134=1), M134*N134*$K$5, (INT((N134+1)/2)*M134 + INT(N134/2)*IF(($G$6-M134*H134)&gt;=0.5*H134, M134, M134-1))*$K$5))</f>
        <v/>
      </c>
      <c r="P134" s="48">
        <f>IF(L134&lt;=0, 0, INT($G$8/L134))</f>
        <v/>
      </c>
      <c r="Q134" s="42">
        <f>MIN(O134, P134)</f>
        <v/>
      </c>
      <c r="R134" s="43">
        <f>ROUND((Q134*L134)/1000, 2)</f>
        <v/>
      </c>
      <c r="S134" s="49">
        <f>IF($C$8&gt;0, R134/$C$8, 0)</f>
        <v/>
      </c>
      <c r="T134" s="49">
        <f>IF(O134&gt;0, Q134/O134, 0)</f>
        <v/>
      </c>
      <c r="U134" s="18">
        <f>IF(Q134=0, "Exceeds Limit", IF(P134&lt;=O134, "Weight Limited", "Volume Limited"))</f>
        <v/>
      </c>
    </row>
    <row r="135" ht="19" customHeight="1">
      <c r="A135" s="38" t="n">
        <v>125</v>
      </c>
      <c r="B135" s="39" t="inlineStr">
        <is>
          <t>Carbon Steel</t>
        </is>
      </c>
      <c r="C135" s="13" t="inlineStr">
        <is>
          <t>ASME B36.10M</t>
        </is>
      </c>
      <c r="D135" s="12" t="inlineStr">
        <is>
          <t>6''</t>
        </is>
      </c>
      <c r="E135" s="38" t="n">
        <v>150</v>
      </c>
      <c r="F135" s="12" t="inlineStr">
        <is>
          <t>120</t>
        </is>
      </c>
      <c r="G135" s="14" t="n">
        <v>6.625</v>
      </c>
      <c r="H135" s="40" t="n">
        <v>168.27</v>
      </c>
      <c r="I135" s="14" t="n">
        <v>0.5620000000000001</v>
      </c>
      <c r="J135" s="40" t="n">
        <v>14.27</v>
      </c>
      <c r="K135" s="14">
        <f>ROUND((H135-J135)*J135*IF(B135="Carbon Steel",$K$7,IF(B135="Stainless Steel 304",$K$8,$L$8)), 3)</f>
        <v/>
      </c>
      <c r="L135" s="40">
        <f>ROUND(K135*$G$5, 2)</f>
        <v/>
      </c>
      <c r="M135" s="38">
        <f>INT($G$6/H135)</f>
        <v/>
      </c>
      <c r="N135" s="38">
        <f>IF(M135=0, 0, IF(OR($K$6="Square Grid", M135=1), INT($G$7/H135), IF($G$7&lt;H135, 0, 1+INT(($G$7-H135)/(0.8660254*H135)))))</f>
        <v/>
      </c>
      <c r="O135" s="41">
        <f>IF(OR(M135=0,N135=0), 0, IF(OR($K$6="Square Grid", M135=1), M135*N135*$K$5, (INT((N135+1)/2)*M135 + INT(N135/2)*IF(($G$6-M135*H135)&gt;=0.5*H135, M135, M135-1))*$K$5))</f>
        <v/>
      </c>
      <c r="P135" s="41">
        <f>IF(L135&lt;=0, 0, INT($G$8/L135))</f>
        <v/>
      </c>
      <c r="Q135" s="42">
        <f>MIN(O135, P135)</f>
        <v/>
      </c>
      <c r="R135" s="43">
        <f>ROUND((Q135*L135)/1000, 2)</f>
        <v/>
      </c>
      <c r="S135" s="44">
        <f>IF($C$8&gt;0, R135/$C$8, 0)</f>
        <v/>
      </c>
      <c r="T135" s="44">
        <f>IF(O135&gt;0, Q135/O135, 0)</f>
        <v/>
      </c>
      <c r="U135" s="12">
        <f>IF(Q135=0, "Exceeds Limit", IF(P135&lt;=O135, "Weight Limited", "Volume Limited"))</f>
        <v/>
      </c>
    </row>
    <row r="136" ht="19" customHeight="1">
      <c r="A136" s="45" t="n">
        <v>126</v>
      </c>
      <c r="B136" s="46" t="inlineStr">
        <is>
          <t>Carbon Steel</t>
        </is>
      </c>
      <c r="C136" s="19" t="inlineStr">
        <is>
          <t>ASME B36.10M</t>
        </is>
      </c>
      <c r="D136" s="18" t="inlineStr">
        <is>
          <t>6''</t>
        </is>
      </c>
      <c r="E136" s="45" t="n">
        <v>150</v>
      </c>
      <c r="F136" s="18" t="inlineStr">
        <is>
          <t>160</t>
        </is>
      </c>
      <c r="G136" s="20" t="n">
        <v>6.625</v>
      </c>
      <c r="H136" s="47" t="n">
        <v>168.27</v>
      </c>
      <c r="I136" s="20" t="n">
        <v>0.719</v>
      </c>
      <c r="J136" s="47" t="n">
        <v>18.26</v>
      </c>
      <c r="K136" s="20">
        <f>ROUND((H136-J136)*J136*IF(B136="Carbon Steel",$K$7,IF(B136="Stainless Steel 304",$K$8,$L$8)), 3)</f>
        <v/>
      </c>
      <c r="L136" s="47">
        <f>ROUND(K136*$G$5, 2)</f>
        <v/>
      </c>
      <c r="M136" s="45">
        <f>INT($G$6/H136)</f>
        <v/>
      </c>
      <c r="N136" s="45">
        <f>IF(M136=0, 0, IF(OR($K$6="Square Grid", M136=1), INT($G$7/H136), IF($G$7&lt;H136, 0, 1+INT(($G$7-H136)/(0.8660254*H136)))))</f>
        <v/>
      </c>
      <c r="O136" s="48">
        <f>IF(OR(M136=0,N136=0), 0, IF(OR($K$6="Square Grid", M136=1), M136*N136*$K$5, (INT((N136+1)/2)*M136 + INT(N136/2)*IF(($G$6-M136*H136)&gt;=0.5*H136, M136, M136-1))*$K$5))</f>
        <v/>
      </c>
      <c r="P136" s="48">
        <f>IF(L136&lt;=0, 0, INT($G$8/L136))</f>
        <v/>
      </c>
      <c r="Q136" s="42">
        <f>MIN(O136, P136)</f>
        <v/>
      </c>
      <c r="R136" s="43">
        <f>ROUND((Q136*L136)/1000, 2)</f>
        <v/>
      </c>
      <c r="S136" s="49">
        <f>IF($C$8&gt;0, R136/$C$8, 0)</f>
        <v/>
      </c>
      <c r="T136" s="49">
        <f>IF(O136&gt;0, Q136/O136, 0)</f>
        <v/>
      </c>
      <c r="U136" s="18">
        <f>IF(Q136=0, "Exceeds Limit", IF(P136&lt;=O136, "Weight Limited", "Volume Limited"))</f>
        <v/>
      </c>
    </row>
    <row r="137" ht="19" customHeight="1">
      <c r="A137" s="38" t="n">
        <v>127</v>
      </c>
      <c r="B137" s="39" t="inlineStr">
        <is>
          <t>Carbon Steel</t>
        </is>
      </c>
      <c r="C137" s="13" t="inlineStr">
        <is>
          <t>ASME B36.10M</t>
        </is>
      </c>
      <c r="D137" s="12" t="inlineStr">
        <is>
          <t>6''</t>
        </is>
      </c>
      <c r="E137" s="38" t="n">
        <v>150</v>
      </c>
      <c r="F137" s="12" t="inlineStr">
        <is>
          <t>XXS</t>
        </is>
      </c>
      <c r="G137" s="14" t="n">
        <v>6.625</v>
      </c>
      <c r="H137" s="40" t="n">
        <v>168.27</v>
      </c>
      <c r="I137" s="14" t="n">
        <v>0.864</v>
      </c>
      <c r="J137" s="40" t="n">
        <v>21.95</v>
      </c>
      <c r="K137" s="14">
        <f>ROUND((H137-J137)*J137*IF(B137="Carbon Steel",$K$7,IF(B137="Stainless Steel 304",$K$8,$L$8)), 3)</f>
        <v/>
      </c>
      <c r="L137" s="40">
        <f>ROUND(K137*$G$5, 2)</f>
        <v/>
      </c>
      <c r="M137" s="38">
        <f>INT($G$6/H137)</f>
        <v/>
      </c>
      <c r="N137" s="38">
        <f>IF(M137=0, 0, IF(OR($K$6="Square Grid", M137=1), INT($G$7/H137), IF($G$7&lt;H137, 0, 1+INT(($G$7-H137)/(0.8660254*H137)))))</f>
        <v/>
      </c>
      <c r="O137" s="41">
        <f>IF(OR(M137=0,N137=0), 0, IF(OR($K$6="Square Grid", M137=1), M137*N137*$K$5, (INT((N137+1)/2)*M137 + INT(N137/2)*IF(($G$6-M137*H137)&gt;=0.5*H137, M137, M137-1))*$K$5))</f>
        <v/>
      </c>
      <c r="P137" s="41">
        <f>IF(L137&lt;=0, 0, INT($G$8/L137))</f>
        <v/>
      </c>
      <c r="Q137" s="42">
        <f>MIN(O137, P137)</f>
        <v/>
      </c>
      <c r="R137" s="43">
        <f>ROUND((Q137*L137)/1000, 2)</f>
        <v/>
      </c>
      <c r="S137" s="44">
        <f>IF($C$8&gt;0, R137/$C$8, 0)</f>
        <v/>
      </c>
      <c r="T137" s="44">
        <f>IF(O137&gt;0, Q137/O137, 0)</f>
        <v/>
      </c>
      <c r="U137" s="12">
        <f>IF(Q137=0, "Exceeds Limit", IF(P137&lt;=O137, "Weight Limited", "Volume Limited"))</f>
        <v/>
      </c>
    </row>
    <row r="138" ht="19" customHeight="1">
      <c r="A138" s="45" t="n">
        <v>128</v>
      </c>
      <c r="B138" s="46" t="inlineStr">
        <is>
          <t>Carbon Steel</t>
        </is>
      </c>
      <c r="C138" s="19" t="inlineStr">
        <is>
          <t>ASME B36.10M</t>
        </is>
      </c>
      <c r="D138" s="18" t="inlineStr">
        <is>
          <t>8''</t>
        </is>
      </c>
      <c r="E138" s="45" t="n">
        <v>200</v>
      </c>
      <c r="F138" s="18" t="inlineStr">
        <is>
          <t>5</t>
        </is>
      </c>
      <c r="G138" s="20" t="n">
        <v>8.625</v>
      </c>
      <c r="H138" s="47" t="n">
        <v>219.07</v>
      </c>
      <c r="I138" s="20" t="n">
        <v>0.109</v>
      </c>
      <c r="J138" s="47" t="n">
        <v>2.77</v>
      </c>
      <c r="K138" s="20">
        <f>ROUND((H138-J138)*J138*IF(B138="Carbon Steel",$K$7,IF(B138="Stainless Steel 304",$K$8,$L$8)), 3)</f>
        <v/>
      </c>
      <c r="L138" s="47">
        <f>ROUND(K138*$G$5, 2)</f>
        <v/>
      </c>
      <c r="M138" s="45">
        <f>INT($G$6/H138)</f>
        <v/>
      </c>
      <c r="N138" s="45">
        <f>IF(M138=0, 0, IF(OR($K$6="Square Grid", M138=1), INT($G$7/H138), IF($G$7&lt;H138, 0, 1+INT(($G$7-H138)/(0.8660254*H138)))))</f>
        <v/>
      </c>
      <c r="O138" s="48">
        <f>IF(OR(M138=0,N138=0), 0, IF(OR($K$6="Square Grid", M138=1), M138*N138*$K$5, (INT((N138+1)/2)*M138 + INT(N138/2)*IF(($G$6-M138*H138)&gt;=0.5*H138, M138, M138-1))*$K$5))</f>
        <v/>
      </c>
      <c r="P138" s="48">
        <f>IF(L138&lt;=0, 0, INT($G$8/L138))</f>
        <v/>
      </c>
      <c r="Q138" s="42">
        <f>MIN(O138, P138)</f>
        <v/>
      </c>
      <c r="R138" s="43">
        <f>ROUND((Q138*L138)/1000, 2)</f>
        <v/>
      </c>
      <c r="S138" s="49">
        <f>IF($C$8&gt;0, R138/$C$8, 0)</f>
        <v/>
      </c>
      <c r="T138" s="49">
        <f>IF(O138&gt;0, Q138/O138, 0)</f>
        <v/>
      </c>
      <c r="U138" s="18">
        <f>IF(Q138=0, "Exceeds Limit", IF(P138&lt;=O138, "Weight Limited", "Volume Limited"))</f>
        <v/>
      </c>
    </row>
    <row r="139" ht="19" customHeight="1">
      <c r="A139" s="38" t="n">
        <v>129</v>
      </c>
      <c r="B139" s="39" t="inlineStr">
        <is>
          <t>Carbon Steel</t>
        </is>
      </c>
      <c r="C139" s="13" t="inlineStr">
        <is>
          <t>ASME B36.10M</t>
        </is>
      </c>
      <c r="D139" s="12" t="inlineStr">
        <is>
          <t>8''</t>
        </is>
      </c>
      <c r="E139" s="38" t="n">
        <v>200</v>
      </c>
      <c r="F139" s="12" t="inlineStr">
        <is>
          <t>10</t>
        </is>
      </c>
      <c r="G139" s="14" t="n">
        <v>8.625</v>
      </c>
      <c r="H139" s="40" t="n">
        <v>219.07</v>
      </c>
      <c r="I139" s="14" t="n">
        <v>0.148</v>
      </c>
      <c r="J139" s="40" t="n">
        <v>3.76</v>
      </c>
      <c r="K139" s="14">
        <f>ROUND((H139-J139)*J139*IF(B139="Carbon Steel",$K$7,IF(B139="Stainless Steel 304",$K$8,$L$8)), 3)</f>
        <v/>
      </c>
      <c r="L139" s="40">
        <f>ROUND(K139*$G$5, 2)</f>
        <v/>
      </c>
      <c r="M139" s="38">
        <f>INT($G$6/H139)</f>
        <v/>
      </c>
      <c r="N139" s="38">
        <f>IF(M139=0, 0, IF(OR($K$6="Square Grid", M139=1), INT($G$7/H139), IF($G$7&lt;H139, 0, 1+INT(($G$7-H139)/(0.8660254*H139)))))</f>
        <v/>
      </c>
      <c r="O139" s="41">
        <f>IF(OR(M139=0,N139=0), 0, IF(OR($K$6="Square Grid", M139=1), M139*N139*$K$5, (INT((N139+1)/2)*M139 + INT(N139/2)*IF(($G$6-M139*H139)&gt;=0.5*H139, M139, M139-1))*$K$5))</f>
        <v/>
      </c>
      <c r="P139" s="41">
        <f>IF(L139&lt;=0, 0, INT($G$8/L139))</f>
        <v/>
      </c>
      <c r="Q139" s="42">
        <f>MIN(O139, P139)</f>
        <v/>
      </c>
      <c r="R139" s="43">
        <f>ROUND((Q139*L139)/1000, 2)</f>
        <v/>
      </c>
      <c r="S139" s="44">
        <f>IF($C$8&gt;0, R139/$C$8, 0)</f>
        <v/>
      </c>
      <c r="T139" s="44">
        <f>IF(O139&gt;0, Q139/O139, 0)</f>
        <v/>
      </c>
      <c r="U139" s="12">
        <f>IF(Q139=0, "Exceeds Limit", IF(P139&lt;=O139, "Weight Limited", "Volume Limited"))</f>
        <v/>
      </c>
    </row>
    <row r="140" ht="19" customHeight="1">
      <c r="A140" s="45" t="n">
        <v>130</v>
      </c>
      <c r="B140" s="46" t="inlineStr">
        <is>
          <t>Carbon Steel</t>
        </is>
      </c>
      <c r="C140" s="19" t="inlineStr">
        <is>
          <t>ASME B36.10M</t>
        </is>
      </c>
      <c r="D140" s="18" t="inlineStr">
        <is>
          <t>8''</t>
        </is>
      </c>
      <c r="E140" s="45" t="n">
        <v>200</v>
      </c>
      <c r="F140" s="18" t="inlineStr">
        <is>
          <t>20</t>
        </is>
      </c>
      <c r="G140" s="20" t="n">
        <v>8.625</v>
      </c>
      <c r="H140" s="47" t="n">
        <v>219.07</v>
      </c>
      <c r="I140" s="20" t="n">
        <v>0.25</v>
      </c>
      <c r="J140" s="47" t="n">
        <v>6.35</v>
      </c>
      <c r="K140" s="20">
        <f>ROUND((H140-J140)*J140*IF(B140="Carbon Steel",$K$7,IF(B140="Stainless Steel 304",$K$8,$L$8)), 3)</f>
        <v/>
      </c>
      <c r="L140" s="47">
        <f>ROUND(K140*$G$5, 2)</f>
        <v/>
      </c>
      <c r="M140" s="45">
        <f>INT($G$6/H140)</f>
        <v/>
      </c>
      <c r="N140" s="45">
        <f>IF(M140=0, 0, IF(OR($K$6="Square Grid", M140=1), INT($G$7/H140), IF($G$7&lt;H140, 0, 1+INT(($G$7-H140)/(0.8660254*H140)))))</f>
        <v/>
      </c>
      <c r="O140" s="48">
        <f>IF(OR(M140=0,N140=0), 0, IF(OR($K$6="Square Grid", M140=1), M140*N140*$K$5, (INT((N140+1)/2)*M140 + INT(N140/2)*IF(($G$6-M140*H140)&gt;=0.5*H140, M140, M140-1))*$K$5))</f>
        <v/>
      </c>
      <c r="P140" s="48">
        <f>IF(L140&lt;=0, 0, INT($G$8/L140))</f>
        <v/>
      </c>
      <c r="Q140" s="42">
        <f>MIN(O140, P140)</f>
        <v/>
      </c>
      <c r="R140" s="43">
        <f>ROUND((Q140*L140)/1000, 2)</f>
        <v/>
      </c>
      <c r="S140" s="49">
        <f>IF($C$8&gt;0, R140/$C$8, 0)</f>
        <v/>
      </c>
      <c r="T140" s="49">
        <f>IF(O140&gt;0, Q140/O140, 0)</f>
        <v/>
      </c>
      <c r="U140" s="18">
        <f>IF(Q140=0, "Exceeds Limit", IF(P140&lt;=O140, "Weight Limited", "Volume Limited"))</f>
        <v/>
      </c>
    </row>
    <row r="141" ht="19" customHeight="1">
      <c r="A141" s="38" t="n">
        <v>131</v>
      </c>
      <c r="B141" s="39" t="inlineStr">
        <is>
          <t>Carbon Steel</t>
        </is>
      </c>
      <c r="C141" s="13" t="inlineStr">
        <is>
          <t>ASME B36.10M</t>
        </is>
      </c>
      <c r="D141" s="12" t="inlineStr">
        <is>
          <t>8''</t>
        </is>
      </c>
      <c r="E141" s="38" t="n">
        <v>200</v>
      </c>
      <c r="F141" s="12" t="inlineStr">
        <is>
          <t>30</t>
        </is>
      </c>
      <c r="G141" s="14" t="n">
        <v>8.625</v>
      </c>
      <c r="H141" s="40" t="n">
        <v>219.07</v>
      </c>
      <c r="I141" s="14" t="n">
        <v>0.277</v>
      </c>
      <c r="J141" s="40" t="n">
        <v>7.04</v>
      </c>
      <c r="K141" s="14">
        <f>ROUND((H141-J141)*J141*IF(B141="Carbon Steel",$K$7,IF(B141="Stainless Steel 304",$K$8,$L$8)), 3)</f>
        <v/>
      </c>
      <c r="L141" s="40">
        <f>ROUND(K141*$G$5, 2)</f>
        <v/>
      </c>
      <c r="M141" s="38">
        <f>INT($G$6/H141)</f>
        <v/>
      </c>
      <c r="N141" s="38">
        <f>IF(M141=0, 0, IF(OR($K$6="Square Grid", M141=1), INT($G$7/H141), IF($G$7&lt;H141, 0, 1+INT(($G$7-H141)/(0.8660254*H141)))))</f>
        <v/>
      </c>
      <c r="O141" s="41">
        <f>IF(OR(M141=0,N141=0), 0, IF(OR($K$6="Square Grid", M141=1), M141*N141*$K$5, (INT((N141+1)/2)*M141 + INT(N141/2)*IF(($G$6-M141*H141)&gt;=0.5*H141, M141, M141-1))*$K$5))</f>
        <v/>
      </c>
      <c r="P141" s="41">
        <f>IF(L141&lt;=0, 0, INT($G$8/L141))</f>
        <v/>
      </c>
      <c r="Q141" s="42">
        <f>MIN(O141, P141)</f>
        <v/>
      </c>
      <c r="R141" s="43">
        <f>ROUND((Q141*L141)/1000, 2)</f>
        <v/>
      </c>
      <c r="S141" s="44">
        <f>IF($C$8&gt;0, R141/$C$8, 0)</f>
        <v/>
      </c>
      <c r="T141" s="44">
        <f>IF(O141&gt;0, Q141/O141, 0)</f>
        <v/>
      </c>
      <c r="U141" s="12">
        <f>IF(Q141=0, "Exceeds Limit", IF(P141&lt;=O141, "Weight Limited", "Volume Limited"))</f>
        <v/>
      </c>
    </row>
    <row r="142" ht="19" customHeight="1">
      <c r="A142" s="45" t="n">
        <v>132</v>
      </c>
      <c r="B142" s="46" t="inlineStr">
        <is>
          <t>Carbon Steel</t>
        </is>
      </c>
      <c r="C142" s="19" t="inlineStr">
        <is>
          <t>ASME B36.10M</t>
        </is>
      </c>
      <c r="D142" s="18" t="inlineStr">
        <is>
          <t>8''</t>
        </is>
      </c>
      <c r="E142" s="45" t="n">
        <v>200</v>
      </c>
      <c r="F142" s="18" t="inlineStr">
        <is>
          <t>STD</t>
        </is>
      </c>
      <c r="G142" s="20" t="n">
        <v>8.625</v>
      </c>
      <c r="H142" s="47" t="n">
        <v>219.07</v>
      </c>
      <c r="I142" s="20" t="n">
        <v>0.322</v>
      </c>
      <c r="J142" s="47" t="n">
        <v>8.18</v>
      </c>
      <c r="K142" s="20">
        <f>ROUND((H142-J142)*J142*IF(B142="Carbon Steel",$K$7,IF(B142="Stainless Steel 304",$K$8,$L$8)), 3)</f>
        <v/>
      </c>
      <c r="L142" s="47">
        <f>ROUND(K142*$G$5, 2)</f>
        <v/>
      </c>
      <c r="M142" s="45">
        <f>INT($G$6/H142)</f>
        <v/>
      </c>
      <c r="N142" s="45">
        <f>IF(M142=0, 0, IF(OR($K$6="Square Grid", M142=1), INT($G$7/H142), IF($G$7&lt;H142, 0, 1+INT(($G$7-H142)/(0.8660254*H142)))))</f>
        <v/>
      </c>
      <c r="O142" s="48">
        <f>IF(OR(M142=0,N142=0), 0, IF(OR($K$6="Square Grid", M142=1), M142*N142*$K$5, (INT((N142+1)/2)*M142 + INT(N142/2)*IF(($G$6-M142*H142)&gt;=0.5*H142, M142, M142-1))*$K$5))</f>
        <v/>
      </c>
      <c r="P142" s="48">
        <f>IF(L142&lt;=0, 0, INT($G$8/L142))</f>
        <v/>
      </c>
      <c r="Q142" s="42">
        <f>MIN(O142, P142)</f>
        <v/>
      </c>
      <c r="R142" s="43">
        <f>ROUND((Q142*L142)/1000, 2)</f>
        <v/>
      </c>
      <c r="S142" s="49">
        <f>IF($C$8&gt;0, R142/$C$8, 0)</f>
        <v/>
      </c>
      <c r="T142" s="49">
        <f>IF(O142&gt;0, Q142/O142, 0)</f>
        <v/>
      </c>
      <c r="U142" s="18">
        <f>IF(Q142=0, "Exceeds Limit", IF(P142&lt;=O142, "Weight Limited", "Volume Limited"))</f>
        <v/>
      </c>
    </row>
    <row r="143" ht="19" customHeight="1">
      <c r="A143" s="38" t="n">
        <v>133</v>
      </c>
      <c r="B143" s="39" t="inlineStr">
        <is>
          <t>Carbon Steel</t>
        </is>
      </c>
      <c r="C143" s="13" t="inlineStr">
        <is>
          <t>ASME B36.10M</t>
        </is>
      </c>
      <c r="D143" s="12" t="inlineStr">
        <is>
          <t>8''</t>
        </is>
      </c>
      <c r="E143" s="38" t="n">
        <v>200</v>
      </c>
      <c r="F143" s="12" t="inlineStr">
        <is>
          <t>40</t>
        </is>
      </c>
      <c r="G143" s="14" t="n">
        <v>8.625</v>
      </c>
      <c r="H143" s="40" t="n">
        <v>219.07</v>
      </c>
      <c r="I143" s="14" t="n">
        <v>0.322</v>
      </c>
      <c r="J143" s="40" t="n">
        <v>8.18</v>
      </c>
      <c r="K143" s="14">
        <f>ROUND((H143-J143)*J143*IF(B143="Carbon Steel",$K$7,IF(B143="Stainless Steel 304",$K$8,$L$8)), 3)</f>
        <v/>
      </c>
      <c r="L143" s="40">
        <f>ROUND(K143*$G$5, 2)</f>
        <v/>
      </c>
      <c r="M143" s="38">
        <f>INT($G$6/H143)</f>
        <v/>
      </c>
      <c r="N143" s="38">
        <f>IF(M143=0, 0, IF(OR($K$6="Square Grid", M143=1), INT($G$7/H143), IF($G$7&lt;H143, 0, 1+INT(($G$7-H143)/(0.8660254*H143)))))</f>
        <v/>
      </c>
      <c r="O143" s="41">
        <f>IF(OR(M143=0,N143=0), 0, IF(OR($K$6="Square Grid", M143=1), M143*N143*$K$5, (INT((N143+1)/2)*M143 + INT(N143/2)*IF(($G$6-M143*H143)&gt;=0.5*H143, M143, M143-1))*$K$5))</f>
        <v/>
      </c>
      <c r="P143" s="41">
        <f>IF(L143&lt;=0, 0, INT($G$8/L143))</f>
        <v/>
      </c>
      <c r="Q143" s="42">
        <f>MIN(O143, P143)</f>
        <v/>
      </c>
      <c r="R143" s="43">
        <f>ROUND((Q143*L143)/1000, 2)</f>
        <v/>
      </c>
      <c r="S143" s="44">
        <f>IF($C$8&gt;0, R143/$C$8, 0)</f>
        <v/>
      </c>
      <c r="T143" s="44">
        <f>IF(O143&gt;0, Q143/O143, 0)</f>
        <v/>
      </c>
      <c r="U143" s="12">
        <f>IF(Q143=0, "Exceeds Limit", IF(P143&lt;=O143, "Weight Limited", "Volume Limited"))</f>
        <v/>
      </c>
    </row>
    <row r="144" ht="19" customHeight="1">
      <c r="A144" s="45" t="n">
        <v>134</v>
      </c>
      <c r="B144" s="46" t="inlineStr">
        <is>
          <t>Carbon Steel</t>
        </is>
      </c>
      <c r="C144" s="19" t="inlineStr">
        <is>
          <t>ASME B36.10M</t>
        </is>
      </c>
      <c r="D144" s="18" t="inlineStr">
        <is>
          <t>8''</t>
        </is>
      </c>
      <c r="E144" s="45" t="n">
        <v>200</v>
      </c>
      <c r="F144" s="18" t="inlineStr">
        <is>
          <t>60</t>
        </is>
      </c>
      <c r="G144" s="20" t="n">
        <v>8.625</v>
      </c>
      <c r="H144" s="47" t="n">
        <v>219.07</v>
      </c>
      <c r="I144" s="20" t="n">
        <v>0.406</v>
      </c>
      <c r="J144" s="47" t="n">
        <v>10.31</v>
      </c>
      <c r="K144" s="20">
        <f>ROUND((H144-J144)*J144*IF(B144="Carbon Steel",$K$7,IF(B144="Stainless Steel 304",$K$8,$L$8)), 3)</f>
        <v/>
      </c>
      <c r="L144" s="47">
        <f>ROUND(K144*$G$5, 2)</f>
        <v/>
      </c>
      <c r="M144" s="45">
        <f>INT($G$6/H144)</f>
        <v/>
      </c>
      <c r="N144" s="45">
        <f>IF(M144=0, 0, IF(OR($K$6="Square Grid", M144=1), INT($G$7/H144), IF($G$7&lt;H144, 0, 1+INT(($G$7-H144)/(0.8660254*H144)))))</f>
        <v/>
      </c>
      <c r="O144" s="48">
        <f>IF(OR(M144=0,N144=0), 0, IF(OR($K$6="Square Grid", M144=1), M144*N144*$K$5, (INT((N144+1)/2)*M144 + INT(N144/2)*IF(($G$6-M144*H144)&gt;=0.5*H144, M144, M144-1))*$K$5))</f>
        <v/>
      </c>
      <c r="P144" s="48">
        <f>IF(L144&lt;=0, 0, INT($G$8/L144))</f>
        <v/>
      </c>
      <c r="Q144" s="42">
        <f>MIN(O144, P144)</f>
        <v/>
      </c>
      <c r="R144" s="43">
        <f>ROUND((Q144*L144)/1000, 2)</f>
        <v/>
      </c>
      <c r="S144" s="49">
        <f>IF($C$8&gt;0, R144/$C$8, 0)</f>
        <v/>
      </c>
      <c r="T144" s="49">
        <f>IF(O144&gt;0, Q144/O144, 0)</f>
        <v/>
      </c>
      <c r="U144" s="18">
        <f>IF(Q144=0, "Exceeds Limit", IF(P144&lt;=O144, "Weight Limited", "Volume Limited"))</f>
        <v/>
      </c>
    </row>
    <row r="145" ht="19" customHeight="1">
      <c r="A145" s="38" t="n">
        <v>135</v>
      </c>
      <c r="B145" s="39" t="inlineStr">
        <is>
          <t>Carbon Steel</t>
        </is>
      </c>
      <c r="C145" s="13" t="inlineStr">
        <is>
          <t>ASME B36.10M</t>
        </is>
      </c>
      <c r="D145" s="12" t="inlineStr">
        <is>
          <t>8''</t>
        </is>
      </c>
      <c r="E145" s="38" t="n">
        <v>200</v>
      </c>
      <c r="F145" s="12" t="inlineStr">
        <is>
          <t>XS</t>
        </is>
      </c>
      <c r="G145" s="14" t="n">
        <v>8.625</v>
      </c>
      <c r="H145" s="40" t="n">
        <v>219.07</v>
      </c>
      <c r="I145" s="14" t="n">
        <v>0.5</v>
      </c>
      <c r="J145" s="40" t="n">
        <v>12.7</v>
      </c>
      <c r="K145" s="14">
        <f>ROUND((H145-J145)*J145*IF(B145="Carbon Steel",$K$7,IF(B145="Stainless Steel 304",$K$8,$L$8)), 3)</f>
        <v/>
      </c>
      <c r="L145" s="40">
        <f>ROUND(K145*$G$5, 2)</f>
        <v/>
      </c>
      <c r="M145" s="38">
        <f>INT($G$6/H145)</f>
        <v/>
      </c>
      <c r="N145" s="38">
        <f>IF(M145=0, 0, IF(OR($K$6="Square Grid", M145=1), INT($G$7/H145), IF($G$7&lt;H145, 0, 1+INT(($G$7-H145)/(0.8660254*H145)))))</f>
        <v/>
      </c>
      <c r="O145" s="41">
        <f>IF(OR(M145=0,N145=0), 0, IF(OR($K$6="Square Grid", M145=1), M145*N145*$K$5, (INT((N145+1)/2)*M145 + INT(N145/2)*IF(($G$6-M145*H145)&gt;=0.5*H145, M145, M145-1))*$K$5))</f>
        <v/>
      </c>
      <c r="P145" s="41">
        <f>IF(L145&lt;=0, 0, INT($G$8/L145))</f>
        <v/>
      </c>
      <c r="Q145" s="42">
        <f>MIN(O145, P145)</f>
        <v/>
      </c>
      <c r="R145" s="43">
        <f>ROUND((Q145*L145)/1000, 2)</f>
        <v/>
      </c>
      <c r="S145" s="44">
        <f>IF($C$8&gt;0, R145/$C$8, 0)</f>
        <v/>
      </c>
      <c r="T145" s="44">
        <f>IF(O145&gt;0, Q145/O145, 0)</f>
        <v/>
      </c>
      <c r="U145" s="12">
        <f>IF(Q145=0, "Exceeds Limit", IF(P145&lt;=O145, "Weight Limited", "Volume Limited"))</f>
        <v/>
      </c>
    </row>
    <row r="146" ht="19" customHeight="1">
      <c r="A146" s="45" t="n">
        <v>136</v>
      </c>
      <c r="B146" s="46" t="inlineStr">
        <is>
          <t>Carbon Steel</t>
        </is>
      </c>
      <c r="C146" s="19" t="inlineStr">
        <is>
          <t>ASME B36.10M</t>
        </is>
      </c>
      <c r="D146" s="18" t="inlineStr">
        <is>
          <t>8''</t>
        </is>
      </c>
      <c r="E146" s="45" t="n">
        <v>200</v>
      </c>
      <c r="F146" s="18" t="inlineStr">
        <is>
          <t>80</t>
        </is>
      </c>
      <c r="G146" s="20" t="n">
        <v>8.625</v>
      </c>
      <c r="H146" s="47" t="n">
        <v>219.07</v>
      </c>
      <c r="I146" s="20" t="n">
        <v>0.5</v>
      </c>
      <c r="J146" s="47" t="n">
        <v>12.7</v>
      </c>
      <c r="K146" s="20">
        <f>ROUND((H146-J146)*J146*IF(B146="Carbon Steel",$K$7,IF(B146="Stainless Steel 304",$K$8,$L$8)), 3)</f>
        <v/>
      </c>
      <c r="L146" s="47">
        <f>ROUND(K146*$G$5, 2)</f>
        <v/>
      </c>
      <c r="M146" s="45">
        <f>INT($G$6/H146)</f>
        <v/>
      </c>
      <c r="N146" s="45">
        <f>IF(M146=0, 0, IF(OR($K$6="Square Grid", M146=1), INT($G$7/H146), IF($G$7&lt;H146, 0, 1+INT(($G$7-H146)/(0.8660254*H146)))))</f>
        <v/>
      </c>
      <c r="O146" s="48">
        <f>IF(OR(M146=0,N146=0), 0, IF(OR($K$6="Square Grid", M146=1), M146*N146*$K$5, (INT((N146+1)/2)*M146 + INT(N146/2)*IF(($G$6-M146*H146)&gt;=0.5*H146, M146, M146-1))*$K$5))</f>
        <v/>
      </c>
      <c r="P146" s="48">
        <f>IF(L146&lt;=0, 0, INT($G$8/L146))</f>
        <v/>
      </c>
      <c r="Q146" s="42">
        <f>MIN(O146, P146)</f>
        <v/>
      </c>
      <c r="R146" s="43">
        <f>ROUND((Q146*L146)/1000, 2)</f>
        <v/>
      </c>
      <c r="S146" s="49">
        <f>IF($C$8&gt;0, R146/$C$8, 0)</f>
        <v/>
      </c>
      <c r="T146" s="49">
        <f>IF(O146&gt;0, Q146/O146, 0)</f>
        <v/>
      </c>
      <c r="U146" s="18">
        <f>IF(Q146=0, "Exceeds Limit", IF(P146&lt;=O146, "Weight Limited", "Volume Limited"))</f>
        <v/>
      </c>
    </row>
    <row r="147" ht="19" customHeight="1">
      <c r="A147" s="38" t="n">
        <v>137</v>
      </c>
      <c r="B147" s="39" t="inlineStr">
        <is>
          <t>Carbon Steel</t>
        </is>
      </c>
      <c r="C147" s="13" t="inlineStr">
        <is>
          <t>ASME B36.10M</t>
        </is>
      </c>
      <c r="D147" s="12" t="inlineStr">
        <is>
          <t>8''</t>
        </is>
      </c>
      <c r="E147" s="38" t="n">
        <v>200</v>
      </c>
      <c r="F147" s="12" t="inlineStr">
        <is>
          <t>100</t>
        </is>
      </c>
      <c r="G147" s="14" t="n">
        <v>8.625</v>
      </c>
      <c r="H147" s="40" t="n">
        <v>219.07</v>
      </c>
      <c r="I147" s="14" t="n">
        <v>0.594</v>
      </c>
      <c r="J147" s="40" t="n">
        <v>15.09</v>
      </c>
      <c r="K147" s="14">
        <f>ROUND((H147-J147)*J147*IF(B147="Carbon Steel",$K$7,IF(B147="Stainless Steel 304",$K$8,$L$8)), 3)</f>
        <v/>
      </c>
      <c r="L147" s="40">
        <f>ROUND(K147*$G$5, 2)</f>
        <v/>
      </c>
      <c r="M147" s="38">
        <f>INT($G$6/H147)</f>
        <v/>
      </c>
      <c r="N147" s="38">
        <f>IF(M147=0, 0, IF(OR($K$6="Square Grid", M147=1), INT($G$7/H147), IF($G$7&lt;H147, 0, 1+INT(($G$7-H147)/(0.8660254*H147)))))</f>
        <v/>
      </c>
      <c r="O147" s="41">
        <f>IF(OR(M147=0,N147=0), 0, IF(OR($K$6="Square Grid", M147=1), M147*N147*$K$5, (INT((N147+1)/2)*M147 + INT(N147/2)*IF(($G$6-M147*H147)&gt;=0.5*H147, M147, M147-1))*$K$5))</f>
        <v/>
      </c>
      <c r="P147" s="41">
        <f>IF(L147&lt;=0, 0, INT($G$8/L147))</f>
        <v/>
      </c>
      <c r="Q147" s="42">
        <f>MIN(O147, P147)</f>
        <v/>
      </c>
      <c r="R147" s="43">
        <f>ROUND((Q147*L147)/1000, 2)</f>
        <v/>
      </c>
      <c r="S147" s="44">
        <f>IF($C$8&gt;0, R147/$C$8, 0)</f>
        <v/>
      </c>
      <c r="T147" s="44">
        <f>IF(O147&gt;0, Q147/O147, 0)</f>
        <v/>
      </c>
      <c r="U147" s="12">
        <f>IF(Q147=0, "Exceeds Limit", IF(P147&lt;=O147, "Weight Limited", "Volume Limited"))</f>
        <v/>
      </c>
    </row>
    <row r="148" ht="19" customHeight="1">
      <c r="A148" s="45" t="n">
        <v>138</v>
      </c>
      <c r="B148" s="46" t="inlineStr">
        <is>
          <t>Carbon Steel</t>
        </is>
      </c>
      <c r="C148" s="19" t="inlineStr">
        <is>
          <t>ASME B36.10M</t>
        </is>
      </c>
      <c r="D148" s="18" t="inlineStr">
        <is>
          <t>8''</t>
        </is>
      </c>
      <c r="E148" s="45" t="n">
        <v>200</v>
      </c>
      <c r="F148" s="18" t="inlineStr">
        <is>
          <t>120</t>
        </is>
      </c>
      <c r="G148" s="20" t="n">
        <v>8.625</v>
      </c>
      <c r="H148" s="47" t="n">
        <v>219.07</v>
      </c>
      <c r="I148" s="20" t="n">
        <v>0.719</v>
      </c>
      <c r="J148" s="47" t="n">
        <v>18.26</v>
      </c>
      <c r="K148" s="20">
        <f>ROUND((H148-J148)*J148*IF(B148="Carbon Steel",$K$7,IF(B148="Stainless Steel 304",$K$8,$L$8)), 3)</f>
        <v/>
      </c>
      <c r="L148" s="47">
        <f>ROUND(K148*$G$5, 2)</f>
        <v/>
      </c>
      <c r="M148" s="45">
        <f>INT($G$6/H148)</f>
        <v/>
      </c>
      <c r="N148" s="45">
        <f>IF(M148=0, 0, IF(OR($K$6="Square Grid", M148=1), INT($G$7/H148), IF($G$7&lt;H148, 0, 1+INT(($G$7-H148)/(0.8660254*H148)))))</f>
        <v/>
      </c>
      <c r="O148" s="48">
        <f>IF(OR(M148=0,N148=0), 0, IF(OR($K$6="Square Grid", M148=1), M148*N148*$K$5, (INT((N148+1)/2)*M148 + INT(N148/2)*IF(($G$6-M148*H148)&gt;=0.5*H148, M148, M148-1))*$K$5))</f>
        <v/>
      </c>
      <c r="P148" s="48">
        <f>IF(L148&lt;=0, 0, INT($G$8/L148))</f>
        <v/>
      </c>
      <c r="Q148" s="42">
        <f>MIN(O148, P148)</f>
        <v/>
      </c>
      <c r="R148" s="43">
        <f>ROUND((Q148*L148)/1000, 2)</f>
        <v/>
      </c>
      <c r="S148" s="49">
        <f>IF($C$8&gt;0, R148/$C$8, 0)</f>
        <v/>
      </c>
      <c r="T148" s="49">
        <f>IF(O148&gt;0, Q148/O148, 0)</f>
        <v/>
      </c>
      <c r="U148" s="18">
        <f>IF(Q148=0, "Exceeds Limit", IF(P148&lt;=O148, "Weight Limited", "Volume Limited"))</f>
        <v/>
      </c>
    </row>
    <row r="149" ht="19" customHeight="1">
      <c r="A149" s="38" t="n">
        <v>139</v>
      </c>
      <c r="B149" s="39" t="inlineStr">
        <is>
          <t>Carbon Steel</t>
        </is>
      </c>
      <c r="C149" s="13" t="inlineStr">
        <is>
          <t>ASME B36.10M</t>
        </is>
      </c>
      <c r="D149" s="12" t="inlineStr">
        <is>
          <t>8''</t>
        </is>
      </c>
      <c r="E149" s="38" t="n">
        <v>200</v>
      </c>
      <c r="F149" s="12" t="inlineStr">
        <is>
          <t>140</t>
        </is>
      </c>
      <c r="G149" s="14" t="n">
        <v>8.625</v>
      </c>
      <c r="H149" s="40" t="n">
        <v>219.07</v>
      </c>
      <c r="I149" s="14" t="n">
        <v>0.8120000000000001</v>
      </c>
      <c r="J149" s="40" t="n">
        <v>20.62</v>
      </c>
      <c r="K149" s="14">
        <f>ROUND((H149-J149)*J149*IF(B149="Carbon Steel",$K$7,IF(B149="Stainless Steel 304",$K$8,$L$8)), 3)</f>
        <v/>
      </c>
      <c r="L149" s="40">
        <f>ROUND(K149*$G$5, 2)</f>
        <v/>
      </c>
      <c r="M149" s="38">
        <f>INT($G$6/H149)</f>
        <v/>
      </c>
      <c r="N149" s="38">
        <f>IF(M149=0, 0, IF(OR($K$6="Square Grid", M149=1), INT($G$7/H149), IF($G$7&lt;H149, 0, 1+INT(($G$7-H149)/(0.8660254*H149)))))</f>
        <v/>
      </c>
      <c r="O149" s="41">
        <f>IF(OR(M149=0,N149=0), 0, IF(OR($K$6="Square Grid", M149=1), M149*N149*$K$5, (INT((N149+1)/2)*M149 + INT(N149/2)*IF(($G$6-M149*H149)&gt;=0.5*H149, M149, M149-1))*$K$5))</f>
        <v/>
      </c>
      <c r="P149" s="41">
        <f>IF(L149&lt;=0, 0, INT($G$8/L149))</f>
        <v/>
      </c>
      <c r="Q149" s="42">
        <f>MIN(O149, P149)</f>
        <v/>
      </c>
      <c r="R149" s="43">
        <f>ROUND((Q149*L149)/1000, 2)</f>
        <v/>
      </c>
      <c r="S149" s="44">
        <f>IF($C$8&gt;0, R149/$C$8, 0)</f>
        <v/>
      </c>
      <c r="T149" s="44">
        <f>IF(O149&gt;0, Q149/O149, 0)</f>
        <v/>
      </c>
      <c r="U149" s="12">
        <f>IF(Q149=0, "Exceeds Limit", IF(P149&lt;=O149, "Weight Limited", "Volume Limited"))</f>
        <v/>
      </c>
    </row>
    <row r="150" ht="19" customHeight="1">
      <c r="A150" s="45" t="n">
        <v>140</v>
      </c>
      <c r="B150" s="46" t="inlineStr">
        <is>
          <t>Carbon Steel</t>
        </is>
      </c>
      <c r="C150" s="19" t="inlineStr">
        <is>
          <t>ASME B36.10M</t>
        </is>
      </c>
      <c r="D150" s="18" t="inlineStr">
        <is>
          <t>8''</t>
        </is>
      </c>
      <c r="E150" s="45" t="n">
        <v>200</v>
      </c>
      <c r="F150" s="18" t="inlineStr">
        <is>
          <t>160</t>
        </is>
      </c>
      <c r="G150" s="20" t="n">
        <v>8.625</v>
      </c>
      <c r="H150" s="47" t="n">
        <v>219.07</v>
      </c>
      <c r="I150" s="20" t="n">
        <v>0.906</v>
      </c>
      <c r="J150" s="47" t="n">
        <v>23.01</v>
      </c>
      <c r="K150" s="20">
        <f>ROUND((H150-J150)*J150*IF(B150="Carbon Steel",$K$7,IF(B150="Stainless Steel 304",$K$8,$L$8)), 3)</f>
        <v/>
      </c>
      <c r="L150" s="47">
        <f>ROUND(K150*$G$5, 2)</f>
        <v/>
      </c>
      <c r="M150" s="45">
        <f>INT($G$6/H150)</f>
        <v/>
      </c>
      <c r="N150" s="45">
        <f>IF(M150=0, 0, IF(OR($K$6="Square Grid", M150=1), INT($G$7/H150), IF($G$7&lt;H150, 0, 1+INT(($G$7-H150)/(0.8660254*H150)))))</f>
        <v/>
      </c>
      <c r="O150" s="48">
        <f>IF(OR(M150=0,N150=0), 0, IF(OR($K$6="Square Grid", M150=1), M150*N150*$K$5, (INT((N150+1)/2)*M150 + INT(N150/2)*IF(($G$6-M150*H150)&gt;=0.5*H150, M150, M150-1))*$K$5))</f>
        <v/>
      </c>
      <c r="P150" s="48">
        <f>IF(L150&lt;=0, 0, INT($G$8/L150))</f>
        <v/>
      </c>
      <c r="Q150" s="42">
        <f>MIN(O150, P150)</f>
        <v/>
      </c>
      <c r="R150" s="43">
        <f>ROUND((Q150*L150)/1000, 2)</f>
        <v/>
      </c>
      <c r="S150" s="49">
        <f>IF($C$8&gt;0, R150/$C$8, 0)</f>
        <v/>
      </c>
      <c r="T150" s="49">
        <f>IF(O150&gt;0, Q150/O150, 0)</f>
        <v/>
      </c>
      <c r="U150" s="18">
        <f>IF(Q150=0, "Exceeds Limit", IF(P150&lt;=O150, "Weight Limited", "Volume Limited"))</f>
        <v/>
      </c>
    </row>
    <row r="151" ht="19" customHeight="1">
      <c r="A151" s="38" t="n">
        <v>141</v>
      </c>
      <c r="B151" s="39" t="inlineStr">
        <is>
          <t>Carbon Steel</t>
        </is>
      </c>
      <c r="C151" s="13" t="inlineStr">
        <is>
          <t>ASME B36.10M</t>
        </is>
      </c>
      <c r="D151" s="12" t="inlineStr">
        <is>
          <t>8''</t>
        </is>
      </c>
      <c r="E151" s="38" t="n">
        <v>200</v>
      </c>
      <c r="F151" s="12" t="inlineStr">
        <is>
          <t>XXS</t>
        </is>
      </c>
      <c r="G151" s="14" t="n">
        <v>8.625</v>
      </c>
      <c r="H151" s="40" t="n">
        <v>219.07</v>
      </c>
      <c r="I151" s="14" t="n">
        <v>0.875</v>
      </c>
      <c r="J151" s="40" t="n">
        <v>22.22</v>
      </c>
      <c r="K151" s="14">
        <f>ROUND((H151-J151)*J151*IF(B151="Carbon Steel",$K$7,IF(B151="Stainless Steel 304",$K$8,$L$8)), 3)</f>
        <v/>
      </c>
      <c r="L151" s="40">
        <f>ROUND(K151*$G$5, 2)</f>
        <v/>
      </c>
      <c r="M151" s="38">
        <f>INT($G$6/H151)</f>
        <v/>
      </c>
      <c r="N151" s="38">
        <f>IF(M151=0, 0, IF(OR($K$6="Square Grid", M151=1), INT($G$7/H151), IF($G$7&lt;H151, 0, 1+INT(($G$7-H151)/(0.8660254*H151)))))</f>
        <v/>
      </c>
      <c r="O151" s="41">
        <f>IF(OR(M151=0,N151=0), 0, IF(OR($K$6="Square Grid", M151=1), M151*N151*$K$5, (INT((N151+1)/2)*M151 + INT(N151/2)*IF(($G$6-M151*H151)&gt;=0.5*H151, M151, M151-1))*$K$5))</f>
        <v/>
      </c>
      <c r="P151" s="41">
        <f>IF(L151&lt;=0, 0, INT($G$8/L151))</f>
        <v/>
      </c>
      <c r="Q151" s="42">
        <f>MIN(O151, P151)</f>
        <v/>
      </c>
      <c r="R151" s="43">
        <f>ROUND((Q151*L151)/1000, 2)</f>
        <v/>
      </c>
      <c r="S151" s="44">
        <f>IF($C$8&gt;0, R151/$C$8, 0)</f>
        <v/>
      </c>
      <c r="T151" s="44">
        <f>IF(O151&gt;0, Q151/O151, 0)</f>
        <v/>
      </c>
      <c r="U151" s="12">
        <f>IF(Q151=0, "Exceeds Limit", IF(P151&lt;=O151, "Weight Limited", "Volume Limited"))</f>
        <v/>
      </c>
    </row>
    <row r="152" ht="19" customHeight="1">
      <c r="A152" s="45" t="n">
        <v>142</v>
      </c>
      <c r="B152" s="46" t="inlineStr">
        <is>
          <t>Carbon Steel</t>
        </is>
      </c>
      <c r="C152" s="19" t="inlineStr">
        <is>
          <t>ASME B36.10M</t>
        </is>
      </c>
      <c r="D152" s="18" t="inlineStr">
        <is>
          <t>10''</t>
        </is>
      </c>
      <c r="E152" s="45" t="n">
        <v>250</v>
      </c>
      <c r="F152" s="18" t="inlineStr">
        <is>
          <t>5</t>
        </is>
      </c>
      <c r="G152" s="20" t="n">
        <v>10.75</v>
      </c>
      <c r="H152" s="47" t="n">
        <v>273.05</v>
      </c>
      <c r="I152" s="20" t="n">
        <v>0.134</v>
      </c>
      <c r="J152" s="47" t="n">
        <v>3.4</v>
      </c>
      <c r="K152" s="20">
        <f>ROUND((H152-J152)*J152*IF(B152="Carbon Steel",$K$7,IF(B152="Stainless Steel 304",$K$8,$L$8)), 3)</f>
        <v/>
      </c>
      <c r="L152" s="47">
        <f>ROUND(K152*$G$5, 2)</f>
        <v/>
      </c>
      <c r="M152" s="45">
        <f>INT($G$6/H152)</f>
        <v/>
      </c>
      <c r="N152" s="45">
        <f>IF(M152=0, 0, IF(OR($K$6="Square Grid", M152=1), INT($G$7/H152), IF($G$7&lt;H152, 0, 1+INT(($G$7-H152)/(0.8660254*H152)))))</f>
        <v/>
      </c>
      <c r="O152" s="48">
        <f>IF(OR(M152=0,N152=0), 0, IF(OR($K$6="Square Grid", M152=1), M152*N152*$K$5, (INT((N152+1)/2)*M152 + INT(N152/2)*IF(($G$6-M152*H152)&gt;=0.5*H152, M152, M152-1))*$K$5))</f>
        <v/>
      </c>
      <c r="P152" s="48">
        <f>IF(L152&lt;=0, 0, INT($G$8/L152))</f>
        <v/>
      </c>
      <c r="Q152" s="42">
        <f>MIN(O152, P152)</f>
        <v/>
      </c>
      <c r="R152" s="43">
        <f>ROUND((Q152*L152)/1000, 2)</f>
        <v/>
      </c>
      <c r="S152" s="49">
        <f>IF($C$8&gt;0, R152/$C$8, 0)</f>
        <v/>
      </c>
      <c r="T152" s="49">
        <f>IF(O152&gt;0, Q152/O152, 0)</f>
        <v/>
      </c>
      <c r="U152" s="18">
        <f>IF(Q152=0, "Exceeds Limit", IF(P152&lt;=O152, "Weight Limited", "Volume Limited"))</f>
        <v/>
      </c>
    </row>
    <row r="153" ht="19" customHeight="1">
      <c r="A153" s="38" t="n">
        <v>143</v>
      </c>
      <c r="B153" s="39" t="inlineStr">
        <is>
          <t>Carbon Steel</t>
        </is>
      </c>
      <c r="C153" s="13" t="inlineStr">
        <is>
          <t>ASME B36.10M</t>
        </is>
      </c>
      <c r="D153" s="12" t="inlineStr">
        <is>
          <t>10''</t>
        </is>
      </c>
      <c r="E153" s="38" t="n">
        <v>250</v>
      </c>
      <c r="F153" s="12" t="inlineStr">
        <is>
          <t>10</t>
        </is>
      </c>
      <c r="G153" s="14" t="n">
        <v>10.75</v>
      </c>
      <c r="H153" s="40" t="n">
        <v>273.05</v>
      </c>
      <c r="I153" s="14" t="n">
        <v>0.165</v>
      </c>
      <c r="J153" s="40" t="n">
        <v>4.19</v>
      </c>
      <c r="K153" s="14">
        <f>ROUND((H153-J153)*J153*IF(B153="Carbon Steel",$K$7,IF(B153="Stainless Steel 304",$K$8,$L$8)), 3)</f>
        <v/>
      </c>
      <c r="L153" s="40">
        <f>ROUND(K153*$G$5, 2)</f>
        <v/>
      </c>
      <c r="M153" s="38">
        <f>INT($G$6/H153)</f>
        <v/>
      </c>
      <c r="N153" s="38">
        <f>IF(M153=0, 0, IF(OR($K$6="Square Grid", M153=1), INT($G$7/H153), IF($G$7&lt;H153, 0, 1+INT(($G$7-H153)/(0.8660254*H153)))))</f>
        <v/>
      </c>
      <c r="O153" s="41">
        <f>IF(OR(M153=0,N153=0), 0, IF(OR($K$6="Square Grid", M153=1), M153*N153*$K$5, (INT((N153+1)/2)*M153 + INT(N153/2)*IF(($G$6-M153*H153)&gt;=0.5*H153, M153, M153-1))*$K$5))</f>
        <v/>
      </c>
      <c r="P153" s="41">
        <f>IF(L153&lt;=0, 0, INT($G$8/L153))</f>
        <v/>
      </c>
      <c r="Q153" s="42">
        <f>MIN(O153, P153)</f>
        <v/>
      </c>
      <c r="R153" s="43">
        <f>ROUND((Q153*L153)/1000, 2)</f>
        <v/>
      </c>
      <c r="S153" s="44">
        <f>IF($C$8&gt;0, R153/$C$8, 0)</f>
        <v/>
      </c>
      <c r="T153" s="44">
        <f>IF(O153&gt;0, Q153/O153, 0)</f>
        <v/>
      </c>
      <c r="U153" s="12">
        <f>IF(Q153=0, "Exceeds Limit", IF(P153&lt;=O153, "Weight Limited", "Volume Limited"))</f>
        <v/>
      </c>
    </row>
    <row r="154" ht="19" customHeight="1">
      <c r="A154" s="45" t="n">
        <v>144</v>
      </c>
      <c r="B154" s="46" t="inlineStr">
        <is>
          <t>Carbon Steel</t>
        </is>
      </c>
      <c r="C154" s="19" t="inlineStr">
        <is>
          <t>ASME B36.10M</t>
        </is>
      </c>
      <c r="D154" s="18" t="inlineStr">
        <is>
          <t>10''</t>
        </is>
      </c>
      <c r="E154" s="45" t="n">
        <v>250</v>
      </c>
      <c r="F154" s="18" t="inlineStr">
        <is>
          <t>20</t>
        </is>
      </c>
      <c r="G154" s="20" t="n">
        <v>10.75</v>
      </c>
      <c r="H154" s="47" t="n">
        <v>273.05</v>
      </c>
      <c r="I154" s="20" t="n">
        <v>0.25</v>
      </c>
      <c r="J154" s="47" t="n">
        <v>6.35</v>
      </c>
      <c r="K154" s="20">
        <f>ROUND((H154-J154)*J154*IF(B154="Carbon Steel",$K$7,IF(B154="Stainless Steel 304",$K$8,$L$8)), 3)</f>
        <v/>
      </c>
      <c r="L154" s="47">
        <f>ROUND(K154*$G$5, 2)</f>
        <v/>
      </c>
      <c r="M154" s="45">
        <f>INT($G$6/H154)</f>
        <v/>
      </c>
      <c r="N154" s="45">
        <f>IF(M154=0, 0, IF(OR($K$6="Square Grid", M154=1), INT($G$7/H154), IF($G$7&lt;H154, 0, 1+INT(($G$7-H154)/(0.8660254*H154)))))</f>
        <v/>
      </c>
      <c r="O154" s="48">
        <f>IF(OR(M154=0,N154=0), 0, IF(OR($K$6="Square Grid", M154=1), M154*N154*$K$5, (INT((N154+1)/2)*M154 + INT(N154/2)*IF(($G$6-M154*H154)&gt;=0.5*H154, M154, M154-1))*$K$5))</f>
        <v/>
      </c>
      <c r="P154" s="48">
        <f>IF(L154&lt;=0, 0, INT($G$8/L154))</f>
        <v/>
      </c>
      <c r="Q154" s="42">
        <f>MIN(O154, P154)</f>
        <v/>
      </c>
      <c r="R154" s="43">
        <f>ROUND((Q154*L154)/1000, 2)</f>
        <v/>
      </c>
      <c r="S154" s="49">
        <f>IF($C$8&gt;0, R154/$C$8, 0)</f>
        <v/>
      </c>
      <c r="T154" s="49">
        <f>IF(O154&gt;0, Q154/O154, 0)</f>
        <v/>
      </c>
      <c r="U154" s="18">
        <f>IF(Q154=0, "Exceeds Limit", IF(P154&lt;=O154, "Weight Limited", "Volume Limited"))</f>
        <v/>
      </c>
    </row>
    <row r="155" ht="19" customHeight="1">
      <c r="A155" s="38" t="n">
        <v>145</v>
      </c>
      <c r="B155" s="39" t="inlineStr">
        <is>
          <t>Carbon Steel</t>
        </is>
      </c>
      <c r="C155" s="13" t="inlineStr">
        <is>
          <t>ASME B36.10M</t>
        </is>
      </c>
      <c r="D155" s="12" t="inlineStr">
        <is>
          <t>10''</t>
        </is>
      </c>
      <c r="E155" s="38" t="n">
        <v>250</v>
      </c>
      <c r="F155" s="12" t="inlineStr">
        <is>
          <t>30</t>
        </is>
      </c>
      <c r="G155" s="14" t="n">
        <v>10.75</v>
      </c>
      <c r="H155" s="40" t="n">
        <v>273.05</v>
      </c>
      <c r="I155" s="14" t="n">
        <v>0.307</v>
      </c>
      <c r="J155" s="40" t="n">
        <v>7.8</v>
      </c>
      <c r="K155" s="14">
        <f>ROUND((H155-J155)*J155*IF(B155="Carbon Steel",$K$7,IF(B155="Stainless Steel 304",$K$8,$L$8)), 3)</f>
        <v/>
      </c>
      <c r="L155" s="40">
        <f>ROUND(K155*$G$5, 2)</f>
        <v/>
      </c>
      <c r="M155" s="38">
        <f>INT($G$6/H155)</f>
        <v/>
      </c>
      <c r="N155" s="38">
        <f>IF(M155=0, 0, IF(OR($K$6="Square Grid", M155=1), INT($G$7/H155), IF($G$7&lt;H155, 0, 1+INT(($G$7-H155)/(0.8660254*H155)))))</f>
        <v/>
      </c>
      <c r="O155" s="41">
        <f>IF(OR(M155=0,N155=0), 0, IF(OR($K$6="Square Grid", M155=1), M155*N155*$K$5, (INT((N155+1)/2)*M155 + INT(N155/2)*IF(($G$6-M155*H155)&gt;=0.5*H155, M155, M155-1))*$K$5))</f>
        <v/>
      </c>
      <c r="P155" s="41">
        <f>IF(L155&lt;=0, 0, INT($G$8/L155))</f>
        <v/>
      </c>
      <c r="Q155" s="42">
        <f>MIN(O155, P155)</f>
        <v/>
      </c>
      <c r="R155" s="43">
        <f>ROUND((Q155*L155)/1000, 2)</f>
        <v/>
      </c>
      <c r="S155" s="44">
        <f>IF($C$8&gt;0, R155/$C$8, 0)</f>
        <v/>
      </c>
      <c r="T155" s="44">
        <f>IF(O155&gt;0, Q155/O155, 0)</f>
        <v/>
      </c>
      <c r="U155" s="12">
        <f>IF(Q155=0, "Exceeds Limit", IF(P155&lt;=O155, "Weight Limited", "Volume Limited"))</f>
        <v/>
      </c>
    </row>
    <row r="156" ht="19" customHeight="1">
      <c r="A156" s="45" t="n">
        <v>146</v>
      </c>
      <c r="B156" s="46" t="inlineStr">
        <is>
          <t>Carbon Steel</t>
        </is>
      </c>
      <c r="C156" s="19" t="inlineStr">
        <is>
          <t>ASME B36.10M</t>
        </is>
      </c>
      <c r="D156" s="18" t="inlineStr">
        <is>
          <t>10''</t>
        </is>
      </c>
      <c r="E156" s="45" t="n">
        <v>250</v>
      </c>
      <c r="F156" s="18" t="inlineStr">
        <is>
          <t>STD</t>
        </is>
      </c>
      <c r="G156" s="20" t="n">
        <v>10.75</v>
      </c>
      <c r="H156" s="47" t="n">
        <v>273.05</v>
      </c>
      <c r="I156" s="20" t="n">
        <v>0.365</v>
      </c>
      <c r="J156" s="47" t="n">
        <v>9.27</v>
      </c>
      <c r="K156" s="20">
        <f>ROUND((H156-J156)*J156*IF(B156="Carbon Steel",$K$7,IF(B156="Stainless Steel 304",$K$8,$L$8)), 3)</f>
        <v/>
      </c>
      <c r="L156" s="47">
        <f>ROUND(K156*$G$5, 2)</f>
        <v/>
      </c>
      <c r="M156" s="45">
        <f>INT($G$6/H156)</f>
        <v/>
      </c>
      <c r="N156" s="45">
        <f>IF(M156=0, 0, IF(OR($K$6="Square Grid", M156=1), INT($G$7/H156), IF($G$7&lt;H156, 0, 1+INT(($G$7-H156)/(0.8660254*H156)))))</f>
        <v/>
      </c>
      <c r="O156" s="48">
        <f>IF(OR(M156=0,N156=0), 0, IF(OR($K$6="Square Grid", M156=1), M156*N156*$K$5, (INT((N156+1)/2)*M156 + INT(N156/2)*IF(($G$6-M156*H156)&gt;=0.5*H156, M156, M156-1))*$K$5))</f>
        <v/>
      </c>
      <c r="P156" s="48">
        <f>IF(L156&lt;=0, 0, INT($G$8/L156))</f>
        <v/>
      </c>
      <c r="Q156" s="42">
        <f>MIN(O156, P156)</f>
        <v/>
      </c>
      <c r="R156" s="43">
        <f>ROUND((Q156*L156)/1000, 2)</f>
        <v/>
      </c>
      <c r="S156" s="49">
        <f>IF($C$8&gt;0, R156/$C$8, 0)</f>
        <v/>
      </c>
      <c r="T156" s="49">
        <f>IF(O156&gt;0, Q156/O156, 0)</f>
        <v/>
      </c>
      <c r="U156" s="18">
        <f>IF(Q156=0, "Exceeds Limit", IF(P156&lt;=O156, "Weight Limited", "Volume Limited"))</f>
        <v/>
      </c>
    </row>
    <row r="157" ht="19" customHeight="1">
      <c r="A157" s="38" t="n">
        <v>147</v>
      </c>
      <c r="B157" s="39" t="inlineStr">
        <is>
          <t>Carbon Steel</t>
        </is>
      </c>
      <c r="C157" s="13" t="inlineStr">
        <is>
          <t>ASME B36.10M</t>
        </is>
      </c>
      <c r="D157" s="12" t="inlineStr">
        <is>
          <t>10''</t>
        </is>
      </c>
      <c r="E157" s="38" t="n">
        <v>250</v>
      </c>
      <c r="F157" s="12" t="inlineStr">
        <is>
          <t>40</t>
        </is>
      </c>
      <c r="G157" s="14" t="n">
        <v>10.75</v>
      </c>
      <c r="H157" s="40" t="n">
        <v>273.05</v>
      </c>
      <c r="I157" s="14" t="n">
        <v>0.365</v>
      </c>
      <c r="J157" s="40" t="n">
        <v>9.27</v>
      </c>
      <c r="K157" s="14">
        <f>ROUND((H157-J157)*J157*IF(B157="Carbon Steel",$K$7,IF(B157="Stainless Steel 304",$K$8,$L$8)), 3)</f>
        <v/>
      </c>
      <c r="L157" s="40">
        <f>ROUND(K157*$G$5, 2)</f>
        <v/>
      </c>
      <c r="M157" s="38">
        <f>INT($G$6/H157)</f>
        <v/>
      </c>
      <c r="N157" s="38">
        <f>IF(M157=0, 0, IF(OR($K$6="Square Grid", M157=1), INT($G$7/H157), IF($G$7&lt;H157, 0, 1+INT(($G$7-H157)/(0.8660254*H157)))))</f>
        <v/>
      </c>
      <c r="O157" s="41">
        <f>IF(OR(M157=0,N157=0), 0, IF(OR($K$6="Square Grid", M157=1), M157*N157*$K$5, (INT((N157+1)/2)*M157 + INT(N157/2)*IF(($G$6-M157*H157)&gt;=0.5*H157, M157, M157-1))*$K$5))</f>
        <v/>
      </c>
      <c r="P157" s="41">
        <f>IF(L157&lt;=0, 0, INT($G$8/L157))</f>
        <v/>
      </c>
      <c r="Q157" s="42">
        <f>MIN(O157, P157)</f>
        <v/>
      </c>
      <c r="R157" s="43">
        <f>ROUND((Q157*L157)/1000, 2)</f>
        <v/>
      </c>
      <c r="S157" s="44">
        <f>IF($C$8&gt;0, R157/$C$8, 0)</f>
        <v/>
      </c>
      <c r="T157" s="44">
        <f>IF(O157&gt;0, Q157/O157, 0)</f>
        <v/>
      </c>
      <c r="U157" s="12">
        <f>IF(Q157=0, "Exceeds Limit", IF(P157&lt;=O157, "Weight Limited", "Volume Limited"))</f>
        <v/>
      </c>
    </row>
    <row r="158" ht="19" customHeight="1">
      <c r="A158" s="45" t="n">
        <v>148</v>
      </c>
      <c r="B158" s="46" t="inlineStr">
        <is>
          <t>Carbon Steel</t>
        </is>
      </c>
      <c r="C158" s="19" t="inlineStr">
        <is>
          <t>ASME B36.10M</t>
        </is>
      </c>
      <c r="D158" s="18" t="inlineStr">
        <is>
          <t>10''</t>
        </is>
      </c>
      <c r="E158" s="45" t="n">
        <v>250</v>
      </c>
      <c r="F158" s="18" t="inlineStr">
        <is>
          <t>60</t>
        </is>
      </c>
      <c r="G158" s="20" t="n">
        <v>10.75</v>
      </c>
      <c r="H158" s="47" t="n">
        <v>273.05</v>
      </c>
      <c r="I158" s="20" t="n">
        <v>0.5</v>
      </c>
      <c r="J158" s="47" t="n">
        <v>12.7</v>
      </c>
      <c r="K158" s="20">
        <f>ROUND((H158-J158)*J158*IF(B158="Carbon Steel",$K$7,IF(B158="Stainless Steel 304",$K$8,$L$8)), 3)</f>
        <v/>
      </c>
      <c r="L158" s="47">
        <f>ROUND(K158*$G$5, 2)</f>
        <v/>
      </c>
      <c r="M158" s="45">
        <f>INT($G$6/H158)</f>
        <v/>
      </c>
      <c r="N158" s="45">
        <f>IF(M158=0, 0, IF(OR($K$6="Square Grid", M158=1), INT($G$7/H158), IF($G$7&lt;H158, 0, 1+INT(($G$7-H158)/(0.8660254*H158)))))</f>
        <v/>
      </c>
      <c r="O158" s="48">
        <f>IF(OR(M158=0,N158=0), 0, IF(OR($K$6="Square Grid", M158=1), M158*N158*$K$5, (INT((N158+1)/2)*M158 + INT(N158/2)*IF(($G$6-M158*H158)&gt;=0.5*H158, M158, M158-1))*$K$5))</f>
        <v/>
      </c>
      <c r="P158" s="48">
        <f>IF(L158&lt;=0, 0, INT($G$8/L158))</f>
        <v/>
      </c>
      <c r="Q158" s="42">
        <f>MIN(O158, P158)</f>
        <v/>
      </c>
      <c r="R158" s="43">
        <f>ROUND((Q158*L158)/1000, 2)</f>
        <v/>
      </c>
      <c r="S158" s="49">
        <f>IF($C$8&gt;0, R158/$C$8, 0)</f>
        <v/>
      </c>
      <c r="T158" s="49">
        <f>IF(O158&gt;0, Q158/O158, 0)</f>
        <v/>
      </c>
      <c r="U158" s="18">
        <f>IF(Q158=0, "Exceeds Limit", IF(P158&lt;=O158, "Weight Limited", "Volume Limited"))</f>
        <v/>
      </c>
    </row>
    <row r="159" ht="19" customHeight="1">
      <c r="A159" s="38" t="n">
        <v>149</v>
      </c>
      <c r="B159" s="39" t="inlineStr">
        <is>
          <t>Carbon Steel</t>
        </is>
      </c>
      <c r="C159" s="13" t="inlineStr">
        <is>
          <t>ASME B36.10M</t>
        </is>
      </c>
      <c r="D159" s="12" t="inlineStr">
        <is>
          <t>10''</t>
        </is>
      </c>
      <c r="E159" s="38" t="n">
        <v>250</v>
      </c>
      <c r="F159" s="12" t="inlineStr">
        <is>
          <t>XS</t>
        </is>
      </c>
      <c r="G159" s="14" t="n">
        <v>10.75</v>
      </c>
      <c r="H159" s="40" t="n">
        <v>273.05</v>
      </c>
      <c r="I159" s="14" t="n">
        <v>0.5</v>
      </c>
      <c r="J159" s="40" t="n">
        <v>12.7</v>
      </c>
      <c r="K159" s="14">
        <f>ROUND((H159-J159)*J159*IF(B159="Carbon Steel",$K$7,IF(B159="Stainless Steel 304",$K$8,$L$8)), 3)</f>
        <v/>
      </c>
      <c r="L159" s="40">
        <f>ROUND(K159*$G$5, 2)</f>
        <v/>
      </c>
      <c r="M159" s="38">
        <f>INT($G$6/H159)</f>
        <v/>
      </c>
      <c r="N159" s="38">
        <f>IF(M159=0, 0, IF(OR($K$6="Square Grid", M159=1), INT($G$7/H159), IF($G$7&lt;H159, 0, 1+INT(($G$7-H159)/(0.8660254*H159)))))</f>
        <v/>
      </c>
      <c r="O159" s="41">
        <f>IF(OR(M159=0,N159=0), 0, IF(OR($K$6="Square Grid", M159=1), M159*N159*$K$5, (INT((N159+1)/2)*M159 + INT(N159/2)*IF(($G$6-M159*H159)&gt;=0.5*H159, M159, M159-1))*$K$5))</f>
        <v/>
      </c>
      <c r="P159" s="41">
        <f>IF(L159&lt;=0, 0, INT($G$8/L159))</f>
        <v/>
      </c>
      <c r="Q159" s="42">
        <f>MIN(O159, P159)</f>
        <v/>
      </c>
      <c r="R159" s="43">
        <f>ROUND((Q159*L159)/1000, 2)</f>
        <v/>
      </c>
      <c r="S159" s="44">
        <f>IF($C$8&gt;0, R159/$C$8, 0)</f>
        <v/>
      </c>
      <c r="T159" s="44">
        <f>IF(O159&gt;0, Q159/O159, 0)</f>
        <v/>
      </c>
      <c r="U159" s="12">
        <f>IF(Q159=0, "Exceeds Limit", IF(P159&lt;=O159, "Weight Limited", "Volume Limited"))</f>
        <v/>
      </c>
    </row>
    <row r="160" ht="19" customHeight="1">
      <c r="A160" s="45" t="n">
        <v>150</v>
      </c>
      <c r="B160" s="46" t="inlineStr">
        <is>
          <t>Carbon Steel</t>
        </is>
      </c>
      <c r="C160" s="19" t="inlineStr">
        <is>
          <t>ASME B36.10M</t>
        </is>
      </c>
      <c r="D160" s="18" t="inlineStr">
        <is>
          <t>10''</t>
        </is>
      </c>
      <c r="E160" s="45" t="n">
        <v>250</v>
      </c>
      <c r="F160" s="18" t="inlineStr">
        <is>
          <t>80</t>
        </is>
      </c>
      <c r="G160" s="20" t="n">
        <v>10.75</v>
      </c>
      <c r="H160" s="47" t="n">
        <v>273.05</v>
      </c>
      <c r="I160" s="20" t="n">
        <v>0.594</v>
      </c>
      <c r="J160" s="47" t="n">
        <v>15.09</v>
      </c>
      <c r="K160" s="20">
        <f>ROUND((H160-J160)*J160*IF(B160="Carbon Steel",$K$7,IF(B160="Stainless Steel 304",$K$8,$L$8)), 3)</f>
        <v/>
      </c>
      <c r="L160" s="47">
        <f>ROUND(K160*$G$5, 2)</f>
        <v/>
      </c>
      <c r="M160" s="45">
        <f>INT($G$6/H160)</f>
        <v/>
      </c>
      <c r="N160" s="45">
        <f>IF(M160=0, 0, IF(OR($K$6="Square Grid", M160=1), INT($G$7/H160), IF($G$7&lt;H160, 0, 1+INT(($G$7-H160)/(0.8660254*H160)))))</f>
        <v/>
      </c>
      <c r="O160" s="48">
        <f>IF(OR(M160=0,N160=0), 0, IF(OR($K$6="Square Grid", M160=1), M160*N160*$K$5, (INT((N160+1)/2)*M160 + INT(N160/2)*IF(($G$6-M160*H160)&gt;=0.5*H160, M160, M160-1))*$K$5))</f>
        <v/>
      </c>
      <c r="P160" s="48">
        <f>IF(L160&lt;=0, 0, INT($G$8/L160))</f>
        <v/>
      </c>
      <c r="Q160" s="42">
        <f>MIN(O160, P160)</f>
        <v/>
      </c>
      <c r="R160" s="43">
        <f>ROUND((Q160*L160)/1000, 2)</f>
        <v/>
      </c>
      <c r="S160" s="49">
        <f>IF($C$8&gt;0, R160/$C$8, 0)</f>
        <v/>
      </c>
      <c r="T160" s="49">
        <f>IF(O160&gt;0, Q160/O160, 0)</f>
        <v/>
      </c>
      <c r="U160" s="18">
        <f>IF(Q160=0, "Exceeds Limit", IF(P160&lt;=O160, "Weight Limited", "Volume Limited"))</f>
        <v/>
      </c>
    </row>
    <row r="161" ht="19" customHeight="1">
      <c r="A161" s="38" t="n">
        <v>151</v>
      </c>
      <c r="B161" s="39" t="inlineStr">
        <is>
          <t>Carbon Steel</t>
        </is>
      </c>
      <c r="C161" s="13" t="inlineStr">
        <is>
          <t>ASME B36.10M</t>
        </is>
      </c>
      <c r="D161" s="12" t="inlineStr">
        <is>
          <t>10''</t>
        </is>
      </c>
      <c r="E161" s="38" t="n">
        <v>250</v>
      </c>
      <c r="F161" s="12" t="inlineStr">
        <is>
          <t>100</t>
        </is>
      </c>
      <c r="G161" s="14" t="n">
        <v>10.75</v>
      </c>
      <c r="H161" s="40" t="n">
        <v>273.05</v>
      </c>
      <c r="I161" s="14" t="n">
        <v>0.719</v>
      </c>
      <c r="J161" s="40" t="n">
        <v>18.26</v>
      </c>
      <c r="K161" s="14">
        <f>ROUND((H161-J161)*J161*IF(B161="Carbon Steel",$K$7,IF(B161="Stainless Steel 304",$K$8,$L$8)), 3)</f>
        <v/>
      </c>
      <c r="L161" s="40">
        <f>ROUND(K161*$G$5, 2)</f>
        <v/>
      </c>
      <c r="M161" s="38">
        <f>INT($G$6/H161)</f>
        <v/>
      </c>
      <c r="N161" s="38">
        <f>IF(M161=0, 0, IF(OR($K$6="Square Grid", M161=1), INT($G$7/H161), IF($G$7&lt;H161, 0, 1+INT(($G$7-H161)/(0.8660254*H161)))))</f>
        <v/>
      </c>
      <c r="O161" s="41">
        <f>IF(OR(M161=0,N161=0), 0, IF(OR($K$6="Square Grid", M161=1), M161*N161*$K$5, (INT((N161+1)/2)*M161 + INT(N161/2)*IF(($G$6-M161*H161)&gt;=0.5*H161, M161, M161-1))*$K$5))</f>
        <v/>
      </c>
      <c r="P161" s="41">
        <f>IF(L161&lt;=0, 0, INT($G$8/L161))</f>
        <v/>
      </c>
      <c r="Q161" s="42">
        <f>MIN(O161, P161)</f>
        <v/>
      </c>
      <c r="R161" s="43">
        <f>ROUND((Q161*L161)/1000, 2)</f>
        <v/>
      </c>
      <c r="S161" s="44">
        <f>IF($C$8&gt;0, R161/$C$8, 0)</f>
        <v/>
      </c>
      <c r="T161" s="44">
        <f>IF(O161&gt;0, Q161/O161, 0)</f>
        <v/>
      </c>
      <c r="U161" s="12">
        <f>IF(Q161=0, "Exceeds Limit", IF(P161&lt;=O161, "Weight Limited", "Volume Limited"))</f>
        <v/>
      </c>
    </row>
    <row r="162" ht="19" customHeight="1">
      <c r="A162" s="45" t="n">
        <v>152</v>
      </c>
      <c r="B162" s="46" t="inlineStr">
        <is>
          <t>Carbon Steel</t>
        </is>
      </c>
      <c r="C162" s="19" t="inlineStr">
        <is>
          <t>ASME B36.10M</t>
        </is>
      </c>
      <c r="D162" s="18" t="inlineStr">
        <is>
          <t>10''</t>
        </is>
      </c>
      <c r="E162" s="45" t="n">
        <v>250</v>
      </c>
      <c r="F162" s="18" t="inlineStr">
        <is>
          <t>120</t>
        </is>
      </c>
      <c r="G162" s="20" t="n">
        <v>10.75</v>
      </c>
      <c r="H162" s="47" t="n">
        <v>273.05</v>
      </c>
      <c r="I162" s="20" t="n">
        <v>0.844</v>
      </c>
      <c r="J162" s="47" t="n">
        <v>21.44</v>
      </c>
      <c r="K162" s="20">
        <f>ROUND((H162-J162)*J162*IF(B162="Carbon Steel",$K$7,IF(B162="Stainless Steel 304",$K$8,$L$8)), 3)</f>
        <v/>
      </c>
      <c r="L162" s="47">
        <f>ROUND(K162*$G$5, 2)</f>
        <v/>
      </c>
      <c r="M162" s="45">
        <f>INT($G$6/H162)</f>
        <v/>
      </c>
      <c r="N162" s="45">
        <f>IF(M162=0, 0, IF(OR($K$6="Square Grid", M162=1), INT($G$7/H162), IF($G$7&lt;H162, 0, 1+INT(($G$7-H162)/(0.8660254*H162)))))</f>
        <v/>
      </c>
      <c r="O162" s="48">
        <f>IF(OR(M162=0,N162=0), 0, IF(OR($K$6="Square Grid", M162=1), M162*N162*$K$5, (INT((N162+1)/2)*M162 + INT(N162/2)*IF(($G$6-M162*H162)&gt;=0.5*H162, M162, M162-1))*$K$5))</f>
        <v/>
      </c>
      <c r="P162" s="48">
        <f>IF(L162&lt;=0, 0, INT($G$8/L162))</f>
        <v/>
      </c>
      <c r="Q162" s="42">
        <f>MIN(O162, P162)</f>
        <v/>
      </c>
      <c r="R162" s="43">
        <f>ROUND((Q162*L162)/1000, 2)</f>
        <v/>
      </c>
      <c r="S162" s="49">
        <f>IF($C$8&gt;0, R162/$C$8, 0)</f>
        <v/>
      </c>
      <c r="T162" s="49">
        <f>IF(O162&gt;0, Q162/O162, 0)</f>
        <v/>
      </c>
      <c r="U162" s="18">
        <f>IF(Q162=0, "Exceeds Limit", IF(P162&lt;=O162, "Weight Limited", "Volume Limited"))</f>
        <v/>
      </c>
    </row>
    <row r="163" ht="19" customHeight="1">
      <c r="A163" s="38" t="n">
        <v>153</v>
      </c>
      <c r="B163" s="39" t="inlineStr">
        <is>
          <t>Carbon Steel</t>
        </is>
      </c>
      <c r="C163" s="13" t="inlineStr">
        <is>
          <t>ASME B36.10M</t>
        </is>
      </c>
      <c r="D163" s="12" t="inlineStr">
        <is>
          <t>10''</t>
        </is>
      </c>
      <c r="E163" s="38" t="n">
        <v>250</v>
      </c>
      <c r="F163" s="12" t="inlineStr">
        <is>
          <t>140</t>
        </is>
      </c>
      <c r="G163" s="14" t="n">
        <v>10.75</v>
      </c>
      <c r="H163" s="40" t="n">
        <v>273.05</v>
      </c>
      <c r="I163" s="14" t="n">
        <v>1</v>
      </c>
      <c r="J163" s="40" t="n">
        <v>25.4</v>
      </c>
      <c r="K163" s="14">
        <f>ROUND((H163-J163)*J163*IF(B163="Carbon Steel",$K$7,IF(B163="Stainless Steel 304",$K$8,$L$8)), 3)</f>
        <v/>
      </c>
      <c r="L163" s="40">
        <f>ROUND(K163*$G$5, 2)</f>
        <v/>
      </c>
      <c r="M163" s="38">
        <f>INT($G$6/H163)</f>
        <v/>
      </c>
      <c r="N163" s="38">
        <f>IF(M163=0, 0, IF(OR($K$6="Square Grid", M163=1), INT($G$7/H163), IF($G$7&lt;H163, 0, 1+INT(($G$7-H163)/(0.8660254*H163)))))</f>
        <v/>
      </c>
      <c r="O163" s="41">
        <f>IF(OR(M163=0,N163=0), 0, IF(OR($K$6="Square Grid", M163=1), M163*N163*$K$5, (INT((N163+1)/2)*M163 + INT(N163/2)*IF(($G$6-M163*H163)&gt;=0.5*H163, M163, M163-1))*$K$5))</f>
        <v/>
      </c>
      <c r="P163" s="41">
        <f>IF(L163&lt;=0, 0, INT($G$8/L163))</f>
        <v/>
      </c>
      <c r="Q163" s="42">
        <f>MIN(O163, P163)</f>
        <v/>
      </c>
      <c r="R163" s="43">
        <f>ROUND((Q163*L163)/1000, 2)</f>
        <v/>
      </c>
      <c r="S163" s="44">
        <f>IF($C$8&gt;0, R163/$C$8, 0)</f>
        <v/>
      </c>
      <c r="T163" s="44">
        <f>IF(O163&gt;0, Q163/O163, 0)</f>
        <v/>
      </c>
      <c r="U163" s="12">
        <f>IF(Q163=0, "Exceeds Limit", IF(P163&lt;=O163, "Weight Limited", "Volume Limited"))</f>
        <v/>
      </c>
    </row>
    <row r="164" ht="19" customHeight="1">
      <c r="A164" s="45" t="n">
        <v>154</v>
      </c>
      <c r="B164" s="46" t="inlineStr">
        <is>
          <t>Carbon Steel</t>
        </is>
      </c>
      <c r="C164" s="19" t="inlineStr">
        <is>
          <t>ASME B36.10M</t>
        </is>
      </c>
      <c r="D164" s="18" t="inlineStr">
        <is>
          <t>10''</t>
        </is>
      </c>
      <c r="E164" s="45" t="n">
        <v>250</v>
      </c>
      <c r="F164" s="18" t="inlineStr">
        <is>
          <t>160</t>
        </is>
      </c>
      <c r="G164" s="20" t="n">
        <v>10.75</v>
      </c>
      <c r="H164" s="47" t="n">
        <v>273.05</v>
      </c>
      <c r="I164" s="20" t="n">
        <v>1.125</v>
      </c>
      <c r="J164" s="47" t="n">
        <v>28.57</v>
      </c>
      <c r="K164" s="20">
        <f>ROUND((H164-J164)*J164*IF(B164="Carbon Steel",$K$7,IF(B164="Stainless Steel 304",$K$8,$L$8)), 3)</f>
        <v/>
      </c>
      <c r="L164" s="47">
        <f>ROUND(K164*$G$5, 2)</f>
        <v/>
      </c>
      <c r="M164" s="45">
        <f>INT($G$6/H164)</f>
        <v/>
      </c>
      <c r="N164" s="45">
        <f>IF(M164=0, 0, IF(OR($K$6="Square Grid", M164=1), INT($G$7/H164), IF($G$7&lt;H164, 0, 1+INT(($G$7-H164)/(0.8660254*H164)))))</f>
        <v/>
      </c>
      <c r="O164" s="48">
        <f>IF(OR(M164=0,N164=0), 0, IF(OR($K$6="Square Grid", M164=1), M164*N164*$K$5, (INT((N164+1)/2)*M164 + INT(N164/2)*IF(($G$6-M164*H164)&gt;=0.5*H164, M164, M164-1))*$K$5))</f>
        <v/>
      </c>
      <c r="P164" s="48">
        <f>IF(L164&lt;=0, 0, INT($G$8/L164))</f>
        <v/>
      </c>
      <c r="Q164" s="42">
        <f>MIN(O164, P164)</f>
        <v/>
      </c>
      <c r="R164" s="43">
        <f>ROUND((Q164*L164)/1000, 2)</f>
        <v/>
      </c>
      <c r="S164" s="49">
        <f>IF($C$8&gt;0, R164/$C$8, 0)</f>
        <v/>
      </c>
      <c r="T164" s="49">
        <f>IF(O164&gt;0, Q164/O164, 0)</f>
        <v/>
      </c>
      <c r="U164" s="18">
        <f>IF(Q164=0, "Exceeds Limit", IF(P164&lt;=O164, "Weight Limited", "Volume Limited"))</f>
        <v/>
      </c>
    </row>
    <row r="165" ht="19" customHeight="1">
      <c r="A165" s="38" t="n">
        <v>155</v>
      </c>
      <c r="B165" s="39" t="inlineStr">
        <is>
          <t>Carbon Steel</t>
        </is>
      </c>
      <c r="C165" s="13" t="inlineStr">
        <is>
          <t>ASME B36.10M</t>
        </is>
      </c>
      <c r="D165" s="12" t="inlineStr">
        <is>
          <t>10''</t>
        </is>
      </c>
      <c r="E165" s="38" t="n">
        <v>250</v>
      </c>
      <c r="F165" s="12" t="inlineStr">
        <is>
          <t>XXS</t>
        </is>
      </c>
      <c r="G165" s="14" t="n">
        <v>10.75</v>
      </c>
      <c r="H165" s="40" t="n">
        <v>273.05</v>
      </c>
      <c r="I165" s="14" t="n">
        <v>1</v>
      </c>
      <c r="J165" s="40" t="n">
        <v>25.4</v>
      </c>
      <c r="K165" s="14">
        <f>ROUND((H165-J165)*J165*IF(B165="Carbon Steel",$K$7,IF(B165="Stainless Steel 304",$K$8,$L$8)), 3)</f>
        <v/>
      </c>
      <c r="L165" s="40">
        <f>ROUND(K165*$G$5, 2)</f>
        <v/>
      </c>
      <c r="M165" s="38">
        <f>INT($G$6/H165)</f>
        <v/>
      </c>
      <c r="N165" s="38">
        <f>IF(M165=0, 0, IF(OR($K$6="Square Grid", M165=1), INT($G$7/H165), IF($G$7&lt;H165, 0, 1+INT(($G$7-H165)/(0.8660254*H165)))))</f>
        <v/>
      </c>
      <c r="O165" s="41">
        <f>IF(OR(M165=0,N165=0), 0, IF(OR($K$6="Square Grid", M165=1), M165*N165*$K$5, (INT((N165+1)/2)*M165 + INT(N165/2)*IF(($G$6-M165*H165)&gt;=0.5*H165, M165, M165-1))*$K$5))</f>
        <v/>
      </c>
      <c r="P165" s="41">
        <f>IF(L165&lt;=0, 0, INT($G$8/L165))</f>
        <v/>
      </c>
      <c r="Q165" s="42">
        <f>MIN(O165, P165)</f>
        <v/>
      </c>
      <c r="R165" s="43">
        <f>ROUND((Q165*L165)/1000, 2)</f>
        <v/>
      </c>
      <c r="S165" s="44">
        <f>IF($C$8&gt;0, R165/$C$8, 0)</f>
        <v/>
      </c>
      <c r="T165" s="44">
        <f>IF(O165&gt;0, Q165/O165, 0)</f>
        <v/>
      </c>
      <c r="U165" s="12">
        <f>IF(Q165=0, "Exceeds Limit", IF(P165&lt;=O165, "Weight Limited", "Volume Limited"))</f>
        <v/>
      </c>
    </row>
    <row r="166" ht="19" customHeight="1">
      <c r="A166" s="45" t="n">
        <v>156</v>
      </c>
      <c r="B166" s="46" t="inlineStr">
        <is>
          <t>Carbon Steel</t>
        </is>
      </c>
      <c r="C166" s="19" t="inlineStr">
        <is>
          <t>ASME B36.10M</t>
        </is>
      </c>
      <c r="D166" s="18" t="inlineStr">
        <is>
          <t>12''</t>
        </is>
      </c>
      <c r="E166" s="45" t="n">
        <v>300</v>
      </c>
      <c r="F166" s="18" t="inlineStr">
        <is>
          <t>5</t>
        </is>
      </c>
      <c r="G166" s="20" t="n">
        <v>12.75</v>
      </c>
      <c r="H166" s="47" t="n">
        <v>323.85</v>
      </c>
      <c r="I166" s="20" t="n">
        <v>0.156</v>
      </c>
      <c r="J166" s="47" t="n">
        <v>3.96</v>
      </c>
      <c r="K166" s="20">
        <f>ROUND((H166-J166)*J166*IF(B166="Carbon Steel",$K$7,IF(B166="Stainless Steel 304",$K$8,$L$8)), 3)</f>
        <v/>
      </c>
      <c r="L166" s="47">
        <f>ROUND(K166*$G$5, 2)</f>
        <v/>
      </c>
      <c r="M166" s="45">
        <f>INT($G$6/H166)</f>
        <v/>
      </c>
      <c r="N166" s="45">
        <f>IF(M166=0, 0, IF(OR($K$6="Square Grid", M166=1), INT($G$7/H166), IF($G$7&lt;H166, 0, 1+INT(($G$7-H166)/(0.8660254*H166)))))</f>
        <v/>
      </c>
      <c r="O166" s="48">
        <f>IF(OR(M166=0,N166=0), 0, IF(OR($K$6="Square Grid", M166=1), M166*N166*$K$5, (INT((N166+1)/2)*M166 + INT(N166/2)*IF(($G$6-M166*H166)&gt;=0.5*H166, M166, M166-1))*$K$5))</f>
        <v/>
      </c>
      <c r="P166" s="48">
        <f>IF(L166&lt;=0, 0, INT($G$8/L166))</f>
        <v/>
      </c>
      <c r="Q166" s="42">
        <f>MIN(O166, P166)</f>
        <v/>
      </c>
      <c r="R166" s="43">
        <f>ROUND((Q166*L166)/1000, 2)</f>
        <v/>
      </c>
      <c r="S166" s="49">
        <f>IF($C$8&gt;0, R166/$C$8, 0)</f>
        <v/>
      </c>
      <c r="T166" s="49">
        <f>IF(O166&gt;0, Q166/O166, 0)</f>
        <v/>
      </c>
      <c r="U166" s="18">
        <f>IF(Q166=0, "Exceeds Limit", IF(P166&lt;=O166, "Weight Limited", "Volume Limited"))</f>
        <v/>
      </c>
    </row>
    <row r="167" ht="19" customHeight="1">
      <c r="A167" s="38" t="n">
        <v>157</v>
      </c>
      <c r="B167" s="39" t="inlineStr">
        <is>
          <t>Carbon Steel</t>
        </is>
      </c>
      <c r="C167" s="13" t="inlineStr">
        <is>
          <t>ASME B36.10M</t>
        </is>
      </c>
      <c r="D167" s="12" t="inlineStr">
        <is>
          <t>12''</t>
        </is>
      </c>
      <c r="E167" s="38" t="n">
        <v>300</v>
      </c>
      <c r="F167" s="12" t="inlineStr">
        <is>
          <t>10</t>
        </is>
      </c>
      <c r="G167" s="14" t="n">
        <v>12.75</v>
      </c>
      <c r="H167" s="40" t="n">
        <v>323.85</v>
      </c>
      <c r="I167" s="14" t="n">
        <v>0.18</v>
      </c>
      <c r="J167" s="40" t="n">
        <v>4.57</v>
      </c>
      <c r="K167" s="14">
        <f>ROUND((H167-J167)*J167*IF(B167="Carbon Steel",$K$7,IF(B167="Stainless Steel 304",$K$8,$L$8)), 3)</f>
        <v/>
      </c>
      <c r="L167" s="40">
        <f>ROUND(K167*$G$5, 2)</f>
        <v/>
      </c>
      <c r="M167" s="38">
        <f>INT($G$6/H167)</f>
        <v/>
      </c>
      <c r="N167" s="38">
        <f>IF(M167=0, 0, IF(OR($K$6="Square Grid", M167=1), INT($G$7/H167), IF($G$7&lt;H167, 0, 1+INT(($G$7-H167)/(0.8660254*H167)))))</f>
        <v/>
      </c>
      <c r="O167" s="41">
        <f>IF(OR(M167=0,N167=0), 0, IF(OR($K$6="Square Grid", M167=1), M167*N167*$K$5, (INT((N167+1)/2)*M167 + INT(N167/2)*IF(($G$6-M167*H167)&gt;=0.5*H167, M167, M167-1))*$K$5))</f>
        <v/>
      </c>
      <c r="P167" s="41">
        <f>IF(L167&lt;=0, 0, INT($G$8/L167))</f>
        <v/>
      </c>
      <c r="Q167" s="42">
        <f>MIN(O167, P167)</f>
        <v/>
      </c>
      <c r="R167" s="43">
        <f>ROUND((Q167*L167)/1000, 2)</f>
        <v/>
      </c>
      <c r="S167" s="44">
        <f>IF($C$8&gt;0, R167/$C$8, 0)</f>
        <v/>
      </c>
      <c r="T167" s="44">
        <f>IF(O167&gt;0, Q167/O167, 0)</f>
        <v/>
      </c>
      <c r="U167" s="12">
        <f>IF(Q167=0, "Exceeds Limit", IF(P167&lt;=O167, "Weight Limited", "Volume Limited"))</f>
        <v/>
      </c>
    </row>
    <row r="168" ht="19" customHeight="1">
      <c r="A168" s="45" t="n">
        <v>158</v>
      </c>
      <c r="B168" s="46" t="inlineStr">
        <is>
          <t>Carbon Steel</t>
        </is>
      </c>
      <c r="C168" s="19" t="inlineStr">
        <is>
          <t>ASME B36.10M</t>
        </is>
      </c>
      <c r="D168" s="18" t="inlineStr">
        <is>
          <t>12''</t>
        </is>
      </c>
      <c r="E168" s="45" t="n">
        <v>300</v>
      </c>
      <c r="F168" s="18" t="inlineStr">
        <is>
          <t>20</t>
        </is>
      </c>
      <c r="G168" s="20" t="n">
        <v>12.75</v>
      </c>
      <c r="H168" s="47" t="n">
        <v>323.85</v>
      </c>
      <c r="I168" s="20" t="n">
        <v>0.25</v>
      </c>
      <c r="J168" s="47" t="n">
        <v>6.35</v>
      </c>
      <c r="K168" s="20">
        <f>ROUND((H168-J168)*J168*IF(B168="Carbon Steel",$K$7,IF(B168="Stainless Steel 304",$K$8,$L$8)), 3)</f>
        <v/>
      </c>
      <c r="L168" s="47">
        <f>ROUND(K168*$G$5, 2)</f>
        <v/>
      </c>
      <c r="M168" s="45">
        <f>INT($G$6/H168)</f>
        <v/>
      </c>
      <c r="N168" s="45">
        <f>IF(M168=0, 0, IF(OR($K$6="Square Grid", M168=1), INT($G$7/H168), IF($G$7&lt;H168, 0, 1+INT(($G$7-H168)/(0.8660254*H168)))))</f>
        <v/>
      </c>
      <c r="O168" s="48">
        <f>IF(OR(M168=0,N168=0), 0, IF(OR($K$6="Square Grid", M168=1), M168*N168*$K$5, (INT((N168+1)/2)*M168 + INT(N168/2)*IF(($G$6-M168*H168)&gt;=0.5*H168, M168, M168-1))*$K$5))</f>
        <v/>
      </c>
      <c r="P168" s="48">
        <f>IF(L168&lt;=0, 0, INT($G$8/L168))</f>
        <v/>
      </c>
      <c r="Q168" s="42">
        <f>MIN(O168, P168)</f>
        <v/>
      </c>
      <c r="R168" s="43">
        <f>ROUND((Q168*L168)/1000, 2)</f>
        <v/>
      </c>
      <c r="S168" s="49">
        <f>IF($C$8&gt;0, R168/$C$8, 0)</f>
        <v/>
      </c>
      <c r="T168" s="49">
        <f>IF(O168&gt;0, Q168/O168, 0)</f>
        <v/>
      </c>
      <c r="U168" s="18">
        <f>IF(Q168=0, "Exceeds Limit", IF(P168&lt;=O168, "Weight Limited", "Volume Limited"))</f>
        <v/>
      </c>
    </row>
    <row r="169" ht="19" customHeight="1">
      <c r="A169" s="38" t="n">
        <v>159</v>
      </c>
      <c r="B169" s="39" t="inlineStr">
        <is>
          <t>Carbon Steel</t>
        </is>
      </c>
      <c r="C169" s="13" t="inlineStr">
        <is>
          <t>ASME B36.10M</t>
        </is>
      </c>
      <c r="D169" s="12" t="inlineStr">
        <is>
          <t>12''</t>
        </is>
      </c>
      <c r="E169" s="38" t="n">
        <v>300</v>
      </c>
      <c r="F169" s="12" t="inlineStr">
        <is>
          <t>30</t>
        </is>
      </c>
      <c r="G169" s="14" t="n">
        <v>12.75</v>
      </c>
      <c r="H169" s="40" t="n">
        <v>323.85</v>
      </c>
      <c r="I169" s="14" t="n">
        <v>0.33</v>
      </c>
      <c r="J169" s="40" t="n">
        <v>8.380000000000001</v>
      </c>
      <c r="K169" s="14">
        <f>ROUND((H169-J169)*J169*IF(B169="Carbon Steel",$K$7,IF(B169="Stainless Steel 304",$K$8,$L$8)), 3)</f>
        <v/>
      </c>
      <c r="L169" s="40">
        <f>ROUND(K169*$G$5, 2)</f>
        <v/>
      </c>
      <c r="M169" s="38">
        <f>INT($G$6/H169)</f>
        <v/>
      </c>
      <c r="N169" s="38">
        <f>IF(M169=0, 0, IF(OR($K$6="Square Grid", M169=1), INT($G$7/H169), IF($G$7&lt;H169, 0, 1+INT(($G$7-H169)/(0.8660254*H169)))))</f>
        <v/>
      </c>
      <c r="O169" s="41">
        <f>IF(OR(M169=0,N169=0), 0, IF(OR($K$6="Square Grid", M169=1), M169*N169*$K$5, (INT((N169+1)/2)*M169 + INT(N169/2)*IF(($G$6-M169*H169)&gt;=0.5*H169, M169, M169-1))*$K$5))</f>
        <v/>
      </c>
      <c r="P169" s="41">
        <f>IF(L169&lt;=0, 0, INT($G$8/L169))</f>
        <v/>
      </c>
      <c r="Q169" s="42">
        <f>MIN(O169, P169)</f>
        <v/>
      </c>
      <c r="R169" s="43">
        <f>ROUND((Q169*L169)/1000, 2)</f>
        <v/>
      </c>
      <c r="S169" s="44">
        <f>IF($C$8&gt;0, R169/$C$8, 0)</f>
        <v/>
      </c>
      <c r="T169" s="44">
        <f>IF(O169&gt;0, Q169/O169, 0)</f>
        <v/>
      </c>
      <c r="U169" s="12">
        <f>IF(Q169=0, "Exceeds Limit", IF(P169&lt;=O169, "Weight Limited", "Volume Limited"))</f>
        <v/>
      </c>
    </row>
    <row r="170" ht="19" customHeight="1">
      <c r="A170" s="45" t="n">
        <v>160</v>
      </c>
      <c r="B170" s="46" t="inlineStr">
        <is>
          <t>Carbon Steel</t>
        </is>
      </c>
      <c r="C170" s="19" t="inlineStr">
        <is>
          <t>ASME B36.10M</t>
        </is>
      </c>
      <c r="D170" s="18" t="inlineStr">
        <is>
          <t>12''</t>
        </is>
      </c>
      <c r="E170" s="45" t="n">
        <v>300</v>
      </c>
      <c r="F170" s="18" t="inlineStr">
        <is>
          <t>STD</t>
        </is>
      </c>
      <c r="G170" s="20" t="n">
        <v>12.75</v>
      </c>
      <c r="H170" s="47" t="n">
        <v>323.85</v>
      </c>
      <c r="I170" s="20" t="n">
        <v>0.375</v>
      </c>
      <c r="J170" s="47" t="n">
        <v>9.52</v>
      </c>
      <c r="K170" s="20">
        <f>ROUND((H170-J170)*J170*IF(B170="Carbon Steel",$K$7,IF(B170="Stainless Steel 304",$K$8,$L$8)), 3)</f>
        <v/>
      </c>
      <c r="L170" s="47">
        <f>ROUND(K170*$G$5, 2)</f>
        <v/>
      </c>
      <c r="M170" s="45">
        <f>INT($G$6/H170)</f>
        <v/>
      </c>
      <c r="N170" s="45">
        <f>IF(M170=0, 0, IF(OR($K$6="Square Grid", M170=1), INT($G$7/H170), IF($G$7&lt;H170, 0, 1+INT(($G$7-H170)/(0.8660254*H170)))))</f>
        <v/>
      </c>
      <c r="O170" s="48">
        <f>IF(OR(M170=0,N170=0), 0, IF(OR($K$6="Square Grid", M170=1), M170*N170*$K$5, (INT((N170+1)/2)*M170 + INT(N170/2)*IF(($G$6-M170*H170)&gt;=0.5*H170, M170, M170-1))*$K$5))</f>
        <v/>
      </c>
      <c r="P170" s="48">
        <f>IF(L170&lt;=0, 0, INT($G$8/L170))</f>
        <v/>
      </c>
      <c r="Q170" s="42">
        <f>MIN(O170, P170)</f>
        <v/>
      </c>
      <c r="R170" s="43">
        <f>ROUND((Q170*L170)/1000, 2)</f>
        <v/>
      </c>
      <c r="S170" s="49">
        <f>IF($C$8&gt;0, R170/$C$8, 0)</f>
        <v/>
      </c>
      <c r="T170" s="49">
        <f>IF(O170&gt;0, Q170/O170, 0)</f>
        <v/>
      </c>
      <c r="U170" s="18">
        <f>IF(Q170=0, "Exceeds Limit", IF(P170&lt;=O170, "Weight Limited", "Volume Limited"))</f>
        <v/>
      </c>
    </row>
    <row r="171" ht="19" customHeight="1">
      <c r="A171" s="38" t="n">
        <v>161</v>
      </c>
      <c r="B171" s="39" t="inlineStr">
        <is>
          <t>Carbon Steel</t>
        </is>
      </c>
      <c r="C171" s="13" t="inlineStr">
        <is>
          <t>ASME B36.10M</t>
        </is>
      </c>
      <c r="D171" s="12" t="inlineStr">
        <is>
          <t>12''</t>
        </is>
      </c>
      <c r="E171" s="38" t="n">
        <v>300</v>
      </c>
      <c r="F171" s="12" t="inlineStr">
        <is>
          <t>40</t>
        </is>
      </c>
      <c r="G171" s="14" t="n">
        <v>12.75</v>
      </c>
      <c r="H171" s="40" t="n">
        <v>323.85</v>
      </c>
      <c r="I171" s="14" t="n">
        <v>0.406</v>
      </c>
      <c r="J171" s="40" t="n">
        <v>10.31</v>
      </c>
      <c r="K171" s="14">
        <f>ROUND((H171-J171)*J171*IF(B171="Carbon Steel",$K$7,IF(B171="Stainless Steel 304",$K$8,$L$8)), 3)</f>
        <v/>
      </c>
      <c r="L171" s="40">
        <f>ROUND(K171*$G$5, 2)</f>
        <v/>
      </c>
      <c r="M171" s="38">
        <f>INT($G$6/H171)</f>
        <v/>
      </c>
      <c r="N171" s="38">
        <f>IF(M171=0, 0, IF(OR($K$6="Square Grid", M171=1), INT($G$7/H171), IF($G$7&lt;H171, 0, 1+INT(($G$7-H171)/(0.8660254*H171)))))</f>
        <v/>
      </c>
      <c r="O171" s="41">
        <f>IF(OR(M171=0,N171=0), 0, IF(OR($K$6="Square Grid", M171=1), M171*N171*$K$5, (INT((N171+1)/2)*M171 + INT(N171/2)*IF(($G$6-M171*H171)&gt;=0.5*H171, M171, M171-1))*$K$5))</f>
        <v/>
      </c>
      <c r="P171" s="41">
        <f>IF(L171&lt;=0, 0, INT($G$8/L171))</f>
        <v/>
      </c>
      <c r="Q171" s="42">
        <f>MIN(O171, P171)</f>
        <v/>
      </c>
      <c r="R171" s="43">
        <f>ROUND((Q171*L171)/1000, 2)</f>
        <v/>
      </c>
      <c r="S171" s="44">
        <f>IF($C$8&gt;0, R171/$C$8, 0)</f>
        <v/>
      </c>
      <c r="T171" s="44">
        <f>IF(O171&gt;0, Q171/O171, 0)</f>
        <v/>
      </c>
      <c r="U171" s="12">
        <f>IF(Q171=0, "Exceeds Limit", IF(P171&lt;=O171, "Weight Limited", "Volume Limited"))</f>
        <v/>
      </c>
    </row>
    <row r="172" ht="19" customHeight="1">
      <c r="A172" s="45" t="n">
        <v>162</v>
      </c>
      <c r="B172" s="46" t="inlineStr">
        <is>
          <t>Carbon Steel</t>
        </is>
      </c>
      <c r="C172" s="19" t="inlineStr">
        <is>
          <t>ASME B36.10M</t>
        </is>
      </c>
      <c r="D172" s="18" t="inlineStr">
        <is>
          <t>12''</t>
        </is>
      </c>
      <c r="E172" s="45" t="n">
        <v>300</v>
      </c>
      <c r="F172" s="18" t="inlineStr">
        <is>
          <t>60</t>
        </is>
      </c>
      <c r="G172" s="20" t="n">
        <v>12.75</v>
      </c>
      <c r="H172" s="47" t="n">
        <v>323.85</v>
      </c>
      <c r="I172" s="20" t="n">
        <v>0.5620000000000001</v>
      </c>
      <c r="J172" s="47" t="n">
        <v>14.27</v>
      </c>
      <c r="K172" s="20">
        <f>ROUND((H172-J172)*J172*IF(B172="Carbon Steel",$K$7,IF(B172="Stainless Steel 304",$K$8,$L$8)), 3)</f>
        <v/>
      </c>
      <c r="L172" s="47">
        <f>ROUND(K172*$G$5, 2)</f>
        <v/>
      </c>
      <c r="M172" s="45">
        <f>INT($G$6/H172)</f>
        <v/>
      </c>
      <c r="N172" s="45">
        <f>IF(M172=0, 0, IF(OR($K$6="Square Grid", M172=1), INT($G$7/H172), IF($G$7&lt;H172, 0, 1+INT(($G$7-H172)/(0.8660254*H172)))))</f>
        <v/>
      </c>
      <c r="O172" s="48">
        <f>IF(OR(M172=0,N172=0), 0, IF(OR($K$6="Square Grid", M172=1), M172*N172*$K$5, (INT((N172+1)/2)*M172 + INT(N172/2)*IF(($G$6-M172*H172)&gt;=0.5*H172, M172, M172-1))*$K$5))</f>
        <v/>
      </c>
      <c r="P172" s="48">
        <f>IF(L172&lt;=0, 0, INT($G$8/L172))</f>
        <v/>
      </c>
      <c r="Q172" s="42">
        <f>MIN(O172, P172)</f>
        <v/>
      </c>
      <c r="R172" s="43">
        <f>ROUND((Q172*L172)/1000, 2)</f>
        <v/>
      </c>
      <c r="S172" s="49">
        <f>IF($C$8&gt;0, R172/$C$8, 0)</f>
        <v/>
      </c>
      <c r="T172" s="49">
        <f>IF(O172&gt;0, Q172/O172, 0)</f>
        <v/>
      </c>
      <c r="U172" s="18">
        <f>IF(Q172=0, "Exceeds Limit", IF(P172&lt;=O172, "Weight Limited", "Volume Limited"))</f>
        <v/>
      </c>
    </row>
    <row r="173" ht="19" customHeight="1">
      <c r="A173" s="38" t="n">
        <v>163</v>
      </c>
      <c r="B173" s="39" t="inlineStr">
        <is>
          <t>Carbon Steel</t>
        </is>
      </c>
      <c r="C173" s="13" t="inlineStr">
        <is>
          <t>ASME B36.10M</t>
        </is>
      </c>
      <c r="D173" s="12" t="inlineStr">
        <is>
          <t>12''</t>
        </is>
      </c>
      <c r="E173" s="38" t="n">
        <v>300</v>
      </c>
      <c r="F173" s="12" t="inlineStr">
        <is>
          <t>XS</t>
        </is>
      </c>
      <c r="G173" s="14" t="n">
        <v>12.75</v>
      </c>
      <c r="H173" s="40" t="n">
        <v>323.85</v>
      </c>
      <c r="I173" s="14" t="n">
        <v>0.5</v>
      </c>
      <c r="J173" s="40" t="n">
        <v>12.7</v>
      </c>
      <c r="K173" s="14">
        <f>ROUND((H173-J173)*J173*IF(B173="Carbon Steel",$K$7,IF(B173="Stainless Steel 304",$K$8,$L$8)), 3)</f>
        <v/>
      </c>
      <c r="L173" s="40">
        <f>ROUND(K173*$G$5, 2)</f>
        <v/>
      </c>
      <c r="M173" s="38">
        <f>INT($G$6/H173)</f>
        <v/>
      </c>
      <c r="N173" s="38">
        <f>IF(M173=0, 0, IF(OR($K$6="Square Grid", M173=1), INT($G$7/H173), IF($G$7&lt;H173, 0, 1+INT(($G$7-H173)/(0.8660254*H173)))))</f>
        <v/>
      </c>
      <c r="O173" s="41">
        <f>IF(OR(M173=0,N173=0), 0, IF(OR($K$6="Square Grid", M173=1), M173*N173*$K$5, (INT((N173+1)/2)*M173 + INT(N173/2)*IF(($G$6-M173*H173)&gt;=0.5*H173, M173, M173-1))*$K$5))</f>
        <v/>
      </c>
      <c r="P173" s="41">
        <f>IF(L173&lt;=0, 0, INT($G$8/L173))</f>
        <v/>
      </c>
      <c r="Q173" s="42">
        <f>MIN(O173, P173)</f>
        <v/>
      </c>
      <c r="R173" s="43">
        <f>ROUND((Q173*L173)/1000, 2)</f>
        <v/>
      </c>
      <c r="S173" s="44">
        <f>IF($C$8&gt;0, R173/$C$8, 0)</f>
        <v/>
      </c>
      <c r="T173" s="44">
        <f>IF(O173&gt;0, Q173/O173, 0)</f>
        <v/>
      </c>
      <c r="U173" s="12">
        <f>IF(Q173=0, "Exceeds Limit", IF(P173&lt;=O173, "Weight Limited", "Volume Limited"))</f>
        <v/>
      </c>
    </row>
    <row r="174" ht="19" customHeight="1">
      <c r="A174" s="45" t="n">
        <v>164</v>
      </c>
      <c r="B174" s="46" t="inlineStr">
        <is>
          <t>Carbon Steel</t>
        </is>
      </c>
      <c r="C174" s="19" t="inlineStr">
        <is>
          <t>ASME B36.10M</t>
        </is>
      </c>
      <c r="D174" s="18" t="inlineStr">
        <is>
          <t>12''</t>
        </is>
      </c>
      <c r="E174" s="45" t="n">
        <v>300</v>
      </c>
      <c r="F174" s="18" t="inlineStr">
        <is>
          <t>80</t>
        </is>
      </c>
      <c r="G174" s="20" t="n">
        <v>12.75</v>
      </c>
      <c r="H174" s="47" t="n">
        <v>323.85</v>
      </c>
      <c r="I174" s="20" t="n">
        <v>0.6879999999999999</v>
      </c>
      <c r="J174" s="47" t="n">
        <v>17.48</v>
      </c>
      <c r="K174" s="20">
        <f>ROUND((H174-J174)*J174*IF(B174="Carbon Steel",$K$7,IF(B174="Stainless Steel 304",$K$8,$L$8)), 3)</f>
        <v/>
      </c>
      <c r="L174" s="47">
        <f>ROUND(K174*$G$5, 2)</f>
        <v/>
      </c>
      <c r="M174" s="45">
        <f>INT($G$6/H174)</f>
        <v/>
      </c>
      <c r="N174" s="45">
        <f>IF(M174=0, 0, IF(OR($K$6="Square Grid", M174=1), INT($G$7/H174), IF($G$7&lt;H174, 0, 1+INT(($G$7-H174)/(0.8660254*H174)))))</f>
        <v/>
      </c>
      <c r="O174" s="48">
        <f>IF(OR(M174=0,N174=0), 0, IF(OR($K$6="Square Grid", M174=1), M174*N174*$K$5, (INT((N174+1)/2)*M174 + INT(N174/2)*IF(($G$6-M174*H174)&gt;=0.5*H174, M174, M174-1))*$K$5))</f>
        <v/>
      </c>
      <c r="P174" s="48">
        <f>IF(L174&lt;=0, 0, INT($G$8/L174))</f>
        <v/>
      </c>
      <c r="Q174" s="42">
        <f>MIN(O174, P174)</f>
        <v/>
      </c>
      <c r="R174" s="43">
        <f>ROUND((Q174*L174)/1000, 2)</f>
        <v/>
      </c>
      <c r="S174" s="49">
        <f>IF($C$8&gt;0, R174/$C$8, 0)</f>
        <v/>
      </c>
      <c r="T174" s="49">
        <f>IF(O174&gt;0, Q174/O174, 0)</f>
        <v/>
      </c>
      <c r="U174" s="18">
        <f>IF(Q174=0, "Exceeds Limit", IF(P174&lt;=O174, "Weight Limited", "Volume Limited"))</f>
        <v/>
      </c>
    </row>
    <row r="175" ht="19" customHeight="1">
      <c r="A175" s="38" t="n">
        <v>165</v>
      </c>
      <c r="B175" s="39" t="inlineStr">
        <is>
          <t>Carbon Steel</t>
        </is>
      </c>
      <c r="C175" s="13" t="inlineStr">
        <is>
          <t>ASME B36.10M</t>
        </is>
      </c>
      <c r="D175" s="12" t="inlineStr">
        <is>
          <t>12''</t>
        </is>
      </c>
      <c r="E175" s="38" t="n">
        <v>300</v>
      </c>
      <c r="F175" s="12" t="inlineStr">
        <is>
          <t>100</t>
        </is>
      </c>
      <c r="G175" s="14" t="n">
        <v>12.75</v>
      </c>
      <c r="H175" s="40" t="n">
        <v>323.85</v>
      </c>
      <c r="I175" s="14" t="n">
        <v>0.844</v>
      </c>
      <c r="J175" s="40" t="n">
        <v>21.44</v>
      </c>
      <c r="K175" s="14">
        <f>ROUND((H175-J175)*J175*IF(B175="Carbon Steel",$K$7,IF(B175="Stainless Steel 304",$K$8,$L$8)), 3)</f>
        <v/>
      </c>
      <c r="L175" s="40">
        <f>ROUND(K175*$G$5, 2)</f>
        <v/>
      </c>
      <c r="M175" s="38">
        <f>INT($G$6/H175)</f>
        <v/>
      </c>
      <c r="N175" s="38">
        <f>IF(M175=0, 0, IF(OR($K$6="Square Grid", M175=1), INT($G$7/H175), IF($G$7&lt;H175, 0, 1+INT(($G$7-H175)/(0.8660254*H175)))))</f>
        <v/>
      </c>
      <c r="O175" s="41">
        <f>IF(OR(M175=0,N175=0), 0, IF(OR($K$6="Square Grid", M175=1), M175*N175*$K$5, (INT((N175+1)/2)*M175 + INT(N175/2)*IF(($G$6-M175*H175)&gt;=0.5*H175, M175, M175-1))*$K$5))</f>
        <v/>
      </c>
      <c r="P175" s="41">
        <f>IF(L175&lt;=0, 0, INT($G$8/L175))</f>
        <v/>
      </c>
      <c r="Q175" s="42">
        <f>MIN(O175, P175)</f>
        <v/>
      </c>
      <c r="R175" s="43">
        <f>ROUND((Q175*L175)/1000, 2)</f>
        <v/>
      </c>
      <c r="S175" s="44">
        <f>IF($C$8&gt;0, R175/$C$8, 0)</f>
        <v/>
      </c>
      <c r="T175" s="44">
        <f>IF(O175&gt;0, Q175/O175, 0)</f>
        <v/>
      </c>
      <c r="U175" s="12">
        <f>IF(Q175=0, "Exceeds Limit", IF(P175&lt;=O175, "Weight Limited", "Volume Limited"))</f>
        <v/>
      </c>
    </row>
    <row r="176" ht="19" customHeight="1">
      <c r="A176" s="45" t="n">
        <v>166</v>
      </c>
      <c r="B176" s="46" t="inlineStr">
        <is>
          <t>Carbon Steel</t>
        </is>
      </c>
      <c r="C176" s="19" t="inlineStr">
        <is>
          <t>ASME B36.10M</t>
        </is>
      </c>
      <c r="D176" s="18" t="inlineStr">
        <is>
          <t>12''</t>
        </is>
      </c>
      <c r="E176" s="45" t="n">
        <v>300</v>
      </c>
      <c r="F176" s="18" t="inlineStr">
        <is>
          <t>120</t>
        </is>
      </c>
      <c r="G176" s="20" t="n">
        <v>12.75</v>
      </c>
      <c r="H176" s="47" t="n">
        <v>323.85</v>
      </c>
      <c r="I176" s="20" t="n">
        <v>1</v>
      </c>
      <c r="J176" s="47" t="n">
        <v>25.4</v>
      </c>
      <c r="K176" s="20">
        <f>ROUND((H176-J176)*J176*IF(B176="Carbon Steel",$K$7,IF(B176="Stainless Steel 304",$K$8,$L$8)), 3)</f>
        <v/>
      </c>
      <c r="L176" s="47">
        <f>ROUND(K176*$G$5, 2)</f>
        <v/>
      </c>
      <c r="M176" s="45">
        <f>INT($G$6/H176)</f>
        <v/>
      </c>
      <c r="N176" s="45">
        <f>IF(M176=0, 0, IF(OR($K$6="Square Grid", M176=1), INT($G$7/H176), IF($G$7&lt;H176, 0, 1+INT(($G$7-H176)/(0.8660254*H176)))))</f>
        <v/>
      </c>
      <c r="O176" s="48">
        <f>IF(OR(M176=0,N176=0), 0, IF(OR($K$6="Square Grid", M176=1), M176*N176*$K$5, (INT((N176+1)/2)*M176 + INT(N176/2)*IF(($G$6-M176*H176)&gt;=0.5*H176, M176, M176-1))*$K$5))</f>
        <v/>
      </c>
      <c r="P176" s="48">
        <f>IF(L176&lt;=0, 0, INT($G$8/L176))</f>
        <v/>
      </c>
      <c r="Q176" s="42">
        <f>MIN(O176, P176)</f>
        <v/>
      </c>
      <c r="R176" s="43">
        <f>ROUND((Q176*L176)/1000, 2)</f>
        <v/>
      </c>
      <c r="S176" s="49">
        <f>IF($C$8&gt;0, R176/$C$8, 0)</f>
        <v/>
      </c>
      <c r="T176" s="49">
        <f>IF(O176&gt;0, Q176/O176, 0)</f>
        <v/>
      </c>
      <c r="U176" s="18">
        <f>IF(Q176=0, "Exceeds Limit", IF(P176&lt;=O176, "Weight Limited", "Volume Limited"))</f>
        <v/>
      </c>
    </row>
    <row r="177" ht="19" customHeight="1">
      <c r="A177" s="38" t="n">
        <v>167</v>
      </c>
      <c r="B177" s="39" t="inlineStr">
        <is>
          <t>Carbon Steel</t>
        </is>
      </c>
      <c r="C177" s="13" t="inlineStr">
        <is>
          <t>ASME B36.10M</t>
        </is>
      </c>
      <c r="D177" s="12" t="inlineStr">
        <is>
          <t>12''</t>
        </is>
      </c>
      <c r="E177" s="38" t="n">
        <v>300</v>
      </c>
      <c r="F177" s="12" t="inlineStr">
        <is>
          <t>140</t>
        </is>
      </c>
      <c r="G177" s="14" t="n">
        <v>12.75</v>
      </c>
      <c r="H177" s="40" t="n">
        <v>323.85</v>
      </c>
      <c r="I177" s="14" t="n">
        <v>1.125</v>
      </c>
      <c r="J177" s="40" t="n">
        <v>28.57</v>
      </c>
      <c r="K177" s="14">
        <f>ROUND((H177-J177)*J177*IF(B177="Carbon Steel",$K$7,IF(B177="Stainless Steel 304",$K$8,$L$8)), 3)</f>
        <v/>
      </c>
      <c r="L177" s="40">
        <f>ROUND(K177*$G$5, 2)</f>
        <v/>
      </c>
      <c r="M177" s="38">
        <f>INT($G$6/H177)</f>
        <v/>
      </c>
      <c r="N177" s="38">
        <f>IF(M177=0, 0, IF(OR($K$6="Square Grid", M177=1), INT($G$7/H177), IF($G$7&lt;H177, 0, 1+INT(($G$7-H177)/(0.8660254*H177)))))</f>
        <v/>
      </c>
      <c r="O177" s="41">
        <f>IF(OR(M177=0,N177=0), 0, IF(OR($K$6="Square Grid", M177=1), M177*N177*$K$5, (INT((N177+1)/2)*M177 + INT(N177/2)*IF(($G$6-M177*H177)&gt;=0.5*H177, M177, M177-1))*$K$5))</f>
        <v/>
      </c>
      <c r="P177" s="41">
        <f>IF(L177&lt;=0, 0, INT($G$8/L177))</f>
        <v/>
      </c>
      <c r="Q177" s="42">
        <f>MIN(O177, P177)</f>
        <v/>
      </c>
      <c r="R177" s="43">
        <f>ROUND((Q177*L177)/1000, 2)</f>
        <v/>
      </c>
      <c r="S177" s="44">
        <f>IF($C$8&gt;0, R177/$C$8, 0)</f>
        <v/>
      </c>
      <c r="T177" s="44">
        <f>IF(O177&gt;0, Q177/O177, 0)</f>
        <v/>
      </c>
      <c r="U177" s="12">
        <f>IF(Q177=0, "Exceeds Limit", IF(P177&lt;=O177, "Weight Limited", "Volume Limited"))</f>
        <v/>
      </c>
    </row>
    <row r="178" ht="19" customHeight="1">
      <c r="A178" s="45" t="n">
        <v>168</v>
      </c>
      <c r="B178" s="46" t="inlineStr">
        <is>
          <t>Carbon Steel</t>
        </is>
      </c>
      <c r="C178" s="19" t="inlineStr">
        <is>
          <t>ASME B36.10M</t>
        </is>
      </c>
      <c r="D178" s="18" t="inlineStr">
        <is>
          <t>12''</t>
        </is>
      </c>
      <c r="E178" s="45" t="n">
        <v>300</v>
      </c>
      <c r="F178" s="18" t="inlineStr">
        <is>
          <t>160</t>
        </is>
      </c>
      <c r="G178" s="20" t="n">
        <v>12.75</v>
      </c>
      <c r="H178" s="47" t="n">
        <v>323.85</v>
      </c>
      <c r="I178" s="20" t="n">
        <v>1.312</v>
      </c>
      <c r="J178" s="47" t="n">
        <v>33.32</v>
      </c>
      <c r="K178" s="20">
        <f>ROUND((H178-J178)*J178*IF(B178="Carbon Steel",$K$7,IF(B178="Stainless Steel 304",$K$8,$L$8)), 3)</f>
        <v/>
      </c>
      <c r="L178" s="47">
        <f>ROUND(K178*$G$5, 2)</f>
        <v/>
      </c>
      <c r="M178" s="45">
        <f>INT($G$6/H178)</f>
        <v/>
      </c>
      <c r="N178" s="45">
        <f>IF(M178=0, 0, IF(OR($K$6="Square Grid", M178=1), INT($G$7/H178), IF($G$7&lt;H178, 0, 1+INT(($G$7-H178)/(0.8660254*H178)))))</f>
        <v/>
      </c>
      <c r="O178" s="48">
        <f>IF(OR(M178=0,N178=0), 0, IF(OR($K$6="Square Grid", M178=1), M178*N178*$K$5, (INT((N178+1)/2)*M178 + INT(N178/2)*IF(($G$6-M178*H178)&gt;=0.5*H178, M178, M178-1))*$K$5))</f>
        <v/>
      </c>
      <c r="P178" s="48">
        <f>IF(L178&lt;=0, 0, INT($G$8/L178))</f>
        <v/>
      </c>
      <c r="Q178" s="42">
        <f>MIN(O178, P178)</f>
        <v/>
      </c>
      <c r="R178" s="43">
        <f>ROUND((Q178*L178)/1000, 2)</f>
        <v/>
      </c>
      <c r="S178" s="49">
        <f>IF($C$8&gt;0, R178/$C$8, 0)</f>
        <v/>
      </c>
      <c r="T178" s="49">
        <f>IF(O178&gt;0, Q178/O178, 0)</f>
        <v/>
      </c>
      <c r="U178" s="18">
        <f>IF(Q178=0, "Exceeds Limit", IF(P178&lt;=O178, "Weight Limited", "Volume Limited"))</f>
        <v/>
      </c>
    </row>
    <row r="179" ht="19" customHeight="1">
      <c r="A179" s="38" t="n">
        <v>169</v>
      </c>
      <c r="B179" s="39" t="inlineStr">
        <is>
          <t>Carbon Steel</t>
        </is>
      </c>
      <c r="C179" s="13" t="inlineStr">
        <is>
          <t>ASME B36.10M</t>
        </is>
      </c>
      <c r="D179" s="12" t="inlineStr">
        <is>
          <t>12''</t>
        </is>
      </c>
      <c r="E179" s="38" t="n">
        <v>300</v>
      </c>
      <c r="F179" s="12" t="inlineStr">
        <is>
          <t>XXS</t>
        </is>
      </c>
      <c r="G179" s="14" t="n">
        <v>12.75</v>
      </c>
      <c r="H179" s="40" t="n">
        <v>323.85</v>
      </c>
      <c r="I179" s="14" t="n">
        <v>1</v>
      </c>
      <c r="J179" s="40" t="n">
        <v>25.4</v>
      </c>
      <c r="K179" s="14">
        <f>ROUND((H179-J179)*J179*IF(B179="Carbon Steel",$K$7,IF(B179="Stainless Steel 304",$K$8,$L$8)), 3)</f>
        <v/>
      </c>
      <c r="L179" s="40">
        <f>ROUND(K179*$G$5, 2)</f>
        <v/>
      </c>
      <c r="M179" s="38">
        <f>INT($G$6/H179)</f>
        <v/>
      </c>
      <c r="N179" s="38">
        <f>IF(M179=0, 0, IF(OR($K$6="Square Grid", M179=1), INT($G$7/H179), IF($G$7&lt;H179, 0, 1+INT(($G$7-H179)/(0.8660254*H179)))))</f>
        <v/>
      </c>
      <c r="O179" s="41">
        <f>IF(OR(M179=0,N179=0), 0, IF(OR($K$6="Square Grid", M179=1), M179*N179*$K$5, (INT((N179+1)/2)*M179 + INT(N179/2)*IF(($G$6-M179*H179)&gt;=0.5*H179, M179, M179-1))*$K$5))</f>
        <v/>
      </c>
      <c r="P179" s="41">
        <f>IF(L179&lt;=0, 0, INT($G$8/L179))</f>
        <v/>
      </c>
      <c r="Q179" s="42">
        <f>MIN(O179, P179)</f>
        <v/>
      </c>
      <c r="R179" s="43">
        <f>ROUND((Q179*L179)/1000, 2)</f>
        <v/>
      </c>
      <c r="S179" s="44">
        <f>IF($C$8&gt;0, R179/$C$8, 0)</f>
        <v/>
      </c>
      <c r="T179" s="44">
        <f>IF(O179&gt;0, Q179/O179, 0)</f>
        <v/>
      </c>
      <c r="U179" s="12">
        <f>IF(Q179=0, "Exceeds Limit", IF(P179&lt;=O179, "Weight Limited", "Volume Limited"))</f>
        <v/>
      </c>
    </row>
    <row r="180" ht="19" customHeight="1">
      <c r="A180" s="45" t="n">
        <v>170</v>
      </c>
      <c r="B180" s="46" t="inlineStr">
        <is>
          <t>Carbon Steel</t>
        </is>
      </c>
      <c r="C180" s="19" t="inlineStr">
        <is>
          <t>ASME B36.10M</t>
        </is>
      </c>
      <c r="D180" s="18" t="inlineStr">
        <is>
          <t>14''</t>
        </is>
      </c>
      <c r="E180" s="45" t="n">
        <v>350</v>
      </c>
      <c r="F180" s="18" t="inlineStr">
        <is>
          <t>5</t>
        </is>
      </c>
      <c r="G180" s="20" t="n">
        <v>14</v>
      </c>
      <c r="H180" s="47" t="n">
        <v>355.6</v>
      </c>
      <c r="I180" s="20" t="n">
        <v>0.156</v>
      </c>
      <c r="J180" s="47" t="n">
        <v>3.96</v>
      </c>
      <c r="K180" s="20">
        <f>ROUND((H180-J180)*J180*IF(B180="Carbon Steel",$K$7,IF(B180="Stainless Steel 304",$K$8,$L$8)), 3)</f>
        <v/>
      </c>
      <c r="L180" s="47">
        <f>ROUND(K180*$G$5, 2)</f>
        <v/>
      </c>
      <c r="M180" s="45">
        <f>INT($G$6/H180)</f>
        <v/>
      </c>
      <c r="N180" s="45">
        <f>IF(M180=0, 0, IF(OR($K$6="Square Grid", M180=1), INT($G$7/H180), IF($G$7&lt;H180, 0, 1+INT(($G$7-H180)/(0.8660254*H180)))))</f>
        <v/>
      </c>
      <c r="O180" s="48">
        <f>IF(OR(M180=0,N180=0), 0, IF(OR($K$6="Square Grid", M180=1), M180*N180*$K$5, (INT((N180+1)/2)*M180 + INT(N180/2)*IF(($G$6-M180*H180)&gt;=0.5*H180, M180, M180-1))*$K$5))</f>
        <v/>
      </c>
      <c r="P180" s="48">
        <f>IF(L180&lt;=0, 0, INT($G$8/L180))</f>
        <v/>
      </c>
      <c r="Q180" s="42">
        <f>MIN(O180, P180)</f>
        <v/>
      </c>
      <c r="R180" s="43">
        <f>ROUND((Q180*L180)/1000, 2)</f>
        <v/>
      </c>
      <c r="S180" s="49">
        <f>IF($C$8&gt;0, R180/$C$8, 0)</f>
        <v/>
      </c>
      <c r="T180" s="49">
        <f>IF(O180&gt;0, Q180/O180, 0)</f>
        <v/>
      </c>
      <c r="U180" s="18">
        <f>IF(Q180=0, "Exceeds Limit", IF(P180&lt;=O180, "Weight Limited", "Volume Limited"))</f>
        <v/>
      </c>
    </row>
    <row r="181" ht="19" customHeight="1">
      <c r="A181" s="38" t="n">
        <v>171</v>
      </c>
      <c r="B181" s="39" t="inlineStr">
        <is>
          <t>Carbon Steel</t>
        </is>
      </c>
      <c r="C181" s="13" t="inlineStr">
        <is>
          <t>ASME B36.10M</t>
        </is>
      </c>
      <c r="D181" s="12" t="inlineStr">
        <is>
          <t>14''</t>
        </is>
      </c>
      <c r="E181" s="38" t="n">
        <v>350</v>
      </c>
      <c r="F181" s="12" t="inlineStr">
        <is>
          <t>10</t>
        </is>
      </c>
      <c r="G181" s="14" t="n">
        <v>14</v>
      </c>
      <c r="H181" s="40" t="n">
        <v>355.6</v>
      </c>
      <c r="I181" s="14" t="n">
        <v>0.25</v>
      </c>
      <c r="J181" s="40" t="n">
        <v>6.35</v>
      </c>
      <c r="K181" s="14">
        <f>ROUND((H181-J181)*J181*IF(B181="Carbon Steel",$K$7,IF(B181="Stainless Steel 304",$K$8,$L$8)), 3)</f>
        <v/>
      </c>
      <c r="L181" s="40">
        <f>ROUND(K181*$G$5, 2)</f>
        <v/>
      </c>
      <c r="M181" s="38">
        <f>INT($G$6/H181)</f>
        <v/>
      </c>
      <c r="N181" s="38">
        <f>IF(M181=0, 0, IF(OR($K$6="Square Grid", M181=1), INT($G$7/H181), IF($G$7&lt;H181, 0, 1+INT(($G$7-H181)/(0.8660254*H181)))))</f>
        <v/>
      </c>
      <c r="O181" s="41">
        <f>IF(OR(M181=0,N181=0), 0, IF(OR($K$6="Square Grid", M181=1), M181*N181*$K$5, (INT((N181+1)/2)*M181 + INT(N181/2)*IF(($G$6-M181*H181)&gt;=0.5*H181, M181, M181-1))*$K$5))</f>
        <v/>
      </c>
      <c r="P181" s="41">
        <f>IF(L181&lt;=0, 0, INT($G$8/L181))</f>
        <v/>
      </c>
      <c r="Q181" s="42">
        <f>MIN(O181, P181)</f>
        <v/>
      </c>
      <c r="R181" s="43">
        <f>ROUND((Q181*L181)/1000, 2)</f>
        <v/>
      </c>
      <c r="S181" s="44">
        <f>IF($C$8&gt;0, R181/$C$8, 0)</f>
        <v/>
      </c>
      <c r="T181" s="44">
        <f>IF(O181&gt;0, Q181/O181, 0)</f>
        <v/>
      </c>
      <c r="U181" s="12">
        <f>IF(Q181=0, "Exceeds Limit", IF(P181&lt;=O181, "Weight Limited", "Volume Limited"))</f>
        <v/>
      </c>
    </row>
    <row r="182" ht="19" customHeight="1">
      <c r="A182" s="45" t="n">
        <v>172</v>
      </c>
      <c r="B182" s="46" t="inlineStr">
        <is>
          <t>Carbon Steel</t>
        </is>
      </c>
      <c r="C182" s="19" t="inlineStr">
        <is>
          <t>ASME B36.10M</t>
        </is>
      </c>
      <c r="D182" s="18" t="inlineStr">
        <is>
          <t>14''</t>
        </is>
      </c>
      <c r="E182" s="45" t="n">
        <v>350</v>
      </c>
      <c r="F182" s="18" t="inlineStr">
        <is>
          <t>20</t>
        </is>
      </c>
      <c r="G182" s="20" t="n">
        <v>14</v>
      </c>
      <c r="H182" s="47" t="n">
        <v>355.6</v>
      </c>
      <c r="I182" s="20" t="n">
        <v>0.312</v>
      </c>
      <c r="J182" s="47" t="n">
        <v>7.92</v>
      </c>
      <c r="K182" s="20">
        <f>ROUND((H182-J182)*J182*IF(B182="Carbon Steel",$K$7,IF(B182="Stainless Steel 304",$K$8,$L$8)), 3)</f>
        <v/>
      </c>
      <c r="L182" s="47">
        <f>ROUND(K182*$G$5, 2)</f>
        <v/>
      </c>
      <c r="M182" s="45">
        <f>INT($G$6/H182)</f>
        <v/>
      </c>
      <c r="N182" s="45">
        <f>IF(M182=0, 0, IF(OR($K$6="Square Grid", M182=1), INT($G$7/H182), IF($G$7&lt;H182, 0, 1+INT(($G$7-H182)/(0.8660254*H182)))))</f>
        <v/>
      </c>
      <c r="O182" s="48">
        <f>IF(OR(M182=0,N182=0), 0, IF(OR($K$6="Square Grid", M182=1), M182*N182*$K$5, (INT((N182+1)/2)*M182 + INT(N182/2)*IF(($G$6-M182*H182)&gt;=0.5*H182, M182, M182-1))*$K$5))</f>
        <v/>
      </c>
      <c r="P182" s="48">
        <f>IF(L182&lt;=0, 0, INT($G$8/L182))</f>
        <v/>
      </c>
      <c r="Q182" s="42">
        <f>MIN(O182, P182)</f>
        <v/>
      </c>
      <c r="R182" s="43">
        <f>ROUND((Q182*L182)/1000, 2)</f>
        <v/>
      </c>
      <c r="S182" s="49">
        <f>IF($C$8&gt;0, R182/$C$8, 0)</f>
        <v/>
      </c>
      <c r="T182" s="49">
        <f>IF(O182&gt;0, Q182/O182, 0)</f>
        <v/>
      </c>
      <c r="U182" s="18">
        <f>IF(Q182=0, "Exceeds Limit", IF(P182&lt;=O182, "Weight Limited", "Volume Limited"))</f>
        <v/>
      </c>
    </row>
    <row r="183" ht="19" customHeight="1">
      <c r="A183" s="38" t="n">
        <v>173</v>
      </c>
      <c r="B183" s="39" t="inlineStr">
        <is>
          <t>Carbon Steel</t>
        </is>
      </c>
      <c r="C183" s="13" t="inlineStr">
        <is>
          <t>ASME B36.10M</t>
        </is>
      </c>
      <c r="D183" s="12" t="inlineStr">
        <is>
          <t>14''</t>
        </is>
      </c>
      <c r="E183" s="38" t="n">
        <v>350</v>
      </c>
      <c r="F183" s="12" t="inlineStr">
        <is>
          <t>30</t>
        </is>
      </c>
      <c r="G183" s="14" t="n">
        <v>14</v>
      </c>
      <c r="H183" s="40" t="n">
        <v>355.6</v>
      </c>
      <c r="I183" s="14" t="n">
        <v>0.375</v>
      </c>
      <c r="J183" s="40" t="n">
        <v>9.52</v>
      </c>
      <c r="K183" s="14">
        <f>ROUND((H183-J183)*J183*IF(B183="Carbon Steel",$K$7,IF(B183="Stainless Steel 304",$K$8,$L$8)), 3)</f>
        <v/>
      </c>
      <c r="L183" s="40">
        <f>ROUND(K183*$G$5, 2)</f>
        <v/>
      </c>
      <c r="M183" s="38">
        <f>INT($G$6/H183)</f>
        <v/>
      </c>
      <c r="N183" s="38">
        <f>IF(M183=0, 0, IF(OR($K$6="Square Grid", M183=1), INT($G$7/H183), IF($G$7&lt;H183, 0, 1+INT(($G$7-H183)/(0.8660254*H183)))))</f>
        <v/>
      </c>
      <c r="O183" s="41">
        <f>IF(OR(M183=0,N183=0), 0, IF(OR($K$6="Square Grid", M183=1), M183*N183*$K$5, (INT((N183+1)/2)*M183 + INT(N183/2)*IF(($G$6-M183*H183)&gt;=0.5*H183, M183, M183-1))*$K$5))</f>
        <v/>
      </c>
      <c r="P183" s="41">
        <f>IF(L183&lt;=0, 0, INT($G$8/L183))</f>
        <v/>
      </c>
      <c r="Q183" s="42">
        <f>MIN(O183, P183)</f>
        <v/>
      </c>
      <c r="R183" s="43">
        <f>ROUND((Q183*L183)/1000, 2)</f>
        <v/>
      </c>
      <c r="S183" s="44">
        <f>IF($C$8&gt;0, R183/$C$8, 0)</f>
        <v/>
      </c>
      <c r="T183" s="44">
        <f>IF(O183&gt;0, Q183/O183, 0)</f>
        <v/>
      </c>
      <c r="U183" s="12">
        <f>IF(Q183=0, "Exceeds Limit", IF(P183&lt;=O183, "Weight Limited", "Volume Limited"))</f>
        <v/>
      </c>
    </row>
    <row r="184" ht="19" customHeight="1">
      <c r="A184" s="45" t="n">
        <v>174</v>
      </c>
      <c r="B184" s="46" t="inlineStr">
        <is>
          <t>Carbon Steel</t>
        </is>
      </c>
      <c r="C184" s="19" t="inlineStr">
        <is>
          <t>ASME B36.10M</t>
        </is>
      </c>
      <c r="D184" s="18" t="inlineStr">
        <is>
          <t>14''</t>
        </is>
      </c>
      <c r="E184" s="45" t="n">
        <v>350</v>
      </c>
      <c r="F184" s="18" t="inlineStr">
        <is>
          <t>STD</t>
        </is>
      </c>
      <c r="G184" s="20" t="n">
        <v>14</v>
      </c>
      <c r="H184" s="47" t="n">
        <v>355.6</v>
      </c>
      <c r="I184" s="20" t="n">
        <v>0.375</v>
      </c>
      <c r="J184" s="47" t="n">
        <v>9.52</v>
      </c>
      <c r="K184" s="20">
        <f>ROUND((H184-J184)*J184*IF(B184="Carbon Steel",$K$7,IF(B184="Stainless Steel 304",$K$8,$L$8)), 3)</f>
        <v/>
      </c>
      <c r="L184" s="47">
        <f>ROUND(K184*$G$5, 2)</f>
        <v/>
      </c>
      <c r="M184" s="45">
        <f>INT($G$6/H184)</f>
        <v/>
      </c>
      <c r="N184" s="45">
        <f>IF(M184=0, 0, IF(OR($K$6="Square Grid", M184=1), INT($G$7/H184), IF($G$7&lt;H184, 0, 1+INT(($G$7-H184)/(0.8660254*H184)))))</f>
        <v/>
      </c>
      <c r="O184" s="48">
        <f>IF(OR(M184=0,N184=0), 0, IF(OR($K$6="Square Grid", M184=1), M184*N184*$K$5, (INT((N184+1)/2)*M184 + INT(N184/2)*IF(($G$6-M184*H184)&gt;=0.5*H184, M184, M184-1))*$K$5))</f>
        <v/>
      </c>
      <c r="P184" s="48">
        <f>IF(L184&lt;=0, 0, INT($G$8/L184))</f>
        <v/>
      </c>
      <c r="Q184" s="42">
        <f>MIN(O184, P184)</f>
        <v/>
      </c>
      <c r="R184" s="43">
        <f>ROUND((Q184*L184)/1000, 2)</f>
        <v/>
      </c>
      <c r="S184" s="49">
        <f>IF($C$8&gt;0, R184/$C$8, 0)</f>
        <v/>
      </c>
      <c r="T184" s="49">
        <f>IF(O184&gt;0, Q184/O184, 0)</f>
        <v/>
      </c>
      <c r="U184" s="18">
        <f>IF(Q184=0, "Exceeds Limit", IF(P184&lt;=O184, "Weight Limited", "Volume Limited"))</f>
        <v/>
      </c>
    </row>
    <row r="185" ht="19" customHeight="1">
      <c r="A185" s="38" t="n">
        <v>175</v>
      </c>
      <c r="B185" s="39" t="inlineStr">
        <is>
          <t>Carbon Steel</t>
        </is>
      </c>
      <c r="C185" s="13" t="inlineStr">
        <is>
          <t>ASME B36.10M</t>
        </is>
      </c>
      <c r="D185" s="12" t="inlineStr">
        <is>
          <t>14''</t>
        </is>
      </c>
      <c r="E185" s="38" t="n">
        <v>350</v>
      </c>
      <c r="F185" s="12" t="inlineStr">
        <is>
          <t>40</t>
        </is>
      </c>
      <c r="G185" s="14" t="n">
        <v>14</v>
      </c>
      <c r="H185" s="40" t="n">
        <v>355.6</v>
      </c>
      <c r="I185" s="14" t="n">
        <v>0.438</v>
      </c>
      <c r="J185" s="40" t="n">
        <v>11.13</v>
      </c>
      <c r="K185" s="14">
        <f>ROUND((H185-J185)*J185*IF(B185="Carbon Steel",$K$7,IF(B185="Stainless Steel 304",$K$8,$L$8)), 3)</f>
        <v/>
      </c>
      <c r="L185" s="40">
        <f>ROUND(K185*$G$5, 2)</f>
        <v/>
      </c>
      <c r="M185" s="38">
        <f>INT($G$6/H185)</f>
        <v/>
      </c>
      <c r="N185" s="38">
        <f>IF(M185=0, 0, IF(OR($K$6="Square Grid", M185=1), INT($G$7/H185), IF($G$7&lt;H185, 0, 1+INT(($G$7-H185)/(0.8660254*H185)))))</f>
        <v/>
      </c>
      <c r="O185" s="41">
        <f>IF(OR(M185=0,N185=0), 0, IF(OR($K$6="Square Grid", M185=1), M185*N185*$K$5, (INT((N185+1)/2)*M185 + INT(N185/2)*IF(($G$6-M185*H185)&gt;=0.5*H185, M185, M185-1))*$K$5))</f>
        <v/>
      </c>
      <c r="P185" s="41">
        <f>IF(L185&lt;=0, 0, INT($G$8/L185))</f>
        <v/>
      </c>
      <c r="Q185" s="42">
        <f>MIN(O185, P185)</f>
        <v/>
      </c>
      <c r="R185" s="43">
        <f>ROUND((Q185*L185)/1000, 2)</f>
        <v/>
      </c>
      <c r="S185" s="44">
        <f>IF($C$8&gt;0, R185/$C$8, 0)</f>
        <v/>
      </c>
      <c r="T185" s="44">
        <f>IF(O185&gt;0, Q185/O185, 0)</f>
        <v/>
      </c>
      <c r="U185" s="12">
        <f>IF(Q185=0, "Exceeds Limit", IF(P185&lt;=O185, "Weight Limited", "Volume Limited"))</f>
        <v/>
      </c>
    </row>
    <row r="186" ht="19" customHeight="1">
      <c r="A186" s="45" t="n">
        <v>176</v>
      </c>
      <c r="B186" s="46" t="inlineStr">
        <is>
          <t>Carbon Steel</t>
        </is>
      </c>
      <c r="C186" s="19" t="inlineStr">
        <is>
          <t>ASME B36.10M</t>
        </is>
      </c>
      <c r="D186" s="18" t="inlineStr">
        <is>
          <t>14''</t>
        </is>
      </c>
      <c r="E186" s="45" t="n">
        <v>350</v>
      </c>
      <c r="F186" s="18" t="inlineStr">
        <is>
          <t>60</t>
        </is>
      </c>
      <c r="G186" s="20" t="n">
        <v>14</v>
      </c>
      <c r="H186" s="47" t="n">
        <v>355.6</v>
      </c>
      <c r="I186" s="20" t="n">
        <v>0.594</v>
      </c>
      <c r="J186" s="47" t="n">
        <v>15.09</v>
      </c>
      <c r="K186" s="20">
        <f>ROUND((H186-J186)*J186*IF(B186="Carbon Steel",$K$7,IF(B186="Stainless Steel 304",$K$8,$L$8)), 3)</f>
        <v/>
      </c>
      <c r="L186" s="47">
        <f>ROUND(K186*$G$5, 2)</f>
        <v/>
      </c>
      <c r="M186" s="45">
        <f>INT($G$6/H186)</f>
        <v/>
      </c>
      <c r="N186" s="45">
        <f>IF(M186=0, 0, IF(OR($K$6="Square Grid", M186=1), INT($G$7/H186), IF($G$7&lt;H186, 0, 1+INT(($G$7-H186)/(0.8660254*H186)))))</f>
        <v/>
      </c>
      <c r="O186" s="48">
        <f>IF(OR(M186=0,N186=0), 0, IF(OR($K$6="Square Grid", M186=1), M186*N186*$K$5, (INT((N186+1)/2)*M186 + INT(N186/2)*IF(($G$6-M186*H186)&gt;=0.5*H186, M186, M186-1))*$K$5))</f>
        <v/>
      </c>
      <c r="P186" s="48">
        <f>IF(L186&lt;=0, 0, INT($G$8/L186))</f>
        <v/>
      </c>
      <c r="Q186" s="42">
        <f>MIN(O186, P186)</f>
        <v/>
      </c>
      <c r="R186" s="43">
        <f>ROUND((Q186*L186)/1000, 2)</f>
        <v/>
      </c>
      <c r="S186" s="49">
        <f>IF($C$8&gt;0, R186/$C$8, 0)</f>
        <v/>
      </c>
      <c r="T186" s="49">
        <f>IF(O186&gt;0, Q186/O186, 0)</f>
        <v/>
      </c>
      <c r="U186" s="18">
        <f>IF(Q186=0, "Exceeds Limit", IF(P186&lt;=O186, "Weight Limited", "Volume Limited"))</f>
        <v/>
      </c>
    </row>
    <row r="187" ht="19" customHeight="1">
      <c r="A187" s="38" t="n">
        <v>177</v>
      </c>
      <c r="B187" s="39" t="inlineStr">
        <is>
          <t>Carbon Steel</t>
        </is>
      </c>
      <c r="C187" s="13" t="inlineStr">
        <is>
          <t>ASME B36.10M</t>
        </is>
      </c>
      <c r="D187" s="12" t="inlineStr">
        <is>
          <t>14''</t>
        </is>
      </c>
      <c r="E187" s="38" t="n">
        <v>350</v>
      </c>
      <c r="F187" s="12" t="inlineStr">
        <is>
          <t>XS</t>
        </is>
      </c>
      <c r="G187" s="14" t="n">
        <v>14</v>
      </c>
      <c r="H187" s="40" t="n">
        <v>355.6</v>
      </c>
      <c r="I187" s="14" t="n">
        <v>0.5</v>
      </c>
      <c r="J187" s="40" t="n">
        <v>12.7</v>
      </c>
      <c r="K187" s="14">
        <f>ROUND((H187-J187)*J187*IF(B187="Carbon Steel",$K$7,IF(B187="Stainless Steel 304",$K$8,$L$8)), 3)</f>
        <v/>
      </c>
      <c r="L187" s="40">
        <f>ROUND(K187*$G$5, 2)</f>
        <v/>
      </c>
      <c r="M187" s="38">
        <f>INT($G$6/H187)</f>
        <v/>
      </c>
      <c r="N187" s="38">
        <f>IF(M187=0, 0, IF(OR($K$6="Square Grid", M187=1), INT($G$7/H187), IF($G$7&lt;H187, 0, 1+INT(($G$7-H187)/(0.8660254*H187)))))</f>
        <v/>
      </c>
      <c r="O187" s="41">
        <f>IF(OR(M187=0,N187=0), 0, IF(OR($K$6="Square Grid", M187=1), M187*N187*$K$5, (INT((N187+1)/2)*M187 + INT(N187/2)*IF(($G$6-M187*H187)&gt;=0.5*H187, M187, M187-1))*$K$5))</f>
        <v/>
      </c>
      <c r="P187" s="41">
        <f>IF(L187&lt;=0, 0, INT($G$8/L187))</f>
        <v/>
      </c>
      <c r="Q187" s="42">
        <f>MIN(O187, P187)</f>
        <v/>
      </c>
      <c r="R187" s="43">
        <f>ROUND((Q187*L187)/1000, 2)</f>
        <v/>
      </c>
      <c r="S187" s="44">
        <f>IF($C$8&gt;0, R187/$C$8, 0)</f>
        <v/>
      </c>
      <c r="T187" s="44">
        <f>IF(O187&gt;0, Q187/O187, 0)</f>
        <v/>
      </c>
      <c r="U187" s="12">
        <f>IF(Q187=0, "Exceeds Limit", IF(P187&lt;=O187, "Weight Limited", "Volume Limited"))</f>
        <v/>
      </c>
    </row>
    <row r="188" ht="19" customHeight="1">
      <c r="A188" s="45" t="n">
        <v>178</v>
      </c>
      <c r="B188" s="46" t="inlineStr">
        <is>
          <t>Carbon Steel</t>
        </is>
      </c>
      <c r="C188" s="19" t="inlineStr">
        <is>
          <t>ASME B36.10M</t>
        </is>
      </c>
      <c r="D188" s="18" t="inlineStr">
        <is>
          <t>14''</t>
        </is>
      </c>
      <c r="E188" s="45" t="n">
        <v>350</v>
      </c>
      <c r="F188" s="18" t="inlineStr">
        <is>
          <t>80</t>
        </is>
      </c>
      <c r="G188" s="20" t="n">
        <v>14</v>
      </c>
      <c r="H188" s="47" t="n">
        <v>355.6</v>
      </c>
      <c r="I188" s="20" t="n">
        <v>0.75</v>
      </c>
      <c r="J188" s="47" t="n">
        <v>19.05</v>
      </c>
      <c r="K188" s="20">
        <f>ROUND((H188-J188)*J188*IF(B188="Carbon Steel",$K$7,IF(B188="Stainless Steel 304",$K$8,$L$8)), 3)</f>
        <v/>
      </c>
      <c r="L188" s="47">
        <f>ROUND(K188*$G$5, 2)</f>
        <v/>
      </c>
      <c r="M188" s="45">
        <f>INT($G$6/H188)</f>
        <v/>
      </c>
      <c r="N188" s="45">
        <f>IF(M188=0, 0, IF(OR($K$6="Square Grid", M188=1), INT($G$7/H188), IF($G$7&lt;H188, 0, 1+INT(($G$7-H188)/(0.8660254*H188)))))</f>
        <v/>
      </c>
      <c r="O188" s="48">
        <f>IF(OR(M188=0,N188=0), 0, IF(OR($K$6="Square Grid", M188=1), M188*N188*$K$5, (INT((N188+1)/2)*M188 + INT(N188/2)*IF(($G$6-M188*H188)&gt;=0.5*H188, M188, M188-1))*$K$5))</f>
        <v/>
      </c>
      <c r="P188" s="48">
        <f>IF(L188&lt;=0, 0, INT($G$8/L188))</f>
        <v/>
      </c>
      <c r="Q188" s="42">
        <f>MIN(O188, P188)</f>
        <v/>
      </c>
      <c r="R188" s="43">
        <f>ROUND((Q188*L188)/1000, 2)</f>
        <v/>
      </c>
      <c r="S188" s="49">
        <f>IF($C$8&gt;0, R188/$C$8, 0)</f>
        <v/>
      </c>
      <c r="T188" s="49">
        <f>IF(O188&gt;0, Q188/O188, 0)</f>
        <v/>
      </c>
      <c r="U188" s="18">
        <f>IF(Q188=0, "Exceeds Limit", IF(P188&lt;=O188, "Weight Limited", "Volume Limited"))</f>
        <v/>
      </c>
    </row>
    <row r="189" ht="19" customHeight="1">
      <c r="A189" s="38" t="n">
        <v>179</v>
      </c>
      <c r="B189" s="39" t="inlineStr">
        <is>
          <t>Carbon Steel</t>
        </is>
      </c>
      <c r="C189" s="13" t="inlineStr">
        <is>
          <t>ASME B36.10M</t>
        </is>
      </c>
      <c r="D189" s="12" t="inlineStr">
        <is>
          <t>14''</t>
        </is>
      </c>
      <c r="E189" s="38" t="n">
        <v>350</v>
      </c>
      <c r="F189" s="12" t="inlineStr">
        <is>
          <t>100</t>
        </is>
      </c>
      <c r="G189" s="14" t="n">
        <v>14</v>
      </c>
      <c r="H189" s="40" t="n">
        <v>355.6</v>
      </c>
      <c r="I189" s="14" t="n">
        <v>0.9379999999999999</v>
      </c>
      <c r="J189" s="40" t="n">
        <v>23.83</v>
      </c>
      <c r="K189" s="14">
        <f>ROUND((H189-J189)*J189*IF(B189="Carbon Steel",$K$7,IF(B189="Stainless Steel 304",$K$8,$L$8)), 3)</f>
        <v/>
      </c>
      <c r="L189" s="40">
        <f>ROUND(K189*$G$5, 2)</f>
        <v/>
      </c>
      <c r="M189" s="38">
        <f>INT($G$6/H189)</f>
        <v/>
      </c>
      <c r="N189" s="38">
        <f>IF(M189=0, 0, IF(OR($K$6="Square Grid", M189=1), INT($G$7/H189), IF($G$7&lt;H189, 0, 1+INT(($G$7-H189)/(0.8660254*H189)))))</f>
        <v/>
      </c>
      <c r="O189" s="41">
        <f>IF(OR(M189=0,N189=0), 0, IF(OR($K$6="Square Grid", M189=1), M189*N189*$K$5, (INT((N189+1)/2)*M189 + INT(N189/2)*IF(($G$6-M189*H189)&gt;=0.5*H189, M189, M189-1))*$K$5))</f>
        <v/>
      </c>
      <c r="P189" s="41">
        <f>IF(L189&lt;=0, 0, INT($G$8/L189))</f>
        <v/>
      </c>
      <c r="Q189" s="42">
        <f>MIN(O189, P189)</f>
        <v/>
      </c>
      <c r="R189" s="43">
        <f>ROUND((Q189*L189)/1000, 2)</f>
        <v/>
      </c>
      <c r="S189" s="44">
        <f>IF($C$8&gt;0, R189/$C$8, 0)</f>
        <v/>
      </c>
      <c r="T189" s="44">
        <f>IF(O189&gt;0, Q189/O189, 0)</f>
        <v/>
      </c>
      <c r="U189" s="12">
        <f>IF(Q189=0, "Exceeds Limit", IF(P189&lt;=O189, "Weight Limited", "Volume Limited"))</f>
        <v/>
      </c>
    </row>
    <row r="190" ht="19" customHeight="1">
      <c r="A190" s="45" t="n">
        <v>180</v>
      </c>
      <c r="B190" s="46" t="inlineStr">
        <is>
          <t>Carbon Steel</t>
        </is>
      </c>
      <c r="C190" s="19" t="inlineStr">
        <is>
          <t>ASME B36.10M</t>
        </is>
      </c>
      <c r="D190" s="18" t="inlineStr">
        <is>
          <t>14''</t>
        </is>
      </c>
      <c r="E190" s="45" t="n">
        <v>350</v>
      </c>
      <c r="F190" s="18" t="inlineStr">
        <is>
          <t>120</t>
        </is>
      </c>
      <c r="G190" s="20" t="n">
        <v>14</v>
      </c>
      <c r="H190" s="47" t="n">
        <v>355.6</v>
      </c>
      <c r="I190" s="20" t="n">
        <v>1.094</v>
      </c>
      <c r="J190" s="47" t="n">
        <v>27.79</v>
      </c>
      <c r="K190" s="20">
        <f>ROUND((H190-J190)*J190*IF(B190="Carbon Steel",$K$7,IF(B190="Stainless Steel 304",$K$8,$L$8)), 3)</f>
        <v/>
      </c>
      <c r="L190" s="47">
        <f>ROUND(K190*$G$5, 2)</f>
        <v/>
      </c>
      <c r="M190" s="45">
        <f>INT($G$6/H190)</f>
        <v/>
      </c>
      <c r="N190" s="45">
        <f>IF(M190=0, 0, IF(OR($K$6="Square Grid", M190=1), INT($G$7/H190), IF($G$7&lt;H190, 0, 1+INT(($G$7-H190)/(0.8660254*H190)))))</f>
        <v/>
      </c>
      <c r="O190" s="48">
        <f>IF(OR(M190=0,N190=0), 0, IF(OR($K$6="Square Grid", M190=1), M190*N190*$K$5, (INT((N190+1)/2)*M190 + INT(N190/2)*IF(($G$6-M190*H190)&gt;=0.5*H190, M190, M190-1))*$K$5))</f>
        <v/>
      </c>
      <c r="P190" s="48">
        <f>IF(L190&lt;=0, 0, INT($G$8/L190))</f>
        <v/>
      </c>
      <c r="Q190" s="42">
        <f>MIN(O190, P190)</f>
        <v/>
      </c>
      <c r="R190" s="43">
        <f>ROUND((Q190*L190)/1000, 2)</f>
        <v/>
      </c>
      <c r="S190" s="49">
        <f>IF($C$8&gt;0, R190/$C$8, 0)</f>
        <v/>
      </c>
      <c r="T190" s="49">
        <f>IF(O190&gt;0, Q190/O190, 0)</f>
        <v/>
      </c>
      <c r="U190" s="18">
        <f>IF(Q190=0, "Exceeds Limit", IF(P190&lt;=O190, "Weight Limited", "Volume Limited"))</f>
        <v/>
      </c>
    </row>
    <row r="191" ht="19" customHeight="1">
      <c r="A191" s="38" t="n">
        <v>181</v>
      </c>
      <c r="B191" s="39" t="inlineStr">
        <is>
          <t>Carbon Steel</t>
        </is>
      </c>
      <c r="C191" s="13" t="inlineStr">
        <is>
          <t>ASME B36.10M</t>
        </is>
      </c>
      <c r="D191" s="12" t="inlineStr">
        <is>
          <t>14''</t>
        </is>
      </c>
      <c r="E191" s="38" t="n">
        <v>350</v>
      </c>
      <c r="F191" s="12" t="inlineStr">
        <is>
          <t>140</t>
        </is>
      </c>
      <c r="G191" s="14" t="n">
        <v>14</v>
      </c>
      <c r="H191" s="40" t="n">
        <v>355.6</v>
      </c>
      <c r="I191" s="14" t="n">
        <v>1.25</v>
      </c>
      <c r="J191" s="40" t="n">
        <v>31.75</v>
      </c>
      <c r="K191" s="14">
        <f>ROUND((H191-J191)*J191*IF(B191="Carbon Steel",$K$7,IF(B191="Stainless Steel 304",$K$8,$L$8)), 3)</f>
        <v/>
      </c>
      <c r="L191" s="40">
        <f>ROUND(K191*$G$5, 2)</f>
        <v/>
      </c>
      <c r="M191" s="38">
        <f>INT($G$6/H191)</f>
        <v/>
      </c>
      <c r="N191" s="38">
        <f>IF(M191=0, 0, IF(OR($K$6="Square Grid", M191=1), INT($G$7/H191), IF($G$7&lt;H191, 0, 1+INT(($G$7-H191)/(0.8660254*H191)))))</f>
        <v/>
      </c>
      <c r="O191" s="41">
        <f>IF(OR(M191=0,N191=0), 0, IF(OR($K$6="Square Grid", M191=1), M191*N191*$K$5, (INT((N191+1)/2)*M191 + INT(N191/2)*IF(($G$6-M191*H191)&gt;=0.5*H191, M191, M191-1))*$K$5))</f>
        <v/>
      </c>
      <c r="P191" s="41">
        <f>IF(L191&lt;=0, 0, INT($G$8/L191))</f>
        <v/>
      </c>
      <c r="Q191" s="42">
        <f>MIN(O191, P191)</f>
        <v/>
      </c>
      <c r="R191" s="43">
        <f>ROUND((Q191*L191)/1000, 2)</f>
        <v/>
      </c>
      <c r="S191" s="44">
        <f>IF($C$8&gt;0, R191/$C$8, 0)</f>
        <v/>
      </c>
      <c r="T191" s="44">
        <f>IF(O191&gt;0, Q191/O191, 0)</f>
        <v/>
      </c>
      <c r="U191" s="12">
        <f>IF(Q191=0, "Exceeds Limit", IF(P191&lt;=O191, "Weight Limited", "Volume Limited"))</f>
        <v/>
      </c>
    </row>
    <row r="192" ht="19" customHeight="1">
      <c r="A192" s="45" t="n">
        <v>182</v>
      </c>
      <c r="B192" s="46" t="inlineStr">
        <is>
          <t>Carbon Steel</t>
        </is>
      </c>
      <c r="C192" s="19" t="inlineStr">
        <is>
          <t>ASME B36.10M</t>
        </is>
      </c>
      <c r="D192" s="18" t="inlineStr">
        <is>
          <t>14''</t>
        </is>
      </c>
      <c r="E192" s="45" t="n">
        <v>350</v>
      </c>
      <c r="F192" s="18" t="inlineStr">
        <is>
          <t>160</t>
        </is>
      </c>
      <c r="G192" s="20" t="n">
        <v>14</v>
      </c>
      <c r="H192" s="47" t="n">
        <v>355.6</v>
      </c>
      <c r="I192" s="20" t="n">
        <v>1.406</v>
      </c>
      <c r="J192" s="47" t="n">
        <v>35.71</v>
      </c>
      <c r="K192" s="20">
        <f>ROUND((H192-J192)*J192*IF(B192="Carbon Steel",$K$7,IF(B192="Stainless Steel 304",$K$8,$L$8)), 3)</f>
        <v/>
      </c>
      <c r="L192" s="47">
        <f>ROUND(K192*$G$5, 2)</f>
        <v/>
      </c>
      <c r="M192" s="45">
        <f>INT($G$6/H192)</f>
        <v/>
      </c>
      <c r="N192" s="45">
        <f>IF(M192=0, 0, IF(OR($K$6="Square Grid", M192=1), INT($G$7/H192), IF($G$7&lt;H192, 0, 1+INT(($G$7-H192)/(0.8660254*H192)))))</f>
        <v/>
      </c>
      <c r="O192" s="48">
        <f>IF(OR(M192=0,N192=0), 0, IF(OR($K$6="Square Grid", M192=1), M192*N192*$K$5, (INT((N192+1)/2)*M192 + INT(N192/2)*IF(($G$6-M192*H192)&gt;=0.5*H192, M192, M192-1))*$K$5))</f>
        <v/>
      </c>
      <c r="P192" s="48">
        <f>IF(L192&lt;=0, 0, INT($G$8/L192))</f>
        <v/>
      </c>
      <c r="Q192" s="42">
        <f>MIN(O192, P192)</f>
        <v/>
      </c>
      <c r="R192" s="43">
        <f>ROUND((Q192*L192)/1000, 2)</f>
        <v/>
      </c>
      <c r="S192" s="49">
        <f>IF($C$8&gt;0, R192/$C$8, 0)</f>
        <v/>
      </c>
      <c r="T192" s="49">
        <f>IF(O192&gt;0, Q192/O192, 0)</f>
        <v/>
      </c>
      <c r="U192" s="18">
        <f>IF(Q192=0, "Exceeds Limit", IF(P192&lt;=O192, "Weight Limited", "Volume Limited"))</f>
        <v/>
      </c>
    </row>
    <row r="193" ht="19" customHeight="1">
      <c r="A193" s="38" t="n">
        <v>183</v>
      </c>
      <c r="B193" s="39" t="inlineStr">
        <is>
          <t>Carbon Steel</t>
        </is>
      </c>
      <c r="C193" s="13" t="inlineStr">
        <is>
          <t>ASME B36.10M</t>
        </is>
      </c>
      <c r="D193" s="12" t="inlineStr">
        <is>
          <t>16''</t>
        </is>
      </c>
      <c r="E193" s="38" t="n">
        <v>400</v>
      </c>
      <c r="F193" s="12" t="inlineStr">
        <is>
          <t>5</t>
        </is>
      </c>
      <c r="G193" s="14" t="n">
        <v>16</v>
      </c>
      <c r="H193" s="40" t="n">
        <v>406.4</v>
      </c>
      <c r="I193" s="14" t="n">
        <v>0.165</v>
      </c>
      <c r="J193" s="40" t="n">
        <v>4.19</v>
      </c>
      <c r="K193" s="14">
        <f>ROUND((H193-J193)*J193*IF(B193="Carbon Steel",$K$7,IF(B193="Stainless Steel 304",$K$8,$L$8)), 3)</f>
        <v/>
      </c>
      <c r="L193" s="40">
        <f>ROUND(K193*$G$5, 2)</f>
        <v/>
      </c>
      <c r="M193" s="38">
        <f>INT($G$6/H193)</f>
        <v/>
      </c>
      <c r="N193" s="38">
        <f>IF(M193=0, 0, IF(OR($K$6="Square Grid", M193=1), INT($G$7/H193), IF($G$7&lt;H193, 0, 1+INT(($G$7-H193)/(0.8660254*H193)))))</f>
        <v/>
      </c>
      <c r="O193" s="41">
        <f>IF(OR(M193=0,N193=0), 0, IF(OR($K$6="Square Grid", M193=1), M193*N193*$K$5, (INT((N193+1)/2)*M193 + INT(N193/2)*IF(($G$6-M193*H193)&gt;=0.5*H193, M193, M193-1))*$K$5))</f>
        <v/>
      </c>
      <c r="P193" s="41">
        <f>IF(L193&lt;=0, 0, INT($G$8/L193))</f>
        <v/>
      </c>
      <c r="Q193" s="42">
        <f>MIN(O193, P193)</f>
        <v/>
      </c>
      <c r="R193" s="43">
        <f>ROUND((Q193*L193)/1000, 2)</f>
        <v/>
      </c>
      <c r="S193" s="44">
        <f>IF($C$8&gt;0, R193/$C$8, 0)</f>
        <v/>
      </c>
      <c r="T193" s="44">
        <f>IF(O193&gt;0, Q193/O193, 0)</f>
        <v/>
      </c>
      <c r="U193" s="12">
        <f>IF(Q193=0, "Exceeds Limit", IF(P193&lt;=O193, "Weight Limited", "Volume Limited"))</f>
        <v/>
      </c>
    </row>
    <row r="194" ht="19" customHeight="1">
      <c r="A194" s="45" t="n">
        <v>184</v>
      </c>
      <c r="B194" s="46" t="inlineStr">
        <is>
          <t>Carbon Steel</t>
        </is>
      </c>
      <c r="C194" s="19" t="inlineStr">
        <is>
          <t>ASME B36.10M</t>
        </is>
      </c>
      <c r="D194" s="18" t="inlineStr">
        <is>
          <t>16''</t>
        </is>
      </c>
      <c r="E194" s="45" t="n">
        <v>400</v>
      </c>
      <c r="F194" s="18" t="inlineStr">
        <is>
          <t>10</t>
        </is>
      </c>
      <c r="G194" s="20" t="n">
        <v>16</v>
      </c>
      <c r="H194" s="47" t="n">
        <v>406.4</v>
      </c>
      <c r="I194" s="20" t="n">
        <v>0.25</v>
      </c>
      <c r="J194" s="47" t="n">
        <v>6.35</v>
      </c>
      <c r="K194" s="20">
        <f>ROUND((H194-J194)*J194*IF(B194="Carbon Steel",$K$7,IF(B194="Stainless Steel 304",$K$8,$L$8)), 3)</f>
        <v/>
      </c>
      <c r="L194" s="47">
        <f>ROUND(K194*$G$5, 2)</f>
        <v/>
      </c>
      <c r="M194" s="45">
        <f>INT($G$6/H194)</f>
        <v/>
      </c>
      <c r="N194" s="45">
        <f>IF(M194=0, 0, IF(OR($K$6="Square Grid", M194=1), INT($G$7/H194), IF($G$7&lt;H194, 0, 1+INT(($G$7-H194)/(0.8660254*H194)))))</f>
        <v/>
      </c>
      <c r="O194" s="48">
        <f>IF(OR(M194=0,N194=0), 0, IF(OR($K$6="Square Grid", M194=1), M194*N194*$K$5, (INT((N194+1)/2)*M194 + INT(N194/2)*IF(($G$6-M194*H194)&gt;=0.5*H194, M194, M194-1))*$K$5))</f>
        <v/>
      </c>
      <c r="P194" s="48">
        <f>IF(L194&lt;=0, 0, INT($G$8/L194))</f>
        <v/>
      </c>
      <c r="Q194" s="42">
        <f>MIN(O194, P194)</f>
        <v/>
      </c>
      <c r="R194" s="43">
        <f>ROUND((Q194*L194)/1000, 2)</f>
        <v/>
      </c>
      <c r="S194" s="49">
        <f>IF($C$8&gt;0, R194/$C$8, 0)</f>
        <v/>
      </c>
      <c r="T194" s="49">
        <f>IF(O194&gt;0, Q194/O194, 0)</f>
        <v/>
      </c>
      <c r="U194" s="18">
        <f>IF(Q194=0, "Exceeds Limit", IF(P194&lt;=O194, "Weight Limited", "Volume Limited"))</f>
        <v/>
      </c>
    </row>
    <row r="195" ht="19" customHeight="1">
      <c r="A195" s="38" t="n">
        <v>185</v>
      </c>
      <c r="B195" s="39" t="inlineStr">
        <is>
          <t>Carbon Steel</t>
        </is>
      </c>
      <c r="C195" s="13" t="inlineStr">
        <is>
          <t>ASME B36.10M</t>
        </is>
      </c>
      <c r="D195" s="12" t="inlineStr">
        <is>
          <t>16''</t>
        </is>
      </c>
      <c r="E195" s="38" t="n">
        <v>400</v>
      </c>
      <c r="F195" s="12" t="inlineStr">
        <is>
          <t>20</t>
        </is>
      </c>
      <c r="G195" s="14" t="n">
        <v>16</v>
      </c>
      <c r="H195" s="40" t="n">
        <v>406.4</v>
      </c>
      <c r="I195" s="14" t="n">
        <v>0.312</v>
      </c>
      <c r="J195" s="40" t="n">
        <v>7.92</v>
      </c>
      <c r="K195" s="14">
        <f>ROUND((H195-J195)*J195*IF(B195="Carbon Steel",$K$7,IF(B195="Stainless Steel 304",$K$8,$L$8)), 3)</f>
        <v/>
      </c>
      <c r="L195" s="40">
        <f>ROUND(K195*$G$5, 2)</f>
        <v/>
      </c>
      <c r="M195" s="38">
        <f>INT($G$6/H195)</f>
        <v/>
      </c>
      <c r="N195" s="38">
        <f>IF(M195=0, 0, IF(OR($K$6="Square Grid", M195=1), INT($G$7/H195), IF($G$7&lt;H195, 0, 1+INT(($G$7-H195)/(0.8660254*H195)))))</f>
        <v/>
      </c>
      <c r="O195" s="41">
        <f>IF(OR(M195=0,N195=0), 0, IF(OR($K$6="Square Grid", M195=1), M195*N195*$K$5, (INT((N195+1)/2)*M195 + INT(N195/2)*IF(($G$6-M195*H195)&gt;=0.5*H195, M195, M195-1))*$K$5))</f>
        <v/>
      </c>
      <c r="P195" s="41">
        <f>IF(L195&lt;=0, 0, INT($G$8/L195))</f>
        <v/>
      </c>
      <c r="Q195" s="42">
        <f>MIN(O195, P195)</f>
        <v/>
      </c>
      <c r="R195" s="43">
        <f>ROUND((Q195*L195)/1000, 2)</f>
        <v/>
      </c>
      <c r="S195" s="44">
        <f>IF($C$8&gt;0, R195/$C$8, 0)</f>
        <v/>
      </c>
      <c r="T195" s="44">
        <f>IF(O195&gt;0, Q195/O195, 0)</f>
        <v/>
      </c>
      <c r="U195" s="12">
        <f>IF(Q195=0, "Exceeds Limit", IF(P195&lt;=O195, "Weight Limited", "Volume Limited"))</f>
        <v/>
      </c>
    </row>
    <row r="196" ht="19" customHeight="1">
      <c r="A196" s="45" t="n">
        <v>186</v>
      </c>
      <c r="B196" s="46" t="inlineStr">
        <is>
          <t>Carbon Steel</t>
        </is>
      </c>
      <c r="C196" s="19" t="inlineStr">
        <is>
          <t>ASME B36.10M</t>
        </is>
      </c>
      <c r="D196" s="18" t="inlineStr">
        <is>
          <t>16''</t>
        </is>
      </c>
      <c r="E196" s="45" t="n">
        <v>400</v>
      </c>
      <c r="F196" s="18" t="inlineStr">
        <is>
          <t>30</t>
        </is>
      </c>
      <c r="G196" s="20" t="n">
        <v>16</v>
      </c>
      <c r="H196" s="47" t="n">
        <v>406.4</v>
      </c>
      <c r="I196" s="20" t="n">
        <v>0.375</v>
      </c>
      <c r="J196" s="47" t="n">
        <v>9.52</v>
      </c>
      <c r="K196" s="20">
        <f>ROUND((H196-J196)*J196*IF(B196="Carbon Steel",$K$7,IF(B196="Stainless Steel 304",$K$8,$L$8)), 3)</f>
        <v/>
      </c>
      <c r="L196" s="47">
        <f>ROUND(K196*$G$5, 2)</f>
        <v/>
      </c>
      <c r="M196" s="45">
        <f>INT($G$6/H196)</f>
        <v/>
      </c>
      <c r="N196" s="45">
        <f>IF(M196=0, 0, IF(OR($K$6="Square Grid", M196=1), INT($G$7/H196), IF($G$7&lt;H196, 0, 1+INT(($G$7-H196)/(0.8660254*H196)))))</f>
        <v/>
      </c>
      <c r="O196" s="48">
        <f>IF(OR(M196=0,N196=0), 0, IF(OR($K$6="Square Grid", M196=1), M196*N196*$K$5, (INT((N196+1)/2)*M196 + INT(N196/2)*IF(($G$6-M196*H196)&gt;=0.5*H196, M196, M196-1))*$K$5))</f>
        <v/>
      </c>
      <c r="P196" s="48">
        <f>IF(L196&lt;=0, 0, INT($G$8/L196))</f>
        <v/>
      </c>
      <c r="Q196" s="42">
        <f>MIN(O196, P196)</f>
        <v/>
      </c>
      <c r="R196" s="43">
        <f>ROUND((Q196*L196)/1000, 2)</f>
        <v/>
      </c>
      <c r="S196" s="49">
        <f>IF($C$8&gt;0, R196/$C$8, 0)</f>
        <v/>
      </c>
      <c r="T196" s="49">
        <f>IF(O196&gt;0, Q196/O196, 0)</f>
        <v/>
      </c>
      <c r="U196" s="18">
        <f>IF(Q196=0, "Exceeds Limit", IF(P196&lt;=O196, "Weight Limited", "Volume Limited"))</f>
        <v/>
      </c>
    </row>
    <row r="197" ht="19" customHeight="1">
      <c r="A197" s="38" t="n">
        <v>187</v>
      </c>
      <c r="B197" s="39" t="inlineStr">
        <is>
          <t>Carbon Steel</t>
        </is>
      </c>
      <c r="C197" s="13" t="inlineStr">
        <is>
          <t>ASME B36.10M</t>
        </is>
      </c>
      <c r="D197" s="12" t="inlineStr">
        <is>
          <t>16''</t>
        </is>
      </c>
      <c r="E197" s="38" t="n">
        <v>400</v>
      </c>
      <c r="F197" s="12" t="inlineStr">
        <is>
          <t>STD</t>
        </is>
      </c>
      <c r="G197" s="14" t="n">
        <v>16</v>
      </c>
      <c r="H197" s="40" t="n">
        <v>406.4</v>
      </c>
      <c r="I197" s="14" t="n">
        <v>0.375</v>
      </c>
      <c r="J197" s="40" t="n">
        <v>9.52</v>
      </c>
      <c r="K197" s="14">
        <f>ROUND((H197-J197)*J197*IF(B197="Carbon Steel",$K$7,IF(B197="Stainless Steel 304",$K$8,$L$8)), 3)</f>
        <v/>
      </c>
      <c r="L197" s="40">
        <f>ROUND(K197*$G$5, 2)</f>
        <v/>
      </c>
      <c r="M197" s="38">
        <f>INT($G$6/H197)</f>
        <v/>
      </c>
      <c r="N197" s="38">
        <f>IF(M197=0, 0, IF(OR($K$6="Square Grid", M197=1), INT($G$7/H197), IF($G$7&lt;H197, 0, 1+INT(($G$7-H197)/(0.8660254*H197)))))</f>
        <v/>
      </c>
      <c r="O197" s="41">
        <f>IF(OR(M197=0,N197=0), 0, IF(OR($K$6="Square Grid", M197=1), M197*N197*$K$5, (INT((N197+1)/2)*M197 + INT(N197/2)*IF(($G$6-M197*H197)&gt;=0.5*H197, M197, M197-1))*$K$5))</f>
        <v/>
      </c>
      <c r="P197" s="41">
        <f>IF(L197&lt;=0, 0, INT($G$8/L197))</f>
        <v/>
      </c>
      <c r="Q197" s="42">
        <f>MIN(O197, P197)</f>
        <v/>
      </c>
      <c r="R197" s="43">
        <f>ROUND((Q197*L197)/1000, 2)</f>
        <v/>
      </c>
      <c r="S197" s="44">
        <f>IF($C$8&gt;0, R197/$C$8, 0)</f>
        <v/>
      </c>
      <c r="T197" s="44">
        <f>IF(O197&gt;0, Q197/O197, 0)</f>
        <v/>
      </c>
      <c r="U197" s="12">
        <f>IF(Q197=0, "Exceeds Limit", IF(P197&lt;=O197, "Weight Limited", "Volume Limited"))</f>
        <v/>
      </c>
    </row>
    <row r="198" ht="19" customHeight="1">
      <c r="A198" s="45" t="n">
        <v>188</v>
      </c>
      <c r="B198" s="46" t="inlineStr">
        <is>
          <t>Carbon Steel</t>
        </is>
      </c>
      <c r="C198" s="19" t="inlineStr">
        <is>
          <t>ASME B36.10M</t>
        </is>
      </c>
      <c r="D198" s="18" t="inlineStr">
        <is>
          <t>16''</t>
        </is>
      </c>
      <c r="E198" s="45" t="n">
        <v>400</v>
      </c>
      <c r="F198" s="18" t="inlineStr">
        <is>
          <t>40</t>
        </is>
      </c>
      <c r="G198" s="20" t="n">
        <v>16</v>
      </c>
      <c r="H198" s="47" t="n">
        <v>406.4</v>
      </c>
      <c r="I198" s="20" t="n">
        <v>0.5</v>
      </c>
      <c r="J198" s="47" t="n">
        <v>12.7</v>
      </c>
      <c r="K198" s="20">
        <f>ROUND((H198-J198)*J198*IF(B198="Carbon Steel",$K$7,IF(B198="Stainless Steel 304",$K$8,$L$8)), 3)</f>
        <v/>
      </c>
      <c r="L198" s="47">
        <f>ROUND(K198*$G$5, 2)</f>
        <v/>
      </c>
      <c r="M198" s="45">
        <f>INT($G$6/H198)</f>
        <v/>
      </c>
      <c r="N198" s="45">
        <f>IF(M198=0, 0, IF(OR($K$6="Square Grid", M198=1), INT($G$7/H198), IF($G$7&lt;H198, 0, 1+INT(($G$7-H198)/(0.8660254*H198)))))</f>
        <v/>
      </c>
      <c r="O198" s="48">
        <f>IF(OR(M198=0,N198=0), 0, IF(OR($K$6="Square Grid", M198=1), M198*N198*$K$5, (INT((N198+1)/2)*M198 + INT(N198/2)*IF(($G$6-M198*H198)&gt;=0.5*H198, M198, M198-1))*$K$5))</f>
        <v/>
      </c>
      <c r="P198" s="48">
        <f>IF(L198&lt;=0, 0, INT($G$8/L198))</f>
        <v/>
      </c>
      <c r="Q198" s="42">
        <f>MIN(O198, P198)</f>
        <v/>
      </c>
      <c r="R198" s="43">
        <f>ROUND((Q198*L198)/1000, 2)</f>
        <v/>
      </c>
      <c r="S198" s="49">
        <f>IF($C$8&gt;0, R198/$C$8, 0)</f>
        <v/>
      </c>
      <c r="T198" s="49">
        <f>IF(O198&gt;0, Q198/O198, 0)</f>
        <v/>
      </c>
      <c r="U198" s="18">
        <f>IF(Q198=0, "Exceeds Limit", IF(P198&lt;=O198, "Weight Limited", "Volume Limited"))</f>
        <v/>
      </c>
    </row>
    <row r="199" ht="19" customHeight="1">
      <c r="A199" s="38" t="n">
        <v>189</v>
      </c>
      <c r="B199" s="39" t="inlineStr">
        <is>
          <t>Carbon Steel</t>
        </is>
      </c>
      <c r="C199" s="13" t="inlineStr">
        <is>
          <t>ASME B36.10M</t>
        </is>
      </c>
      <c r="D199" s="12" t="inlineStr">
        <is>
          <t>16''</t>
        </is>
      </c>
      <c r="E199" s="38" t="n">
        <v>400</v>
      </c>
      <c r="F199" s="12" t="inlineStr">
        <is>
          <t>60</t>
        </is>
      </c>
      <c r="G199" s="14" t="n">
        <v>16</v>
      </c>
      <c r="H199" s="40" t="n">
        <v>406.4</v>
      </c>
      <c r="I199" s="14" t="n">
        <v>0.656</v>
      </c>
      <c r="J199" s="40" t="n">
        <v>16.66</v>
      </c>
      <c r="K199" s="14">
        <f>ROUND((H199-J199)*J199*IF(B199="Carbon Steel",$K$7,IF(B199="Stainless Steel 304",$K$8,$L$8)), 3)</f>
        <v/>
      </c>
      <c r="L199" s="40">
        <f>ROUND(K199*$G$5, 2)</f>
        <v/>
      </c>
      <c r="M199" s="38">
        <f>INT($G$6/H199)</f>
        <v/>
      </c>
      <c r="N199" s="38">
        <f>IF(M199=0, 0, IF(OR($K$6="Square Grid", M199=1), INT($G$7/H199), IF($G$7&lt;H199, 0, 1+INT(($G$7-H199)/(0.8660254*H199)))))</f>
        <v/>
      </c>
      <c r="O199" s="41">
        <f>IF(OR(M199=0,N199=0), 0, IF(OR($K$6="Square Grid", M199=1), M199*N199*$K$5, (INT((N199+1)/2)*M199 + INT(N199/2)*IF(($G$6-M199*H199)&gt;=0.5*H199, M199, M199-1))*$K$5))</f>
        <v/>
      </c>
      <c r="P199" s="41">
        <f>IF(L199&lt;=0, 0, INT($G$8/L199))</f>
        <v/>
      </c>
      <c r="Q199" s="42">
        <f>MIN(O199, P199)</f>
        <v/>
      </c>
      <c r="R199" s="43">
        <f>ROUND((Q199*L199)/1000, 2)</f>
        <v/>
      </c>
      <c r="S199" s="44">
        <f>IF($C$8&gt;0, R199/$C$8, 0)</f>
        <v/>
      </c>
      <c r="T199" s="44">
        <f>IF(O199&gt;0, Q199/O199, 0)</f>
        <v/>
      </c>
      <c r="U199" s="12">
        <f>IF(Q199=0, "Exceeds Limit", IF(P199&lt;=O199, "Weight Limited", "Volume Limited"))</f>
        <v/>
      </c>
    </row>
    <row r="200" ht="19" customHeight="1">
      <c r="A200" s="45" t="n">
        <v>190</v>
      </c>
      <c r="B200" s="46" t="inlineStr">
        <is>
          <t>Carbon Steel</t>
        </is>
      </c>
      <c r="C200" s="19" t="inlineStr">
        <is>
          <t>ASME B36.10M</t>
        </is>
      </c>
      <c r="D200" s="18" t="inlineStr">
        <is>
          <t>16''</t>
        </is>
      </c>
      <c r="E200" s="45" t="n">
        <v>400</v>
      </c>
      <c r="F200" s="18" t="inlineStr">
        <is>
          <t>XS</t>
        </is>
      </c>
      <c r="G200" s="20" t="n">
        <v>16</v>
      </c>
      <c r="H200" s="47" t="n">
        <v>406.4</v>
      </c>
      <c r="I200" s="20" t="n">
        <v>0.5</v>
      </c>
      <c r="J200" s="47" t="n">
        <v>12.7</v>
      </c>
      <c r="K200" s="20">
        <f>ROUND((H200-J200)*J200*IF(B200="Carbon Steel",$K$7,IF(B200="Stainless Steel 304",$K$8,$L$8)), 3)</f>
        <v/>
      </c>
      <c r="L200" s="47">
        <f>ROUND(K200*$G$5, 2)</f>
        <v/>
      </c>
      <c r="M200" s="45">
        <f>INT($G$6/H200)</f>
        <v/>
      </c>
      <c r="N200" s="45">
        <f>IF(M200=0, 0, IF(OR($K$6="Square Grid", M200=1), INT($G$7/H200), IF($G$7&lt;H200, 0, 1+INT(($G$7-H200)/(0.8660254*H200)))))</f>
        <v/>
      </c>
      <c r="O200" s="48">
        <f>IF(OR(M200=0,N200=0), 0, IF(OR($K$6="Square Grid", M200=1), M200*N200*$K$5, (INT((N200+1)/2)*M200 + INT(N200/2)*IF(($G$6-M200*H200)&gt;=0.5*H200, M200, M200-1))*$K$5))</f>
        <v/>
      </c>
      <c r="P200" s="48">
        <f>IF(L200&lt;=0, 0, INT($G$8/L200))</f>
        <v/>
      </c>
      <c r="Q200" s="42">
        <f>MIN(O200, P200)</f>
        <v/>
      </c>
      <c r="R200" s="43">
        <f>ROUND((Q200*L200)/1000, 2)</f>
        <v/>
      </c>
      <c r="S200" s="49">
        <f>IF($C$8&gt;0, R200/$C$8, 0)</f>
        <v/>
      </c>
      <c r="T200" s="49">
        <f>IF(O200&gt;0, Q200/O200, 0)</f>
        <v/>
      </c>
      <c r="U200" s="18">
        <f>IF(Q200=0, "Exceeds Limit", IF(P200&lt;=O200, "Weight Limited", "Volume Limited"))</f>
        <v/>
      </c>
    </row>
    <row r="201" ht="19" customHeight="1">
      <c r="A201" s="38" t="n">
        <v>191</v>
      </c>
      <c r="B201" s="39" t="inlineStr">
        <is>
          <t>Carbon Steel</t>
        </is>
      </c>
      <c r="C201" s="13" t="inlineStr">
        <is>
          <t>ASME B36.10M</t>
        </is>
      </c>
      <c r="D201" s="12" t="inlineStr">
        <is>
          <t>16''</t>
        </is>
      </c>
      <c r="E201" s="38" t="n">
        <v>400</v>
      </c>
      <c r="F201" s="12" t="inlineStr">
        <is>
          <t>80</t>
        </is>
      </c>
      <c r="G201" s="14" t="n">
        <v>16</v>
      </c>
      <c r="H201" s="40" t="n">
        <v>406.4</v>
      </c>
      <c r="I201" s="14" t="n">
        <v>0.844</v>
      </c>
      <c r="J201" s="40" t="n">
        <v>21.44</v>
      </c>
      <c r="K201" s="14">
        <f>ROUND((H201-J201)*J201*IF(B201="Carbon Steel",$K$7,IF(B201="Stainless Steel 304",$K$8,$L$8)), 3)</f>
        <v/>
      </c>
      <c r="L201" s="40">
        <f>ROUND(K201*$G$5, 2)</f>
        <v/>
      </c>
      <c r="M201" s="38">
        <f>INT($G$6/H201)</f>
        <v/>
      </c>
      <c r="N201" s="38">
        <f>IF(M201=0, 0, IF(OR($K$6="Square Grid", M201=1), INT($G$7/H201), IF($G$7&lt;H201, 0, 1+INT(($G$7-H201)/(0.8660254*H201)))))</f>
        <v/>
      </c>
      <c r="O201" s="41">
        <f>IF(OR(M201=0,N201=0), 0, IF(OR($K$6="Square Grid", M201=1), M201*N201*$K$5, (INT((N201+1)/2)*M201 + INT(N201/2)*IF(($G$6-M201*H201)&gt;=0.5*H201, M201, M201-1))*$K$5))</f>
        <v/>
      </c>
      <c r="P201" s="41">
        <f>IF(L201&lt;=0, 0, INT($G$8/L201))</f>
        <v/>
      </c>
      <c r="Q201" s="42">
        <f>MIN(O201, P201)</f>
        <v/>
      </c>
      <c r="R201" s="43">
        <f>ROUND((Q201*L201)/1000, 2)</f>
        <v/>
      </c>
      <c r="S201" s="44">
        <f>IF($C$8&gt;0, R201/$C$8, 0)</f>
        <v/>
      </c>
      <c r="T201" s="44">
        <f>IF(O201&gt;0, Q201/O201, 0)</f>
        <v/>
      </c>
      <c r="U201" s="12">
        <f>IF(Q201=0, "Exceeds Limit", IF(P201&lt;=O201, "Weight Limited", "Volume Limited"))</f>
        <v/>
      </c>
    </row>
    <row r="202" ht="19" customHeight="1">
      <c r="A202" s="45" t="n">
        <v>192</v>
      </c>
      <c r="B202" s="46" t="inlineStr">
        <is>
          <t>Carbon Steel</t>
        </is>
      </c>
      <c r="C202" s="19" t="inlineStr">
        <is>
          <t>ASME B36.10M</t>
        </is>
      </c>
      <c r="D202" s="18" t="inlineStr">
        <is>
          <t>16''</t>
        </is>
      </c>
      <c r="E202" s="45" t="n">
        <v>400</v>
      </c>
      <c r="F202" s="18" t="inlineStr">
        <is>
          <t>100</t>
        </is>
      </c>
      <c r="G202" s="20" t="n">
        <v>16</v>
      </c>
      <c r="H202" s="47" t="n">
        <v>406.4</v>
      </c>
      <c r="I202" s="20" t="n">
        <v>1.031</v>
      </c>
      <c r="J202" s="47" t="n">
        <v>26.19</v>
      </c>
      <c r="K202" s="20">
        <f>ROUND((H202-J202)*J202*IF(B202="Carbon Steel",$K$7,IF(B202="Stainless Steel 304",$K$8,$L$8)), 3)</f>
        <v/>
      </c>
      <c r="L202" s="47">
        <f>ROUND(K202*$G$5, 2)</f>
        <v/>
      </c>
      <c r="M202" s="45">
        <f>INT($G$6/H202)</f>
        <v/>
      </c>
      <c r="N202" s="45">
        <f>IF(M202=0, 0, IF(OR($K$6="Square Grid", M202=1), INT($G$7/H202), IF($G$7&lt;H202, 0, 1+INT(($G$7-H202)/(0.8660254*H202)))))</f>
        <v/>
      </c>
      <c r="O202" s="48">
        <f>IF(OR(M202=0,N202=0), 0, IF(OR($K$6="Square Grid", M202=1), M202*N202*$K$5, (INT((N202+1)/2)*M202 + INT(N202/2)*IF(($G$6-M202*H202)&gt;=0.5*H202, M202, M202-1))*$K$5))</f>
        <v/>
      </c>
      <c r="P202" s="48">
        <f>IF(L202&lt;=0, 0, INT($G$8/L202))</f>
        <v/>
      </c>
      <c r="Q202" s="42">
        <f>MIN(O202, P202)</f>
        <v/>
      </c>
      <c r="R202" s="43">
        <f>ROUND((Q202*L202)/1000, 2)</f>
        <v/>
      </c>
      <c r="S202" s="49">
        <f>IF($C$8&gt;0, R202/$C$8, 0)</f>
        <v/>
      </c>
      <c r="T202" s="49">
        <f>IF(O202&gt;0, Q202/O202, 0)</f>
        <v/>
      </c>
      <c r="U202" s="18">
        <f>IF(Q202=0, "Exceeds Limit", IF(P202&lt;=O202, "Weight Limited", "Volume Limited"))</f>
        <v/>
      </c>
    </row>
    <row r="203" ht="19" customHeight="1">
      <c r="A203" s="38" t="n">
        <v>193</v>
      </c>
      <c r="B203" s="39" t="inlineStr">
        <is>
          <t>Carbon Steel</t>
        </is>
      </c>
      <c r="C203" s="13" t="inlineStr">
        <is>
          <t>ASME B36.10M</t>
        </is>
      </c>
      <c r="D203" s="12" t="inlineStr">
        <is>
          <t>16''</t>
        </is>
      </c>
      <c r="E203" s="38" t="n">
        <v>400</v>
      </c>
      <c r="F203" s="12" t="inlineStr">
        <is>
          <t>120</t>
        </is>
      </c>
      <c r="G203" s="14" t="n">
        <v>16</v>
      </c>
      <c r="H203" s="40" t="n">
        <v>406.4</v>
      </c>
      <c r="I203" s="14" t="n">
        <v>1.219</v>
      </c>
      <c r="J203" s="40" t="n">
        <v>30.96</v>
      </c>
      <c r="K203" s="14">
        <f>ROUND((H203-J203)*J203*IF(B203="Carbon Steel",$K$7,IF(B203="Stainless Steel 304",$K$8,$L$8)), 3)</f>
        <v/>
      </c>
      <c r="L203" s="40">
        <f>ROUND(K203*$G$5, 2)</f>
        <v/>
      </c>
      <c r="M203" s="38">
        <f>INT($G$6/H203)</f>
        <v/>
      </c>
      <c r="N203" s="38">
        <f>IF(M203=0, 0, IF(OR($K$6="Square Grid", M203=1), INT($G$7/H203), IF($G$7&lt;H203, 0, 1+INT(($G$7-H203)/(0.8660254*H203)))))</f>
        <v/>
      </c>
      <c r="O203" s="41">
        <f>IF(OR(M203=0,N203=0), 0, IF(OR($K$6="Square Grid", M203=1), M203*N203*$K$5, (INT((N203+1)/2)*M203 + INT(N203/2)*IF(($G$6-M203*H203)&gt;=0.5*H203, M203, M203-1))*$K$5))</f>
        <v/>
      </c>
      <c r="P203" s="41">
        <f>IF(L203&lt;=0, 0, INT($G$8/L203))</f>
        <v/>
      </c>
      <c r="Q203" s="42">
        <f>MIN(O203, P203)</f>
        <v/>
      </c>
      <c r="R203" s="43">
        <f>ROUND((Q203*L203)/1000, 2)</f>
        <v/>
      </c>
      <c r="S203" s="44">
        <f>IF($C$8&gt;0, R203/$C$8, 0)</f>
        <v/>
      </c>
      <c r="T203" s="44">
        <f>IF(O203&gt;0, Q203/O203, 0)</f>
        <v/>
      </c>
      <c r="U203" s="12">
        <f>IF(Q203=0, "Exceeds Limit", IF(P203&lt;=O203, "Weight Limited", "Volume Limited"))</f>
        <v/>
      </c>
    </row>
    <row r="204" ht="19" customHeight="1">
      <c r="A204" s="45" t="n">
        <v>194</v>
      </c>
      <c r="B204" s="46" t="inlineStr">
        <is>
          <t>Carbon Steel</t>
        </is>
      </c>
      <c r="C204" s="19" t="inlineStr">
        <is>
          <t>ASME B36.10M</t>
        </is>
      </c>
      <c r="D204" s="18" t="inlineStr">
        <is>
          <t>16''</t>
        </is>
      </c>
      <c r="E204" s="45" t="n">
        <v>400</v>
      </c>
      <c r="F204" s="18" t="inlineStr">
        <is>
          <t>140</t>
        </is>
      </c>
      <c r="G204" s="20" t="n">
        <v>16</v>
      </c>
      <c r="H204" s="47" t="n">
        <v>406.4</v>
      </c>
      <c r="I204" s="20" t="n">
        <v>1.438</v>
      </c>
      <c r="J204" s="47" t="n">
        <v>36.53</v>
      </c>
      <c r="K204" s="20">
        <f>ROUND((H204-J204)*J204*IF(B204="Carbon Steel",$K$7,IF(B204="Stainless Steel 304",$K$8,$L$8)), 3)</f>
        <v/>
      </c>
      <c r="L204" s="47">
        <f>ROUND(K204*$G$5, 2)</f>
        <v/>
      </c>
      <c r="M204" s="45">
        <f>INT($G$6/H204)</f>
        <v/>
      </c>
      <c r="N204" s="45">
        <f>IF(M204=0, 0, IF(OR($K$6="Square Grid", M204=1), INT($G$7/H204), IF($G$7&lt;H204, 0, 1+INT(($G$7-H204)/(0.8660254*H204)))))</f>
        <v/>
      </c>
      <c r="O204" s="48">
        <f>IF(OR(M204=0,N204=0), 0, IF(OR($K$6="Square Grid", M204=1), M204*N204*$K$5, (INT((N204+1)/2)*M204 + INT(N204/2)*IF(($G$6-M204*H204)&gt;=0.5*H204, M204, M204-1))*$K$5))</f>
        <v/>
      </c>
      <c r="P204" s="48">
        <f>IF(L204&lt;=0, 0, INT($G$8/L204))</f>
        <v/>
      </c>
      <c r="Q204" s="42">
        <f>MIN(O204, P204)</f>
        <v/>
      </c>
      <c r="R204" s="43">
        <f>ROUND((Q204*L204)/1000, 2)</f>
        <v/>
      </c>
      <c r="S204" s="49">
        <f>IF($C$8&gt;0, R204/$C$8, 0)</f>
        <v/>
      </c>
      <c r="T204" s="49">
        <f>IF(O204&gt;0, Q204/O204, 0)</f>
        <v/>
      </c>
      <c r="U204" s="18">
        <f>IF(Q204=0, "Exceeds Limit", IF(P204&lt;=O204, "Weight Limited", "Volume Limited"))</f>
        <v/>
      </c>
    </row>
    <row r="205" ht="19" customHeight="1">
      <c r="A205" s="38" t="n">
        <v>195</v>
      </c>
      <c r="B205" s="39" t="inlineStr">
        <is>
          <t>Carbon Steel</t>
        </is>
      </c>
      <c r="C205" s="13" t="inlineStr">
        <is>
          <t>ASME B36.10M</t>
        </is>
      </c>
      <c r="D205" s="12" t="inlineStr">
        <is>
          <t>16''</t>
        </is>
      </c>
      <c r="E205" s="38" t="n">
        <v>400</v>
      </c>
      <c r="F205" s="12" t="inlineStr">
        <is>
          <t>160</t>
        </is>
      </c>
      <c r="G205" s="14" t="n">
        <v>16</v>
      </c>
      <c r="H205" s="40" t="n">
        <v>406.4</v>
      </c>
      <c r="I205" s="14" t="n">
        <v>1.594</v>
      </c>
      <c r="J205" s="40" t="n">
        <v>40.49</v>
      </c>
      <c r="K205" s="14">
        <f>ROUND((H205-J205)*J205*IF(B205="Carbon Steel",$K$7,IF(B205="Stainless Steel 304",$K$8,$L$8)), 3)</f>
        <v/>
      </c>
      <c r="L205" s="40">
        <f>ROUND(K205*$G$5, 2)</f>
        <v/>
      </c>
      <c r="M205" s="38">
        <f>INT($G$6/H205)</f>
        <v/>
      </c>
      <c r="N205" s="38">
        <f>IF(M205=0, 0, IF(OR($K$6="Square Grid", M205=1), INT($G$7/H205), IF($G$7&lt;H205, 0, 1+INT(($G$7-H205)/(0.8660254*H205)))))</f>
        <v/>
      </c>
      <c r="O205" s="41">
        <f>IF(OR(M205=0,N205=0), 0, IF(OR($K$6="Square Grid", M205=1), M205*N205*$K$5, (INT((N205+1)/2)*M205 + INT(N205/2)*IF(($G$6-M205*H205)&gt;=0.5*H205, M205, M205-1))*$K$5))</f>
        <v/>
      </c>
      <c r="P205" s="41">
        <f>IF(L205&lt;=0, 0, INT($G$8/L205))</f>
        <v/>
      </c>
      <c r="Q205" s="42">
        <f>MIN(O205, P205)</f>
        <v/>
      </c>
      <c r="R205" s="43">
        <f>ROUND((Q205*L205)/1000, 2)</f>
        <v/>
      </c>
      <c r="S205" s="44">
        <f>IF($C$8&gt;0, R205/$C$8, 0)</f>
        <v/>
      </c>
      <c r="T205" s="44">
        <f>IF(O205&gt;0, Q205/O205, 0)</f>
        <v/>
      </c>
      <c r="U205" s="12">
        <f>IF(Q205=0, "Exceeds Limit", IF(P205&lt;=O205, "Weight Limited", "Volume Limited"))</f>
        <v/>
      </c>
    </row>
    <row r="206" ht="19" customHeight="1">
      <c r="A206" s="45" t="n">
        <v>196</v>
      </c>
      <c r="B206" s="46" t="inlineStr">
        <is>
          <t>Carbon Steel</t>
        </is>
      </c>
      <c r="C206" s="19" t="inlineStr">
        <is>
          <t>ASME B36.10M</t>
        </is>
      </c>
      <c r="D206" s="18" t="inlineStr">
        <is>
          <t>18''</t>
        </is>
      </c>
      <c r="E206" s="45" t="n">
        <v>450</v>
      </c>
      <c r="F206" s="18" t="inlineStr">
        <is>
          <t>5</t>
        </is>
      </c>
      <c r="G206" s="20" t="n">
        <v>18</v>
      </c>
      <c r="H206" s="47" t="n">
        <v>457.2</v>
      </c>
      <c r="I206" s="20" t="n">
        <v>0.165</v>
      </c>
      <c r="J206" s="47" t="n">
        <v>4.19</v>
      </c>
      <c r="K206" s="20">
        <f>ROUND((H206-J206)*J206*IF(B206="Carbon Steel",$K$7,IF(B206="Stainless Steel 304",$K$8,$L$8)), 3)</f>
        <v/>
      </c>
      <c r="L206" s="47">
        <f>ROUND(K206*$G$5, 2)</f>
        <v/>
      </c>
      <c r="M206" s="45">
        <f>INT($G$6/H206)</f>
        <v/>
      </c>
      <c r="N206" s="45">
        <f>IF(M206=0, 0, IF(OR($K$6="Square Grid", M206=1), INT($G$7/H206), IF($G$7&lt;H206, 0, 1+INT(($G$7-H206)/(0.8660254*H206)))))</f>
        <v/>
      </c>
      <c r="O206" s="48">
        <f>IF(OR(M206=0,N206=0), 0, IF(OR($K$6="Square Grid", M206=1), M206*N206*$K$5, (INT((N206+1)/2)*M206 + INT(N206/2)*IF(($G$6-M206*H206)&gt;=0.5*H206, M206, M206-1))*$K$5))</f>
        <v/>
      </c>
      <c r="P206" s="48">
        <f>IF(L206&lt;=0, 0, INT($G$8/L206))</f>
        <v/>
      </c>
      <c r="Q206" s="42">
        <f>MIN(O206, P206)</f>
        <v/>
      </c>
      <c r="R206" s="43">
        <f>ROUND((Q206*L206)/1000, 2)</f>
        <v/>
      </c>
      <c r="S206" s="49">
        <f>IF($C$8&gt;0, R206/$C$8, 0)</f>
        <v/>
      </c>
      <c r="T206" s="49">
        <f>IF(O206&gt;0, Q206/O206, 0)</f>
        <v/>
      </c>
      <c r="U206" s="18">
        <f>IF(Q206=0, "Exceeds Limit", IF(P206&lt;=O206, "Weight Limited", "Volume Limited"))</f>
        <v/>
      </c>
    </row>
    <row r="207" ht="19" customHeight="1">
      <c r="A207" s="38" t="n">
        <v>197</v>
      </c>
      <c r="B207" s="39" t="inlineStr">
        <is>
          <t>Carbon Steel</t>
        </is>
      </c>
      <c r="C207" s="13" t="inlineStr">
        <is>
          <t>ASME B36.10M</t>
        </is>
      </c>
      <c r="D207" s="12" t="inlineStr">
        <is>
          <t>18''</t>
        </is>
      </c>
      <c r="E207" s="38" t="n">
        <v>450</v>
      </c>
      <c r="F207" s="12" t="inlineStr">
        <is>
          <t>10</t>
        </is>
      </c>
      <c r="G207" s="14" t="n">
        <v>18</v>
      </c>
      <c r="H207" s="40" t="n">
        <v>457.2</v>
      </c>
      <c r="I207" s="14" t="n">
        <v>0.25</v>
      </c>
      <c r="J207" s="40" t="n">
        <v>6.35</v>
      </c>
      <c r="K207" s="14">
        <f>ROUND((H207-J207)*J207*IF(B207="Carbon Steel",$K$7,IF(B207="Stainless Steel 304",$K$8,$L$8)), 3)</f>
        <v/>
      </c>
      <c r="L207" s="40">
        <f>ROUND(K207*$G$5, 2)</f>
        <v/>
      </c>
      <c r="M207" s="38">
        <f>INT($G$6/H207)</f>
        <v/>
      </c>
      <c r="N207" s="38">
        <f>IF(M207=0, 0, IF(OR($K$6="Square Grid", M207=1), INT($G$7/H207), IF($G$7&lt;H207, 0, 1+INT(($G$7-H207)/(0.8660254*H207)))))</f>
        <v/>
      </c>
      <c r="O207" s="41">
        <f>IF(OR(M207=0,N207=0), 0, IF(OR($K$6="Square Grid", M207=1), M207*N207*$K$5, (INT((N207+1)/2)*M207 + INT(N207/2)*IF(($G$6-M207*H207)&gt;=0.5*H207, M207, M207-1))*$K$5))</f>
        <v/>
      </c>
      <c r="P207" s="41">
        <f>IF(L207&lt;=0, 0, INT($G$8/L207))</f>
        <v/>
      </c>
      <c r="Q207" s="42">
        <f>MIN(O207, P207)</f>
        <v/>
      </c>
      <c r="R207" s="43">
        <f>ROUND((Q207*L207)/1000, 2)</f>
        <v/>
      </c>
      <c r="S207" s="44">
        <f>IF($C$8&gt;0, R207/$C$8, 0)</f>
        <v/>
      </c>
      <c r="T207" s="44">
        <f>IF(O207&gt;0, Q207/O207, 0)</f>
        <v/>
      </c>
      <c r="U207" s="12">
        <f>IF(Q207=0, "Exceeds Limit", IF(P207&lt;=O207, "Weight Limited", "Volume Limited"))</f>
        <v/>
      </c>
    </row>
    <row r="208" ht="19" customHeight="1">
      <c r="A208" s="45" t="n">
        <v>198</v>
      </c>
      <c r="B208" s="46" t="inlineStr">
        <is>
          <t>Carbon Steel</t>
        </is>
      </c>
      <c r="C208" s="19" t="inlineStr">
        <is>
          <t>ASME B36.10M</t>
        </is>
      </c>
      <c r="D208" s="18" t="inlineStr">
        <is>
          <t>18''</t>
        </is>
      </c>
      <c r="E208" s="45" t="n">
        <v>450</v>
      </c>
      <c r="F208" s="18" t="inlineStr">
        <is>
          <t>20</t>
        </is>
      </c>
      <c r="G208" s="20" t="n">
        <v>18</v>
      </c>
      <c r="H208" s="47" t="n">
        <v>457.2</v>
      </c>
      <c r="I208" s="20" t="n">
        <v>0.312</v>
      </c>
      <c r="J208" s="47" t="n">
        <v>7.92</v>
      </c>
      <c r="K208" s="20">
        <f>ROUND((H208-J208)*J208*IF(B208="Carbon Steel",$K$7,IF(B208="Stainless Steel 304",$K$8,$L$8)), 3)</f>
        <v/>
      </c>
      <c r="L208" s="47">
        <f>ROUND(K208*$G$5, 2)</f>
        <v/>
      </c>
      <c r="M208" s="45">
        <f>INT($G$6/H208)</f>
        <v/>
      </c>
      <c r="N208" s="45">
        <f>IF(M208=0, 0, IF(OR($K$6="Square Grid", M208=1), INT($G$7/H208), IF($G$7&lt;H208, 0, 1+INT(($G$7-H208)/(0.8660254*H208)))))</f>
        <v/>
      </c>
      <c r="O208" s="48">
        <f>IF(OR(M208=0,N208=0), 0, IF(OR($K$6="Square Grid", M208=1), M208*N208*$K$5, (INT((N208+1)/2)*M208 + INT(N208/2)*IF(($G$6-M208*H208)&gt;=0.5*H208, M208, M208-1))*$K$5))</f>
        <v/>
      </c>
      <c r="P208" s="48">
        <f>IF(L208&lt;=0, 0, INT($G$8/L208))</f>
        <v/>
      </c>
      <c r="Q208" s="42">
        <f>MIN(O208, P208)</f>
        <v/>
      </c>
      <c r="R208" s="43">
        <f>ROUND((Q208*L208)/1000, 2)</f>
        <v/>
      </c>
      <c r="S208" s="49">
        <f>IF($C$8&gt;0, R208/$C$8, 0)</f>
        <v/>
      </c>
      <c r="T208" s="49">
        <f>IF(O208&gt;0, Q208/O208, 0)</f>
        <v/>
      </c>
      <c r="U208" s="18">
        <f>IF(Q208=0, "Exceeds Limit", IF(P208&lt;=O208, "Weight Limited", "Volume Limited"))</f>
        <v/>
      </c>
    </row>
    <row r="209" ht="19" customHeight="1">
      <c r="A209" s="38" t="n">
        <v>199</v>
      </c>
      <c r="B209" s="39" t="inlineStr">
        <is>
          <t>Carbon Steel</t>
        </is>
      </c>
      <c r="C209" s="13" t="inlineStr">
        <is>
          <t>ASME B36.10M</t>
        </is>
      </c>
      <c r="D209" s="12" t="inlineStr">
        <is>
          <t>18''</t>
        </is>
      </c>
      <c r="E209" s="38" t="n">
        <v>450</v>
      </c>
      <c r="F209" s="12" t="inlineStr">
        <is>
          <t>30</t>
        </is>
      </c>
      <c r="G209" s="14" t="n">
        <v>18</v>
      </c>
      <c r="H209" s="40" t="n">
        <v>457.2</v>
      </c>
      <c r="I209" s="14" t="n">
        <v>0.438</v>
      </c>
      <c r="J209" s="40" t="n">
        <v>11.13</v>
      </c>
      <c r="K209" s="14">
        <f>ROUND((H209-J209)*J209*IF(B209="Carbon Steel",$K$7,IF(B209="Stainless Steel 304",$K$8,$L$8)), 3)</f>
        <v/>
      </c>
      <c r="L209" s="40">
        <f>ROUND(K209*$G$5, 2)</f>
        <v/>
      </c>
      <c r="M209" s="38">
        <f>INT($G$6/H209)</f>
        <v/>
      </c>
      <c r="N209" s="38">
        <f>IF(M209=0, 0, IF(OR($K$6="Square Grid", M209=1), INT($G$7/H209), IF($G$7&lt;H209, 0, 1+INT(($G$7-H209)/(0.8660254*H209)))))</f>
        <v/>
      </c>
      <c r="O209" s="41">
        <f>IF(OR(M209=0,N209=0), 0, IF(OR($K$6="Square Grid", M209=1), M209*N209*$K$5, (INT((N209+1)/2)*M209 + INT(N209/2)*IF(($G$6-M209*H209)&gt;=0.5*H209, M209, M209-1))*$K$5))</f>
        <v/>
      </c>
      <c r="P209" s="41">
        <f>IF(L209&lt;=0, 0, INT($G$8/L209))</f>
        <v/>
      </c>
      <c r="Q209" s="42">
        <f>MIN(O209, P209)</f>
        <v/>
      </c>
      <c r="R209" s="43">
        <f>ROUND((Q209*L209)/1000, 2)</f>
        <v/>
      </c>
      <c r="S209" s="44">
        <f>IF($C$8&gt;0, R209/$C$8, 0)</f>
        <v/>
      </c>
      <c r="T209" s="44">
        <f>IF(O209&gt;0, Q209/O209, 0)</f>
        <v/>
      </c>
      <c r="U209" s="12">
        <f>IF(Q209=0, "Exceeds Limit", IF(P209&lt;=O209, "Weight Limited", "Volume Limited"))</f>
        <v/>
      </c>
    </row>
    <row r="210" ht="19" customHeight="1">
      <c r="A210" s="45" t="n">
        <v>200</v>
      </c>
      <c r="B210" s="46" t="inlineStr">
        <is>
          <t>Carbon Steel</t>
        </is>
      </c>
      <c r="C210" s="19" t="inlineStr">
        <is>
          <t>ASME B36.10M</t>
        </is>
      </c>
      <c r="D210" s="18" t="inlineStr">
        <is>
          <t>18''</t>
        </is>
      </c>
      <c r="E210" s="45" t="n">
        <v>450</v>
      </c>
      <c r="F210" s="18" t="inlineStr">
        <is>
          <t>STD</t>
        </is>
      </c>
      <c r="G210" s="20" t="n">
        <v>18</v>
      </c>
      <c r="H210" s="47" t="n">
        <v>457.2</v>
      </c>
      <c r="I210" s="20" t="n">
        <v>0.375</v>
      </c>
      <c r="J210" s="47" t="n">
        <v>9.52</v>
      </c>
      <c r="K210" s="20">
        <f>ROUND((H210-J210)*J210*IF(B210="Carbon Steel",$K$7,IF(B210="Stainless Steel 304",$K$8,$L$8)), 3)</f>
        <v/>
      </c>
      <c r="L210" s="47">
        <f>ROUND(K210*$G$5, 2)</f>
        <v/>
      </c>
      <c r="M210" s="45">
        <f>INT($G$6/H210)</f>
        <v/>
      </c>
      <c r="N210" s="45">
        <f>IF(M210=0, 0, IF(OR($K$6="Square Grid", M210=1), INT($G$7/H210), IF($G$7&lt;H210, 0, 1+INT(($G$7-H210)/(0.8660254*H210)))))</f>
        <v/>
      </c>
      <c r="O210" s="48">
        <f>IF(OR(M210=0,N210=0), 0, IF(OR($K$6="Square Grid", M210=1), M210*N210*$K$5, (INT((N210+1)/2)*M210 + INT(N210/2)*IF(($G$6-M210*H210)&gt;=0.5*H210, M210, M210-1))*$K$5))</f>
        <v/>
      </c>
      <c r="P210" s="48">
        <f>IF(L210&lt;=0, 0, INT($G$8/L210))</f>
        <v/>
      </c>
      <c r="Q210" s="42">
        <f>MIN(O210, P210)</f>
        <v/>
      </c>
      <c r="R210" s="43">
        <f>ROUND((Q210*L210)/1000, 2)</f>
        <v/>
      </c>
      <c r="S210" s="49">
        <f>IF($C$8&gt;0, R210/$C$8, 0)</f>
        <v/>
      </c>
      <c r="T210" s="49">
        <f>IF(O210&gt;0, Q210/O210, 0)</f>
        <v/>
      </c>
      <c r="U210" s="18">
        <f>IF(Q210=0, "Exceeds Limit", IF(P210&lt;=O210, "Weight Limited", "Volume Limited"))</f>
        <v/>
      </c>
    </row>
    <row r="211" ht="19" customHeight="1">
      <c r="A211" s="38" t="n">
        <v>201</v>
      </c>
      <c r="B211" s="39" t="inlineStr">
        <is>
          <t>Carbon Steel</t>
        </is>
      </c>
      <c r="C211" s="13" t="inlineStr">
        <is>
          <t>ASME B36.10M</t>
        </is>
      </c>
      <c r="D211" s="12" t="inlineStr">
        <is>
          <t>18''</t>
        </is>
      </c>
      <c r="E211" s="38" t="n">
        <v>450</v>
      </c>
      <c r="F211" s="12" t="inlineStr">
        <is>
          <t>40</t>
        </is>
      </c>
      <c r="G211" s="14" t="n">
        <v>18</v>
      </c>
      <c r="H211" s="40" t="n">
        <v>457.2</v>
      </c>
      <c r="I211" s="14" t="n">
        <v>0.5620000000000001</v>
      </c>
      <c r="J211" s="40" t="n">
        <v>14.27</v>
      </c>
      <c r="K211" s="14">
        <f>ROUND((H211-J211)*J211*IF(B211="Carbon Steel",$K$7,IF(B211="Stainless Steel 304",$K$8,$L$8)), 3)</f>
        <v/>
      </c>
      <c r="L211" s="40">
        <f>ROUND(K211*$G$5, 2)</f>
        <v/>
      </c>
      <c r="M211" s="38">
        <f>INT($G$6/H211)</f>
        <v/>
      </c>
      <c r="N211" s="38">
        <f>IF(M211=0, 0, IF(OR($K$6="Square Grid", M211=1), INT($G$7/H211), IF($G$7&lt;H211, 0, 1+INT(($G$7-H211)/(0.8660254*H211)))))</f>
        <v/>
      </c>
      <c r="O211" s="41">
        <f>IF(OR(M211=0,N211=0), 0, IF(OR($K$6="Square Grid", M211=1), M211*N211*$K$5, (INT((N211+1)/2)*M211 + INT(N211/2)*IF(($G$6-M211*H211)&gt;=0.5*H211, M211, M211-1))*$K$5))</f>
        <v/>
      </c>
      <c r="P211" s="41">
        <f>IF(L211&lt;=0, 0, INT($G$8/L211))</f>
        <v/>
      </c>
      <c r="Q211" s="42">
        <f>MIN(O211, P211)</f>
        <v/>
      </c>
      <c r="R211" s="43">
        <f>ROUND((Q211*L211)/1000, 2)</f>
        <v/>
      </c>
      <c r="S211" s="44">
        <f>IF($C$8&gt;0, R211/$C$8, 0)</f>
        <v/>
      </c>
      <c r="T211" s="44">
        <f>IF(O211&gt;0, Q211/O211, 0)</f>
        <v/>
      </c>
      <c r="U211" s="12">
        <f>IF(Q211=0, "Exceeds Limit", IF(P211&lt;=O211, "Weight Limited", "Volume Limited"))</f>
        <v/>
      </c>
    </row>
    <row r="212" ht="19" customHeight="1">
      <c r="A212" s="45" t="n">
        <v>202</v>
      </c>
      <c r="B212" s="46" t="inlineStr">
        <is>
          <t>Carbon Steel</t>
        </is>
      </c>
      <c r="C212" s="19" t="inlineStr">
        <is>
          <t>ASME B36.10M</t>
        </is>
      </c>
      <c r="D212" s="18" t="inlineStr">
        <is>
          <t>18''</t>
        </is>
      </c>
      <c r="E212" s="45" t="n">
        <v>450</v>
      </c>
      <c r="F212" s="18" t="inlineStr">
        <is>
          <t>60</t>
        </is>
      </c>
      <c r="G212" s="20" t="n">
        <v>18</v>
      </c>
      <c r="H212" s="47" t="n">
        <v>457.2</v>
      </c>
      <c r="I212" s="20" t="n">
        <v>0.75</v>
      </c>
      <c r="J212" s="47" t="n">
        <v>19.05</v>
      </c>
      <c r="K212" s="20">
        <f>ROUND((H212-J212)*J212*IF(B212="Carbon Steel",$K$7,IF(B212="Stainless Steel 304",$K$8,$L$8)), 3)</f>
        <v/>
      </c>
      <c r="L212" s="47">
        <f>ROUND(K212*$G$5, 2)</f>
        <v/>
      </c>
      <c r="M212" s="45">
        <f>INT($G$6/H212)</f>
        <v/>
      </c>
      <c r="N212" s="45">
        <f>IF(M212=0, 0, IF(OR($K$6="Square Grid", M212=1), INT($G$7/H212), IF($G$7&lt;H212, 0, 1+INT(($G$7-H212)/(0.8660254*H212)))))</f>
        <v/>
      </c>
      <c r="O212" s="48">
        <f>IF(OR(M212=0,N212=0), 0, IF(OR($K$6="Square Grid", M212=1), M212*N212*$K$5, (INT((N212+1)/2)*M212 + INT(N212/2)*IF(($G$6-M212*H212)&gt;=0.5*H212, M212, M212-1))*$K$5))</f>
        <v/>
      </c>
      <c r="P212" s="48">
        <f>IF(L212&lt;=0, 0, INT($G$8/L212))</f>
        <v/>
      </c>
      <c r="Q212" s="42">
        <f>MIN(O212, P212)</f>
        <v/>
      </c>
      <c r="R212" s="43">
        <f>ROUND((Q212*L212)/1000, 2)</f>
        <v/>
      </c>
      <c r="S212" s="49">
        <f>IF($C$8&gt;0, R212/$C$8, 0)</f>
        <v/>
      </c>
      <c r="T212" s="49">
        <f>IF(O212&gt;0, Q212/O212, 0)</f>
        <v/>
      </c>
      <c r="U212" s="18">
        <f>IF(Q212=0, "Exceeds Limit", IF(P212&lt;=O212, "Weight Limited", "Volume Limited"))</f>
        <v/>
      </c>
    </row>
    <row r="213" ht="19" customHeight="1">
      <c r="A213" s="38" t="n">
        <v>203</v>
      </c>
      <c r="B213" s="39" t="inlineStr">
        <is>
          <t>Carbon Steel</t>
        </is>
      </c>
      <c r="C213" s="13" t="inlineStr">
        <is>
          <t>ASME B36.10M</t>
        </is>
      </c>
      <c r="D213" s="12" t="inlineStr">
        <is>
          <t>18''</t>
        </is>
      </c>
      <c r="E213" s="38" t="n">
        <v>450</v>
      </c>
      <c r="F213" s="12" t="inlineStr">
        <is>
          <t>XS</t>
        </is>
      </c>
      <c r="G213" s="14" t="n">
        <v>18</v>
      </c>
      <c r="H213" s="40" t="n">
        <v>457.2</v>
      </c>
      <c r="I213" s="14" t="n">
        <v>0.5</v>
      </c>
      <c r="J213" s="40" t="n">
        <v>12.7</v>
      </c>
      <c r="K213" s="14">
        <f>ROUND((H213-J213)*J213*IF(B213="Carbon Steel",$K$7,IF(B213="Stainless Steel 304",$K$8,$L$8)), 3)</f>
        <v/>
      </c>
      <c r="L213" s="40">
        <f>ROUND(K213*$G$5, 2)</f>
        <v/>
      </c>
      <c r="M213" s="38">
        <f>INT($G$6/H213)</f>
        <v/>
      </c>
      <c r="N213" s="38">
        <f>IF(M213=0, 0, IF(OR($K$6="Square Grid", M213=1), INT($G$7/H213), IF($G$7&lt;H213, 0, 1+INT(($G$7-H213)/(0.8660254*H213)))))</f>
        <v/>
      </c>
      <c r="O213" s="41">
        <f>IF(OR(M213=0,N213=0), 0, IF(OR($K$6="Square Grid", M213=1), M213*N213*$K$5, (INT((N213+1)/2)*M213 + INT(N213/2)*IF(($G$6-M213*H213)&gt;=0.5*H213, M213, M213-1))*$K$5))</f>
        <v/>
      </c>
      <c r="P213" s="41">
        <f>IF(L213&lt;=0, 0, INT($G$8/L213))</f>
        <v/>
      </c>
      <c r="Q213" s="42">
        <f>MIN(O213, P213)</f>
        <v/>
      </c>
      <c r="R213" s="43">
        <f>ROUND((Q213*L213)/1000, 2)</f>
        <v/>
      </c>
      <c r="S213" s="44">
        <f>IF($C$8&gt;0, R213/$C$8, 0)</f>
        <v/>
      </c>
      <c r="T213" s="44">
        <f>IF(O213&gt;0, Q213/O213, 0)</f>
        <v/>
      </c>
      <c r="U213" s="12">
        <f>IF(Q213=0, "Exceeds Limit", IF(P213&lt;=O213, "Weight Limited", "Volume Limited"))</f>
        <v/>
      </c>
    </row>
    <row r="214" ht="19" customHeight="1">
      <c r="A214" s="45" t="n">
        <v>204</v>
      </c>
      <c r="B214" s="46" t="inlineStr">
        <is>
          <t>Carbon Steel</t>
        </is>
      </c>
      <c r="C214" s="19" t="inlineStr">
        <is>
          <t>ASME B36.10M</t>
        </is>
      </c>
      <c r="D214" s="18" t="inlineStr">
        <is>
          <t>18''</t>
        </is>
      </c>
      <c r="E214" s="45" t="n">
        <v>450</v>
      </c>
      <c r="F214" s="18" t="inlineStr">
        <is>
          <t>80</t>
        </is>
      </c>
      <c r="G214" s="20" t="n">
        <v>18</v>
      </c>
      <c r="H214" s="47" t="n">
        <v>457.2</v>
      </c>
      <c r="I214" s="20" t="n">
        <v>0.9379999999999999</v>
      </c>
      <c r="J214" s="47" t="n">
        <v>23.83</v>
      </c>
      <c r="K214" s="20">
        <f>ROUND((H214-J214)*J214*IF(B214="Carbon Steel",$K$7,IF(B214="Stainless Steel 304",$K$8,$L$8)), 3)</f>
        <v/>
      </c>
      <c r="L214" s="47">
        <f>ROUND(K214*$G$5, 2)</f>
        <v/>
      </c>
      <c r="M214" s="45">
        <f>INT($G$6/H214)</f>
        <v/>
      </c>
      <c r="N214" s="45">
        <f>IF(M214=0, 0, IF(OR($K$6="Square Grid", M214=1), INT($G$7/H214), IF($G$7&lt;H214, 0, 1+INT(($G$7-H214)/(0.8660254*H214)))))</f>
        <v/>
      </c>
      <c r="O214" s="48">
        <f>IF(OR(M214=0,N214=0), 0, IF(OR($K$6="Square Grid", M214=1), M214*N214*$K$5, (INT((N214+1)/2)*M214 + INT(N214/2)*IF(($G$6-M214*H214)&gt;=0.5*H214, M214, M214-1))*$K$5))</f>
        <v/>
      </c>
      <c r="P214" s="48">
        <f>IF(L214&lt;=0, 0, INT($G$8/L214))</f>
        <v/>
      </c>
      <c r="Q214" s="42">
        <f>MIN(O214, P214)</f>
        <v/>
      </c>
      <c r="R214" s="43">
        <f>ROUND((Q214*L214)/1000, 2)</f>
        <v/>
      </c>
      <c r="S214" s="49">
        <f>IF($C$8&gt;0, R214/$C$8, 0)</f>
        <v/>
      </c>
      <c r="T214" s="49">
        <f>IF(O214&gt;0, Q214/O214, 0)</f>
        <v/>
      </c>
      <c r="U214" s="18">
        <f>IF(Q214=0, "Exceeds Limit", IF(P214&lt;=O214, "Weight Limited", "Volume Limited"))</f>
        <v/>
      </c>
    </row>
    <row r="215" ht="19" customHeight="1">
      <c r="A215" s="38" t="n">
        <v>205</v>
      </c>
      <c r="B215" s="39" t="inlineStr">
        <is>
          <t>Carbon Steel</t>
        </is>
      </c>
      <c r="C215" s="13" t="inlineStr">
        <is>
          <t>ASME B36.10M</t>
        </is>
      </c>
      <c r="D215" s="12" t="inlineStr">
        <is>
          <t>18''</t>
        </is>
      </c>
      <c r="E215" s="38" t="n">
        <v>450</v>
      </c>
      <c r="F215" s="12" t="inlineStr">
        <is>
          <t>100</t>
        </is>
      </c>
      <c r="G215" s="14" t="n">
        <v>18</v>
      </c>
      <c r="H215" s="40" t="n">
        <v>457.2</v>
      </c>
      <c r="I215" s="14" t="n">
        <v>1.156</v>
      </c>
      <c r="J215" s="40" t="n">
        <v>29.36</v>
      </c>
      <c r="K215" s="14">
        <f>ROUND((H215-J215)*J215*IF(B215="Carbon Steel",$K$7,IF(B215="Stainless Steel 304",$K$8,$L$8)), 3)</f>
        <v/>
      </c>
      <c r="L215" s="40">
        <f>ROUND(K215*$G$5, 2)</f>
        <v/>
      </c>
      <c r="M215" s="38">
        <f>INT($G$6/H215)</f>
        <v/>
      </c>
      <c r="N215" s="38">
        <f>IF(M215=0, 0, IF(OR($K$6="Square Grid", M215=1), INT($G$7/H215), IF($G$7&lt;H215, 0, 1+INT(($G$7-H215)/(0.8660254*H215)))))</f>
        <v/>
      </c>
      <c r="O215" s="41">
        <f>IF(OR(M215=0,N215=0), 0, IF(OR($K$6="Square Grid", M215=1), M215*N215*$K$5, (INT((N215+1)/2)*M215 + INT(N215/2)*IF(($G$6-M215*H215)&gt;=0.5*H215, M215, M215-1))*$K$5))</f>
        <v/>
      </c>
      <c r="P215" s="41">
        <f>IF(L215&lt;=0, 0, INT($G$8/L215))</f>
        <v/>
      </c>
      <c r="Q215" s="42">
        <f>MIN(O215, P215)</f>
        <v/>
      </c>
      <c r="R215" s="43">
        <f>ROUND((Q215*L215)/1000, 2)</f>
        <v/>
      </c>
      <c r="S215" s="44">
        <f>IF($C$8&gt;0, R215/$C$8, 0)</f>
        <v/>
      </c>
      <c r="T215" s="44">
        <f>IF(O215&gt;0, Q215/O215, 0)</f>
        <v/>
      </c>
      <c r="U215" s="12">
        <f>IF(Q215=0, "Exceeds Limit", IF(P215&lt;=O215, "Weight Limited", "Volume Limited"))</f>
        <v/>
      </c>
    </row>
    <row r="216" ht="19" customHeight="1">
      <c r="A216" s="45" t="n">
        <v>206</v>
      </c>
      <c r="B216" s="46" t="inlineStr">
        <is>
          <t>Carbon Steel</t>
        </is>
      </c>
      <c r="C216" s="19" t="inlineStr">
        <is>
          <t>ASME B36.10M</t>
        </is>
      </c>
      <c r="D216" s="18" t="inlineStr">
        <is>
          <t>18''</t>
        </is>
      </c>
      <c r="E216" s="45" t="n">
        <v>450</v>
      </c>
      <c r="F216" s="18" t="inlineStr">
        <is>
          <t>120</t>
        </is>
      </c>
      <c r="G216" s="20" t="n">
        <v>18</v>
      </c>
      <c r="H216" s="47" t="n">
        <v>457.2</v>
      </c>
      <c r="I216" s="20" t="n">
        <v>1.375</v>
      </c>
      <c r="J216" s="47" t="n">
        <v>34.92</v>
      </c>
      <c r="K216" s="20">
        <f>ROUND((H216-J216)*J216*IF(B216="Carbon Steel",$K$7,IF(B216="Stainless Steel 304",$K$8,$L$8)), 3)</f>
        <v/>
      </c>
      <c r="L216" s="47">
        <f>ROUND(K216*$G$5, 2)</f>
        <v/>
      </c>
      <c r="M216" s="45">
        <f>INT($G$6/H216)</f>
        <v/>
      </c>
      <c r="N216" s="45">
        <f>IF(M216=0, 0, IF(OR($K$6="Square Grid", M216=1), INT($G$7/H216), IF($G$7&lt;H216, 0, 1+INT(($G$7-H216)/(0.8660254*H216)))))</f>
        <v/>
      </c>
      <c r="O216" s="48">
        <f>IF(OR(M216=0,N216=0), 0, IF(OR($K$6="Square Grid", M216=1), M216*N216*$K$5, (INT((N216+1)/2)*M216 + INT(N216/2)*IF(($G$6-M216*H216)&gt;=0.5*H216, M216, M216-1))*$K$5))</f>
        <v/>
      </c>
      <c r="P216" s="48">
        <f>IF(L216&lt;=0, 0, INT($G$8/L216))</f>
        <v/>
      </c>
      <c r="Q216" s="42">
        <f>MIN(O216, P216)</f>
        <v/>
      </c>
      <c r="R216" s="43">
        <f>ROUND((Q216*L216)/1000, 2)</f>
        <v/>
      </c>
      <c r="S216" s="49">
        <f>IF($C$8&gt;0, R216/$C$8, 0)</f>
        <v/>
      </c>
      <c r="T216" s="49">
        <f>IF(O216&gt;0, Q216/O216, 0)</f>
        <v/>
      </c>
      <c r="U216" s="18">
        <f>IF(Q216=0, "Exceeds Limit", IF(P216&lt;=O216, "Weight Limited", "Volume Limited"))</f>
        <v/>
      </c>
    </row>
    <row r="217" ht="19" customHeight="1">
      <c r="A217" s="38" t="n">
        <v>207</v>
      </c>
      <c r="B217" s="39" t="inlineStr">
        <is>
          <t>Carbon Steel</t>
        </is>
      </c>
      <c r="C217" s="13" t="inlineStr">
        <is>
          <t>ASME B36.10M</t>
        </is>
      </c>
      <c r="D217" s="12" t="inlineStr">
        <is>
          <t>18''</t>
        </is>
      </c>
      <c r="E217" s="38" t="n">
        <v>450</v>
      </c>
      <c r="F217" s="12" t="inlineStr">
        <is>
          <t>140</t>
        </is>
      </c>
      <c r="G217" s="14" t="n">
        <v>18</v>
      </c>
      <c r="H217" s="40" t="n">
        <v>457.2</v>
      </c>
      <c r="I217" s="14" t="n">
        <v>1.562</v>
      </c>
      <c r="J217" s="40" t="n">
        <v>39.67</v>
      </c>
      <c r="K217" s="14">
        <f>ROUND((H217-J217)*J217*IF(B217="Carbon Steel",$K$7,IF(B217="Stainless Steel 304",$K$8,$L$8)), 3)</f>
        <v/>
      </c>
      <c r="L217" s="40">
        <f>ROUND(K217*$G$5, 2)</f>
        <v/>
      </c>
      <c r="M217" s="38">
        <f>INT($G$6/H217)</f>
        <v/>
      </c>
      <c r="N217" s="38">
        <f>IF(M217=0, 0, IF(OR($K$6="Square Grid", M217=1), INT($G$7/H217), IF($G$7&lt;H217, 0, 1+INT(($G$7-H217)/(0.8660254*H217)))))</f>
        <v/>
      </c>
      <c r="O217" s="41">
        <f>IF(OR(M217=0,N217=0), 0, IF(OR($K$6="Square Grid", M217=1), M217*N217*$K$5, (INT((N217+1)/2)*M217 + INT(N217/2)*IF(($G$6-M217*H217)&gt;=0.5*H217, M217, M217-1))*$K$5))</f>
        <v/>
      </c>
      <c r="P217" s="41">
        <f>IF(L217&lt;=0, 0, INT($G$8/L217))</f>
        <v/>
      </c>
      <c r="Q217" s="42">
        <f>MIN(O217, P217)</f>
        <v/>
      </c>
      <c r="R217" s="43">
        <f>ROUND((Q217*L217)/1000, 2)</f>
        <v/>
      </c>
      <c r="S217" s="44">
        <f>IF($C$8&gt;0, R217/$C$8, 0)</f>
        <v/>
      </c>
      <c r="T217" s="44">
        <f>IF(O217&gt;0, Q217/O217, 0)</f>
        <v/>
      </c>
      <c r="U217" s="12">
        <f>IF(Q217=0, "Exceeds Limit", IF(P217&lt;=O217, "Weight Limited", "Volume Limited"))</f>
        <v/>
      </c>
    </row>
    <row r="218" ht="19" customHeight="1">
      <c r="A218" s="45" t="n">
        <v>208</v>
      </c>
      <c r="B218" s="46" t="inlineStr">
        <is>
          <t>Carbon Steel</t>
        </is>
      </c>
      <c r="C218" s="19" t="inlineStr">
        <is>
          <t>ASME B36.10M</t>
        </is>
      </c>
      <c r="D218" s="18" t="inlineStr">
        <is>
          <t>18''</t>
        </is>
      </c>
      <c r="E218" s="45" t="n">
        <v>450</v>
      </c>
      <c r="F218" s="18" t="inlineStr">
        <is>
          <t>160</t>
        </is>
      </c>
      <c r="G218" s="20" t="n">
        <v>18</v>
      </c>
      <c r="H218" s="47" t="n">
        <v>457.2</v>
      </c>
      <c r="I218" s="20" t="n">
        <v>1.781</v>
      </c>
      <c r="J218" s="47" t="n">
        <v>45.24</v>
      </c>
      <c r="K218" s="20">
        <f>ROUND((H218-J218)*J218*IF(B218="Carbon Steel",$K$7,IF(B218="Stainless Steel 304",$K$8,$L$8)), 3)</f>
        <v/>
      </c>
      <c r="L218" s="47">
        <f>ROUND(K218*$G$5, 2)</f>
        <v/>
      </c>
      <c r="M218" s="45">
        <f>INT($G$6/H218)</f>
        <v/>
      </c>
      <c r="N218" s="45">
        <f>IF(M218=0, 0, IF(OR($K$6="Square Grid", M218=1), INT($G$7/H218), IF($G$7&lt;H218, 0, 1+INT(($G$7-H218)/(0.8660254*H218)))))</f>
        <v/>
      </c>
      <c r="O218" s="48">
        <f>IF(OR(M218=0,N218=0), 0, IF(OR($K$6="Square Grid", M218=1), M218*N218*$K$5, (INT((N218+1)/2)*M218 + INT(N218/2)*IF(($G$6-M218*H218)&gt;=0.5*H218, M218, M218-1))*$K$5))</f>
        <v/>
      </c>
      <c r="P218" s="48">
        <f>IF(L218&lt;=0, 0, INT($G$8/L218))</f>
        <v/>
      </c>
      <c r="Q218" s="42">
        <f>MIN(O218, P218)</f>
        <v/>
      </c>
      <c r="R218" s="43">
        <f>ROUND((Q218*L218)/1000, 2)</f>
        <v/>
      </c>
      <c r="S218" s="49">
        <f>IF($C$8&gt;0, R218/$C$8, 0)</f>
        <v/>
      </c>
      <c r="T218" s="49">
        <f>IF(O218&gt;0, Q218/O218, 0)</f>
        <v/>
      </c>
      <c r="U218" s="18">
        <f>IF(Q218=0, "Exceeds Limit", IF(P218&lt;=O218, "Weight Limited", "Volume Limited"))</f>
        <v/>
      </c>
    </row>
    <row r="219" ht="19" customHeight="1">
      <c r="A219" s="38" t="n">
        <v>209</v>
      </c>
      <c r="B219" s="39" t="inlineStr">
        <is>
          <t>Carbon Steel</t>
        </is>
      </c>
      <c r="C219" s="13" t="inlineStr">
        <is>
          <t>ASME B36.10M</t>
        </is>
      </c>
      <c r="D219" s="12" t="inlineStr">
        <is>
          <t>20''</t>
        </is>
      </c>
      <c r="E219" s="38" t="n">
        <v>500</v>
      </c>
      <c r="F219" s="12" t="inlineStr">
        <is>
          <t>5</t>
        </is>
      </c>
      <c r="G219" s="14" t="n">
        <v>20</v>
      </c>
      <c r="H219" s="40" t="n">
        <v>508</v>
      </c>
      <c r="I219" s="14" t="n">
        <v>0.188</v>
      </c>
      <c r="J219" s="40" t="n">
        <v>4.78</v>
      </c>
      <c r="K219" s="14">
        <f>ROUND((H219-J219)*J219*IF(B219="Carbon Steel",$K$7,IF(B219="Stainless Steel 304",$K$8,$L$8)), 3)</f>
        <v/>
      </c>
      <c r="L219" s="40">
        <f>ROUND(K219*$G$5, 2)</f>
        <v/>
      </c>
      <c r="M219" s="38">
        <f>INT($G$6/H219)</f>
        <v/>
      </c>
      <c r="N219" s="38">
        <f>IF(M219=0, 0, IF(OR($K$6="Square Grid", M219=1), INT($G$7/H219), IF($G$7&lt;H219, 0, 1+INT(($G$7-H219)/(0.8660254*H219)))))</f>
        <v/>
      </c>
      <c r="O219" s="41">
        <f>IF(OR(M219=0,N219=0), 0, IF(OR($K$6="Square Grid", M219=1), M219*N219*$K$5, (INT((N219+1)/2)*M219 + INT(N219/2)*IF(($G$6-M219*H219)&gt;=0.5*H219, M219, M219-1))*$K$5))</f>
        <v/>
      </c>
      <c r="P219" s="41">
        <f>IF(L219&lt;=0, 0, INT($G$8/L219))</f>
        <v/>
      </c>
      <c r="Q219" s="42">
        <f>MIN(O219, P219)</f>
        <v/>
      </c>
      <c r="R219" s="43">
        <f>ROUND((Q219*L219)/1000, 2)</f>
        <v/>
      </c>
      <c r="S219" s="44">
        <f>IF($C$8&gt;0, R219/$C$8, 0)</f>
        <v/>
      </c>
      <c r="T219" s="44">
        <f>IF(O219&gt;0, Q219/O219, 0)</f>
        <v/>
      </c>
      <c r="U219" s="12">
        <f>IF(Q219=0, "Exceeds Limit", IF(P219&lt;=O219, "Weight Limited", "Volume Limited"))</f>
        <v/>
      </c>
    </row>
    <row r="220" ht="19" customHeight="1">
      <c r="A220" s="45" t="n">
        <v>210</v>
      </c>
      <c r="B220" s="46" t="inlineStr">
        <is>
          <t>Carbon Steel</t>
        </is>
      </c>
      <c r="C220" s="19" t="inlineStr">
        <is>
          <t>ASME B36.10M</t>
        </is>
      </c>
      <c r="D220" s="18" t="inlineStr">
        <is>
          <t>20''</t>
        </is>
      </c>
      <c r="E220" s="45" t="n">
        <v>500</v>
      </c>
      <c r="F220" s="18" t="inlineStr">
        <is>
          <t>10</t>
        </is>
      </c>
      <c r="G220" s="20" t="n">
        <v>20</v>
      </c>
      <c r="H220" s="47" t="n">
        <v>508</v>
      </c>
      <c r="I220" s="20" t="n">
        <v>0.25</v>
      </c>
      <c r="J220" s="47" t="n">
        <v>6.35</v>
      </c>
      <c r="K220" s="20">
        <f>ROUND((H220-J220)*J220*IF(B220="Carbon Steel",$K$7,IF(B220="Stainless Steel 304",$K$8,$L$8)), 3)</f>
        <v/>
      </c>
      <c r="L220" s="47">
        <f>ROUND(K220*$G$5, 2)</f>
        <v/>
      </c>
      <c r="M220" s="45">
        <f>INT($G$6/H220)</f>
        <v/>
      </c>
      <c r="N220" s="45">
        <f>IF(M220=0, 0, IF(OR($K$6="Square Grid", M220=1), INT($G$7/H220), IF($G$7&lt;H220, 0, 1+INT(($G$7-H220)/(0.8660254*H220)))))</f>
        <v/>
      </c>
      <c r="O220" s="48">
        <f>IF(OR(M220=0,N220=0), 0, IF(OR($K$6="Square Grid", M220=1), M220*N220*$K$5, (INT((N220+1)/2)*M220 + INT(N220/2)*IF(($G$6-M220*H220)&gt;=0.5*H220, M220, M220-1))*$K$5))</f>
        <v/>
      </c>
      <c r="P220" s="48">
        <f>IF(L220&lt;=0, 0, INT($G$8/L220))</f>
        <v/>
      </c>
      <c r="Q220" s="42">
        <f>MIN(O220, P220)</f>
        <v/>
      </c>
      <c r="R220" s="43">
        <f>ROUND((Q220*L220)/1000, 2)</f>
        <v/>
      </c>
      <c r="S220" s="49">
        <f>IF($C$8&gt;0, R220/$C$8, 0)</f>
        <v/>
      </c>
      <c r="T220" s="49">
        <f>IF(O220&gt;0, Q220/O220, 0)</f>
        <v/>
      </c>
      <c r="U220" s="18">
        <f>IF(Q220=0, "Exceeds Limit", IF(P220&lt;=O220, "Weight Limited", "Volume Limited"))</f>
        <v/>
      </c>
    </row>
    <row r="221" ht="19" customHeight="1">
      <c r="A221" s="38" t="n">
        <v>211</v>
      </c>
      <c r="B221" s="39" t="inlineStr">
        <is>
          <t>Carbon Steel</t>
        </is>
      </c>
      <c r="C221" s="13" t="inlineStr">
        <is>
          <t>ASME B36.10M</t>
        </is>
      </c>
      <c r="D221" s="12" t="inlineStr">
        <is>
          <t>20''</t>
        </is>
      </c>
      <c r="E221" s="38" t="n">
        <v>500</v>
      </c>
      <c r="F221" s="12" t="inlineStr">
        <is>
          <t>20</t>
        </is>
      </c>
      <c r="G221" s="14" t="n">
        <v>20</v>
      </c>
      <c r="H221" s="40" t="n">
        <v>508</v>
      </c>
      <c r="I221" s="14" t="n">
        <v>0.375</v>
      </c>
      <c r="J221" s="40" t="n">
        <v>9.52</v>
      </c>
      <c r="K221" s="14">
        <f>ROUND((H221-J221)*J221*IF(B221="Carbon Steel",$K$7,IF(B221="Stainless Steel 304",$K$8,$L$8)), 3)</f>
        <v/>
      </c>
      <c r="L221" s="40">
        <f>ROUND(K221*$G$5, 2)</f>
        <v/>
      </c>
      <c r="M221" s="38">
        <f>INT($G$6/H221)</f>
        <v/>
      </c>
      <c r="N221" s="38">
        <f>IF(M221=0, 0, IF(OR($K$6="Square Grid", M221=1), INT($G$7/H221), IF($G$7&lt;H221, 0, 1+INT(($G$7-H221)/(0.8660254*H221)))))</f>
        <v/>
      </c>
      <c r="O221" s="41">
        <f>IF(OR(M221=0,N221=0), 0, IF(OR($K$6="Square Grid", M221=1), M221*N221*$K$5, (INT((N221+1)/2)*M221 + INT(N221/2)*IF(($G$6-M221*H221)&gt;=0.5*H221, M221, M221-1))*$K$5))</f>
        <v/>
      </c>
      <c r="P221" s="41">
        <f>IF(L221&lt;=0, 0, INT($G$8/L221))</f>
        <v/>
      </c>
      <c r="Q221" s="42">
        <f>MIN(O221, P221)</f>
        <v/>
      </c>
      <c r="R221" s="43">
        <f>ROUND((Q221*L221)/1000, 2)</f>
        <v/>
      </c>
      <c r="S221" s="44">
        <f>IF($C$8&gt;0, R221/$C$8, 0)</f>
        <v/>
      </c>
      <c r="T221" s="44">
        <f>IF(O221&gt;0, Q221/O221, 0)</f>
        <v/>
      </c>
      <c r="U221" s="12">
        <f>IF(Q221=0, "Exceeds Limit", IF(P221&lt;=O221, "Weight Limited", "Volume Limited"))</f>
        <v/>
      </c>
    </row>
    <row r="222" ht="19" customHeight="1">
      <c r="A222" s="45" t="n">
        <v>212</v>
      </c>
      <c r="B222" s="46" t="inlineStr">
        <is>
          <t>Carbon Steel</t>
        </is>
      </c>
      <c r="C222" s="19" t="inlineStr">
        <is>
          <t>ASME B36.10M</t>
        </is>
      </c>
      <c r="D222" s="18" t="inlineStr">
        <is>
          <t>20''</t>
        </is>
      </c>
      <c r="E222" s="45" t="n">
        <v>500</v>
      </c>
      <c r="F222" s="18" t="inlineStr">
        <is>
          <t>30</t>
        </is>
      </c>
      <c r="G222" s="20" t="n">
        <v>20</v>
      </c>
      <c r="H222" s="47" t="n">
        <v>508</v>
      </c>
      <c r="I222" s="20" t="n">
        <v>0.5</v>
      </c>
      <c r="J222" s="47" t="n">
        <v>12.7</v>
      </c>
      <c r="K222" s="20">
        <f>ROUND((H222-J222)*J222*IF(B222="Carbon Steel",$K$7,IF(B222="Stainless Steel 304",$K$8,$L$8)), 3)</f>
        <v/>
      </c>
      <c r="L222" s="47">
        <f>ROUND(K222*$G$5, 2)</f>
        <v/>
      </c>
      <c r="M222" s="45">
        <f>INT($G$6/H222)</f>
        <v/>
      </c>
      <c r="N222" s="45">
        <f>IF(M222=0, 0, IF(OR($K$6="Square Grid", M222=1), INT($G$7/H222), IF($G$7&lt;H222, 0, 1+INT(($G$7-H222)/(0.8660254*H222)))))</f>
        <v/>
      </c>
      <c r="O222" s="48">
        <f>IF(OR(M222=0,N222=0), 0, IF(OR($K$6="Square Grid", M222=1), M222*N222*$K$5, (INT((N222+1)/2)*M222 + INT(N222/2)*IF(($G$6-M222*H222)&gt;=0.5*H222, M222, M222-1))*$K$5))</f>
        <v/>
      </c>
      <c r="P222" s="48">
        <f>IF(L222&lt;=0, 0, INT($G$8/L222))</f>
        <v/>
      </c>
      <c r="Q222" s="42">
        <f>MIN(O222, P222)</f>
        <v/>
      </c>
      <c r="R222" s="43">
        <f>ROUND((Q222*L222)/1000, 2)</f>
        <v/>
      </c>
      <c r="S222" s="49">
        <f>IF($C$8&gt;0, R222/$C$8, 0)</f>
        <v/>
      </c>
      <c r="T222" s="49">
        <f>IF(O222&gt;0, Q222/O222, 0)</f>
        <v/>
      </c>
      <c r="U222" s="18">
        <f>IF(Q222=0, "Exceeds Limit", IF(P222&lt;=O222, "Weight Limited", "Volume Limited"))</f>
        <v/>
      </c>
    </row>
    <row r="223" ht="19" customHeight="1">
      <c r="A223" s="38" t="n">
        <v>213</v>
      </c>
      <c r="B223" s="39" t="inlineStr">
        <is>
          <t>Carbon Steel</t>
        </is>
      </c>
      <c r="C223" s="13" t="inlineStr">
        <is>
          <t>ASME B36.10M</t>
        </is>
      </c>
      <c r="D223" s="12" t="inlineStr">
        <is>
          <t>20''</t>
        </is>
      </c>
      <c r="E223" s="38" t="n">
        <v>500</v>
      </c>
      <c r="F223" s="12" t="inlineStr">
        <is>
          <t>STD</t>
        </is>
      </c>
      <c r="G223" s="14" t="n">
        <v>20</v>
      </c>
      <c r="H223" s="40" t="n">
        <v>508</v>
      </c>
      <c r="I223" s="14" t="n">
        <v>0.375</v>
      </c>
      <c r="J223" s="40" t="n">
        <v>9.52</v>
      </c>
      <c r="K223" s="14">
        <f>ROUND((H223-J223)*J223*IF(B223="Carbon Steel",$K$7,IF(B223="Stainless Steel 304",$K$8,$L$8)), 3)</f>
        <v/>
      </c>
      <c r="L223" s="40">
        <f>ROUND(K223*$G$5, 2)</f>
        <v/>
      </c>
      <c r="M223" s="38">
        <f>INT($G$6/H223)</f>
        <v/>
      </c>
      <c r="N223" s="38">
        <f>IF(M223=0, 0, IF(OR($K$6="Square Grid", M223=1), INT($G$7/H223), IF($G$7&lt;H223, 0, 1+INT(($G$7-H223)/(0.8660254*H223)))))</f>
        <v/>
      </c>
      <c r="O223" s="41">
        <f>IF(OR(M223=0,N223=0), 0, IF(OR($K$6="Square Grid", M223=1), M223*N223*$K$5, (INT((N223+1)/2)*M223 + INT(N223/2)*IF(($G$6-M223*H223)&gt;=0.5*H223, M223, M223-1))*$K$5))</f>
        <v/>
      </c>
      <c r="P223" s="41">
        <f>IF(L223&lt;=0, 0, INT($G$8/L223))</f>
        <v/>
      </c>
      <c r="Q223" s="42">
        <f>MIN(O223, P223)</f>
        <v/>
      </c>
      <c r="R223" s="43">
        <f>ROUND((Q223*L223)/1000, 2)</f>
        <v/>
      </c>
      <c r="S223" s="44">
        <f>IF($C$8&gt;0, R223/$C$8, 0)</f>
        <v/>
      </c>
      <c r="T223" s="44">
        <f>IF(O223&gt;0, Q223/O223, 0)</f>
        <v/>
      </c>
      <c r="U223" s="12">
        <f>IF(Q223=0, "Exceeds Limit", IF(P223&lt;=O223, "Weight Limited", "Volume Limited"))</f>
        <v/>
      </c>
    </row>
    <row r="224" ht="19" customHeight="1">
      <c r="A224" s="45" t="n">
        <v>214</v>
      </c>
      <c r="B224" s="46" t="inlineStr">
        <is>
          <t>Carbon Steel</t>
        </is>
      </c>
      <c r="C224" s="19" t="inlineStr">
        <is>
          <t>ASME B36.10M</t>
        </is>
      </c>
      <c r="D224" s="18" t="inlineStr">
        <is>
          <t>20''</t>
        </is>
      </c>
      <c r="E224" s="45" t="n">
        <v>500</v>
      </c>
      <c r="F224" s="18" t="inlineStr">
        <is>
          <t>40</t>
        </is>
      </c>
      <c r="G224" s="20" t="n">
        <v>20</v>
      </c>
      <c r="H224" s="47" t="n">
        <v>508</v>
      </c>
      <c r="I224" s="20" t="n">
        <v>0.594</v>
      </c>
      <c r="J224" s="47" t="n">
        <v>15.09</v>
      </c>
      <c r="K224" s="20">
        <f>ROUND((H224-J224)*J224*IF(B224="Carbon Steel",$K$7,IF(B224="Stainless Steel 304",$K$8,$L$8)), 3)</f>
        <v/>
      </c>
      <c r="L224" s="47">
        <f>ROUND(K224*$G$5, 2)</f>
        <v/>
      </c>
      <c r="M224" s="45">
        <f>INT($G$6/H224)</f>
        <v/>
      </c>
      <c r="N224" s="45">
        <f>IF(M224=0, 0, IF(OR($K$6="Square Grid", M224=1), INT($G$7/H224), IF($G$7&lt;H224, 0, 1+INT(($G$7-H224)/(0.8660254*H224)))))</f>
        <v/>
      </c>
      <c r="O224" s="48">
        <f>IF(OR(M224=0,N224=0), 0, IF(OR($K$6="Square Grid", M224=1), M224*N224*$K$5, (INT((N224+1)/2)*M224 + INT(N224/2)*IF(($G$6-M224*H224)&gt;=0.5*H224, M224, M224-1))*$K$5))</f>
        <v/>
      </c>
      <c r="P224" s="48">
        <f>IF(L224&lt;=0, 0, INT($G$8/L224))</f>
        <v/>
      </c>
      <c r="Q224" s="42">
        <f>MIN(O224, P224)</f>
        <v/>
      </c>
      <c r="R224" s="43">
        <f>ROUND((Q224*L224)/1000, 2)</f>
        <v/>
      </c>
      <c r="S224" s="49">
        <f>IF($C$8&gt;0, R224/$C$8, 0)</f>
        <v/>
      </c>
      <c r="T224" s="49">
        <f>IF(O224&gt;0, Q224/O224, 0)</f>
        <v/>
      </c>
      <c r="U224" s="18">
        <f>IF(Q224=0, "Exceeds Limit", IF(P224&lt;=O224, "Weight Limited", "Volume Limited"))</f>
        <v/>
      </c>
    </row>
    <row r="225" ht="19" customHeight="1">
      <c r="A225" s="38" t="n">
        <v>215</v>
      </c>
      <c r="B225" s="39" t="inlineStr">
        <is>
          <t>Carbon Steel</t>
        </is>
      </c>
      <c r="C225" s="13" t="inlineStr">
        <is>
          <t>ASME B36.10M</t>
        </is>
      </c>
      <c r="D225" s="12" t="inlineStr">
        <is>
          <t>20''</t>
        </is>
      </c>
      <c r="E225" s="38" t="n">
        <v>500</v>
      </c>
      <c r="F225" s="12" t="inlineStr">
        <is>
          <t>60</t>
        </is>
      </c>
      <c r="G225" s="14" t="n">
        <v>20</v>
      </c>
      <c r="H225" s="40" t="n">
        <v>508</v>
      </c>
      <c r="I225" s="14" t="n">
        <v>0.8120000000000001</v>
      </c>
      <c r="J225" s="40" t="n">
        <v>20.62</v>
      </c>
      <c r="K225" s="14">
        <f>ROUND((H225-J225)*J225*IF(B225="Carbon Steel",$K$7,IF(B225="Stainless Steel 304",$K$8,$L$8)), 3)</f>
        <v/>
      </c>
      <c r="L225" s="40">
        <f>ROUND(K225*$G$5, 2)</f>
        <v/>
      </c>
      <c r="M225" s="38">
        <f>INT($G$6/H225)</f>
        <v/>
      </c>
      <c r="N225" s="38">
        <f>IF(M225=0, 0, IF(OR($K$6="Square Grid", M225=1), INT($G$7/H225), IF($G$7&lt;H225, 0, 1+INT(($G$7-H225)/(0.8660254*H225)))))</f>
        <v/>
      </c>
      <c r="O225" s="41">
        <f>IF(OR(M225=0,N225=0), 0, IF(OR($K$6="Square Grid", M225=1), M225*N225*$K$5, (INT((N225+1)/2)*M225 + INT(N225/2)*IF(($G$6-M225*H225)&gt;=0.5*H225, M225, M225-1))*$K$5))</f>
        <v/>
      </c>
      <c r="P225" s="41">
        <f>IF(L225&lt;=0, 0, INT($G$8/L225))</f>
        <v/>
      </c>
      <c r="Q225" s="42">
        <f>MIN(O225, P225)</f>
        <v/>
      </c>
      <c r="R225" s="43">
        <f>ROUND((Q225*L225)/1000, 2)</f>
        <v/>
      </c>
      <c r="S225" s="44">
        <f>IF($C$8&gt;0, R225/$C$8, 0)</f>
        <v/>
      </c>
      <c r="T225" s="44">
        <f>IF(O225&gt;0, Q225/O225, 0)</f>
        <v/>
      </c>
      <c r="U225" s="12">
        <f>IF(Q225=0, "Exceeds Limit", IF(P225&lt;=O225, "Weight Limited", "Volume Limited"))</f>
        <v/>
      </c>
    </row>
    <row r="226" ht="19" customHeight="1">
      <c r="A226" s="45" t="n">
        <v>216</v>
      </c>
      <c r="B226" s="46" t="inlineStr">
        <is>
          <t>Carbon Steel</t>
        </is>
      </c>
      <c r="C226" s="19" t="inlineStr">
        <is>
          <t>ASME B36.10M</t>
        </is>
      </c>
      <c r="D226" s="18" t="inlineStr">
        <is>
          <t>20''</t>
        </is>
      </c>
      <c r="E226" s="45" t="n">
        <v>500</v>
      </c>
      <c r="F226" s="18" t="inlineStr">
        <is>
          <t>XS</t>
        </is>
      </c>
      <c r="G226" s="20" t="n">
        <v>20</v>
      </c>
      <c r="H226" s="47" t="n">
        <v>508</v>
      </c>
      <c r="I226" s="20" t="n">
        <v>0.5</v>
      </c>
      <c r="J226" s="47" t="n">
        <v>12.7</v>
      </c>
      <c r="K226" s="20">
        <f>ROUND((H226-J226)*J226*IF(B226="Carbon Steel",$K$7,IF(B226="Stainless Steel 304",$K$8,$L$8)), 3)</f>
        <v/>
      </c>
      <c r="L226" s="47">
        <f>ROUND(K226*$G$5, 2)</f>
        <v/>
      </c>
      <c r="M226" s="45">
        <f>INT($G$6/H226)</f>
        <v/>
      </c>
      <c r="N226" s="45">
        <f>IF(M226=0, 0, IF(OR($K$6="Square Grid", M226=1), INT($G$7/H226), IF($G$7&lt;H226, 0, 1+INT(($G$7-H226)/(0.8660254*H226)))))</f>
        <v/>
      </c>
      <c r="O226" s="48">
        <f>IF(OR(M226=0,N226=0), 0, IF(OR($K$6="Square Grid", M226=1), M226*N226*$K$5, (INT((N226+1)/2)*M226 + INT(N226/2)*IF(($G$6-M226*H226)&gt;=0.5*H226, M226, M226-1))*$K$5))</f>
        <v/>
      </c>
      <c r="P226" s="48">
        <f>IF(L226&lt;=0, 0, INT($G$8/L226))</f>
        <v/>
      </c>
      <c r="Q226" s="42">
        <f>MIN(O226, P226)</f>
        <v/>
      </c>
      <c r="R226" s="43">
        <f>ROUND((Q226*L226)/1000, 2)</f>
        <v/>
      </c>
      <c r="S226" s="49">
        <f>IF($C$8&gt;0, R226/$C$8, 0)</f>
        <v/>
      </c>
      <c r="T226" s="49">
        <f>IF(O226&gt;0, Q226/O226, 0)</f>
        <v/>
      </c>
      <c r="U226" s="18">
        <f>IF(Q226=0, "Exceeds Limit", IF(P226&lt;=O226, "Weight Limited", "Volume Limited"))</f>
        <v/>
      </c>
    </row>
    <row r="227" ht="19" customHeight="1">
      <c r="A227" s="38" t="n">
        <v>217</v>
      </c>
      <c r="B227" s="39" t="inlineStr">
        <is>
          <t>Carbon Steel</t>
        </is>
      </c>
      <c r="C227" s="13" t="inlineStr">
        <is>
          <t>ASME B36.10M</t>
        </is>
      </c>
      <c r="D227" s="12" t="inlineStr">
        <is>
          <t>20''</t>
        </is>
      </c>
      <c r="E227" s="38" t="n">
        <v>500</v>
      </c>
      <c r="F227" s="12" t="inlineStr">
        <is>
          <t>80</t>
        </is>
      </c>
      <c r="G227" s="14" t="n">
        <v>20</v>
      </c>
      <c r="H227" s="40" t="n">
        <v>508</v>
      </c>
      <c r="I227" s="14" t="n">
        <v>1.031</v>
      </c>
      <c r="J227" s="40" t="n">
        <v>26.19</v>
      </c>
      <c r="K227" s="14">
        <f>ROUND((H227-J227)*J227*IF(B227="Carbon Steel",$K$7,IF(B227="Stainless Steel 304",$K$8,$L$8)), 3)</f>
        <v/>
      </c>
      <c r="L227" s="40">
        <f>ROUND(K227*$G$5, 2)</f>
        <v/>
      </c>
      <c r="M227" s="38">
        <f>INT($G$6/H227)</f>
        <v/>
      </c>
      <c r="N227" s="38">
        <f>IF(M227=0, 0, IF(OR($K$6="Square Grid", M227=1), INT($G$7/H227), IF($G$7&lt;H227, 0, 1+INT(($G$7-H227)/(0.8660254*H227)))))</f>
        <v/>
      </c>
      <c r="O227" s="41">
        <f>IF(OR(M227=0,N227=0), 0, IF(OR($K$6="Square Grid", M227=1), M227*N227*$K$5, (INT((N227+1)/2)*M227 + INT(N227/2)*IF(($G$6-M227*H227)&gt;=0.5*H227, M227, M227-1))*$K$5))</f>
        <v/>
      </c>
      <c r="P227" s="41">
        <f>IF(L227&lt;=0, 0, INT($G$8/L227))</f>
        <v/>
      </c>
      <c r="Q227" s="42">
        <f>MIN(O227, P227)</f>
        <v/>
      </c>
      <c r="R227" s="43">
        <f>ROUND((Q227*L227)/1000, 2)</f>
        <v/>
      </c>
      <c r="S227" s="44">
        <f>IF($C$8&gt;0, R227/$C$8, 0)</f>
        <v/>
      </c>
      <c r="T227" s="44">
        <f>IF(O227&gt;0, Q227/O227, 0)</f>
        <v/>
      </c>
      <c r="U227" s="12">
        <f>IF(Q227=0, "Exceeds Limit", IF(P227&lt;=O227, "Weight Limited", "Volume Limited"))</f>
        <v/>
      </c>
    </row>
    <row r="228" ht="19" customHeight="1">
      <c r="A228" s="45" t="n">
        <v>218</v>
      </c>
      <c r="B228" s="46" t="inlineStr">
        <is>
          <t>Carbon Steel</t>
        </is>
      </c>
      <c r="C228" s="19" t="inlineStr">
        <is>
          <t>ASME B36.10M</t>
        </is>
      </c>
      <c r="D228" s="18" t="inlineStr">
        <is>
          <t>20''</t>
        </is>
      </c>
      <c r="E228" s="45" t="n">
        <v>500</v>
      </c>
      <c r="F228" s="18" t="inlineStr">
        <is>
          <t>100</t>
        </is>
      </c>
      <c r="G228" s="20" t="n">
        <v>20</v>
      </c>
      <c r="H228" s="47" t="n">
        <v>508</v>
      </c>
      <c r="I228" s="20" t="n">
        <v>1.281</v>
      </c>
      <c r="J228" s="47" t="n">
        <v>32.54</v>
      </c>
      <c r="K228" s="20">
        <f>ROUND((H228-J228)*J228*IF(B228="Carbon Steel",$K$7,IF(B228="Stainless Steel 304",$K$8,$L$8)), 3)</f>
        <v/>
      </c>
      <c r="L228" s="47">
        <f>ROUND(K228*$G$5, 2)</f>
        <v/>
      </c>
      <c r="M228" s="45">
        <f>INT($G$6/H228)</f>
        <v/>
      </c>
      <c r="N228" s="45">
        <f>IF(M228=0, 0, IF(OR($K$6="Square Grid", M228=1), INT($G$7/H228), IF($G$7&lt;H228, 0, 1+INT(($G$7-H228)/(0.8660254*H228)))))</f>
        <v/>
      </c>
      <c r="O228" s="48">
        <f>IF(OR(M228=0,N228=0), 0, IF(OR($K$6="Square Grid", M228=1), M228*N228*$K$5, (INT((N228+1)/2)*M228 + INT(N228/2)*IF(($G$6-M228*H228)&gt;=0.5*H228, M228, M228-1))*$K$5))</f>
        <v/>
      </c>
      <c r="P228" s="48">
        <f>IF(L228&lt;=0, 0, INT($G$8/L228))</f>
        <v/>
      </c>
      <c r="Q228" s="42">
        <f>MIN(O228, P228)</f>
        <v/>
      </c>
      <c r="R228" s="43">
        <f>ROUND((Q228*L228)/1000, 2)</f>
        <v/>
      </c>
      <c r="S228" s="49">
        <f>IF($C$8&gt;0, R228/$C$8, 0)</f>
        <v/>
      </c>
      <c r="T228" s="49">
        <f>IF(O228&gt;0, Q228/O228, 0)</f>
        <v/>
      </c>
      <c r="U228" s="18">
        <f>IF(Q228=0, "Exceeds Limit", IF(P228&lt;=O228, "Weight Limited", "Volume Limited"))</f>
        <v/>
      </c>
    </row>
    <row r="229" ht="19" customHeight="1">
      <c r="A229" s="38" t="n">
        <v>219</v>
      </c>
      <c r="B229" s="39" t="inlineStr">
        <is>
          <t>Carbon Steel</t>
        </is>
      </c>
      <c r="C229" s="13" t="inlineStr">
        <is>
          <t>ASME B36.10M</t>
        </is>
      </c>
      <c r="D229" s="12" t="inlineStr">
        <is>
          <t>20''</t>
        </is>
      </c>
      <c r="E229" s="38" t="n">
        <v>500</v>
      </c>
      <c r="F229" s="12" t="inlineStr">
        <is>
          <t>120</t>
        </is>
      </c>
      <c r="G229" s="14" t="n">
        <v>20</v>
      </c>
      <c r="H229" s="40" t="n">
        <v>508</v>
      </c>
      <c r="I229" s="14" t="n">
        <v>1.5</v>
      </c>
      <c r="J229" s="40" t="n">
        <v>38.1</v>
      </c>
      <c r="K229" s="14">
        <f>ROUND((H229-J229)*J229*IF(B229="Carbon Steel",$K$7,IF(B229="Stainless Steel 304",$K$8,$L$8)), 3)</f>
        <v/>
      </c>
      <c r="L229" s="40">
        <f>ROUND(K229*$G$5, 2)</f>
        <v/>
      </c>
      <c r="M229" s="38">
        <f>INT($G$6/H229)</f>
        <v/>
      </c>
      <c r="N229" s="38">
        <f>IF(M229=0, 0, IF(OR($K$6="Square Grid", M229=1), INT($G$7/H229), IF($G$7&lt;H229, 0, 1+INT(($G$7-H229)/(0.8660254*H229)))))</f>
        <v/>
      </c>
      <c r="O229" s="41">
        <f>IF(OR(M229=0,N229=0), 0, IF(OR($K$6="Square Grid", M229=1), M229*N229*$K$5, (INT((N229+1)/2)*M229 + INT(N229/2)*IF(($G$6-M229*H229)&gt;=0.5*H229, M229, M229-1))*$K$5))</f>
        <v/>
      </c>
      <c r="P229" s="41">
        <f>IF(L229&lt;=0, 0, INT($G$8/L229))</f>
        <v/>
      </c>
      <c r="Q229" s="42">
        <f>MIN(O229, P229)</f>
        <v/>
      </c>
      <c r="R229" s="43">
        <f>ROUND((Q229*L229)/1000, 2)</f>
        <v/>
      </c>
      <c r="S229" s="44">
        <f>IF($C$8&gt;0, R229/$C$8, 0)</f>
        <v/>
      </c>
      <c r="T229" s="44">
        <f>IF(O229&gt;0, Q229/O229, 0)</f>
        <v/>
      </c>
      <c r="U229" s="12">
        <f>IF(Q229=0, "Exceeds Limit", IF(P229&lt;=O229, "Weight Limited", "Volume Limited"))</f>
        <v/>
      </c>
    </row>
    <row r="230" ht="19" customHeight="1">
      <c r="A230" s="45" t="n">
        <v>220</v>
      </c>
      <c r="B230" s="46" t="inlineStr">
        <is>
          <t>Carbon Steel</t>
        </is>
      </c>
      <c r="C230" s="19" t="inlineStr">
        <is>
          <t>ASME B36.10M</t>
        </is>
      </c>
      <c r="D230" s="18" t="inlineStr">
        <is>
          <t>20''</t>
        </is>
      </c>
      <c r="E230" s="45" t="n">
        <v>500</v>
      </c>
      <c r="F230" s="18" t="inlineStr">
        <is>
          <t>140</t>
        </is>
      </c>
      <c r="G230" s="20" t="n">
        <v>20</v>
      </c>
      <c r="H230" s="47" t="n">
        <v>508</v>
      </c>
      <c r="I230" s="20" t="n">
        <v>1.75</v>
      </c>
      <c r="J230" s="47" t="n">
        <v>44.45</v>
      </c>
      <c r="K230" s="20">
        <f>ROUND((H230-J230)*J230*IF(B230="Carbon Steel",$K$7,IF(B230="Stainless Steel 304",$K$8,$L$8)), 3)</f>
        <v/>
      </c>
      <c r="L230" s="47">
        <f>ROUND(K230*$G$5, 2)</f>
        <v/>
      </c>
      <c r="M230" s="45">
        <f>INT($G$6/H230)</f>
        <v/>
      </c>
      <c r="N230" s="45">
        <f>IF(M230=0, 0, IF(OR($K$6="Square Grid", M230=1), INT($G$7/H230), IF($G$7&lt;H230, 0, 1+INT(($G$7-H230)/(0.8660254*H230)))))</f>
        <v/>
      </c>
      <c r="O230" s="48">
        <f>IF(OR(M230=0,N230=0), 0, IF(OR($K$6="Square Grid", M230=1), M230*N230*$K$5, (INT((N230+1)/2)*M230 + INT(N230/2)*IF(($G$6-M230*H230)&gt;=0.5*H230, M230, M230-1))*$K$5))</f>
        <v/>
      </c>
      <c r="P230" s="48">
        <f>IF(L230&lt;=0, 0, INT($G$8/L230))</f>
        <v/>
      </c>
      <c r="Q230" s="42">
        <f>MIN(O230, P230)</f>
        <v/>
      </c>
      <c r="R230" s="43">
        <f>ROUND((Q230*L230)/1000, 2)</f>
        <v/>
      </c>
      <c r="S230" s="49">
        <f>IF($C$8&gt;0, R230/$C$8, 0)</f>
        <v/>
      </c>
      <c r="T230" s="49">
        <f>IF(O230&gt;0, Q230/O230, 0)</f>
        <v/>
      </c>
      <c r="U230" s="18">
        <f>IF(Q230=0, "Exceeds Limit", IF(P230&lt;=O230, "Weight Limited", "Volume Limited"))</f>
        <v/>
      </c>
    </row>
    <row r="231" ht="19" customHeight="1">
      <c r="A231" s="38" t="n">
        <v>221</v>
      </c>
      <c r="B231" s="39" t="inlineStr">
        <is>
          <t>Carbon Steel</t>
        </is>
      </c>
      <c r="C231" s="13" t="inlineStr">
        <is>
          <t>ASME B36.10M</t>
        </is>
      </c>
      <c r="D231" s="12" t="inlineStr">
        <is>
          <t>20''</t>
        </is>
      </c>
      <c r="E231" s="38" t="n">
        <v>500</v>
      </c>
      <c r="F231" s="12" t="inlineStr">
        <is>
          <t>160</t>
        </is>
      </c>
      <c r="G231" s="14" t="n">
        <v>20</v>
      </c>
      <c r="H231" s="40" t="n">
        <v>508</v>
      </c>
      <c r="I231" s="14" t="n">
        <v>1.969</v>
      </c>
      <c r="J231" s="40" t="n">
        <v>50.01</v>
      </c>
      <c r="K231" s="14">
        <f>ROUND((H231-J231)*J231*IF(B231="Carbon Steel",$K$7,IF(B231="Stainless Steel 304",$K$8,$L$8)), 3)</f>
        <v/>
      </c>
      <c r="L231" s="40">
        <f>ROUND(K231*$G$5, 2)</f>
        <v/>
      </c>
      <c r="M231" s="38">
        <f>INT($G$6/H231)</f>
        <v/>
      </c>
      <c r="N231" s="38">
        <f>IF(M231=0, 0, IF(OR($K$6="Square Grid", M231=1), INT($G$7/H231), IF($G$7&lt;H231, 0, 1+INT(($G$7-H231)/(0.8660254*H231)))))</f>
        <v/>
      </c>
      <c r="O231" s="41">
        <f>IF(OR(M231=0,N231=0), 0, IF(OR($K$6="Square Grid", M231=1), M231*N231*$K$5, (INT((N231+1)/2)*M231 + INT(N231/2)*IF(($G$6-M231*H231)&gt;=0.5*H231, M231, M231-1))*$K$5))</f>
        <v/>
      </c>
      <c r="P231" s="41">
        <f>IF(L231&lt;=0, 0, INT($G$8/L231))</f>
        <v/>
      </c>
      <c r="Q231" s="42">
        <f>MIN(O231, P231)</f>
        <v/>
      </c>
      <c r="R231" s="43">
        <f>ROUND((Q231*L231)/1000, 2)</f>
        <v/>
      </c>
      <c r="S231" s="44">
        <f>IF($C$8&gt;0, R231/$C$8, 0)</f>
        <v/>
      </c>
      <c r="T231" s="44">
        <f>IF(O231&gt;0, Q231/O231, 0)</f>
        <v/>
      </c>
      <c r="U231" s="12">
        <f>IF(Q231=0, "Exceeds Limit", IF(P231&lt;=O231, "Weight Limited", "Volume Limited"))</f>
        <v/>
      </c>
    </row>
    <row r="232" ht="19" customHeight="1">
      <c r="A232" s="45" t="n">
        <v>222</v>
      </c>
      <c r="B232" s="46" t="inlineStr">
        <is>
          <t>Carbon Steel</t>
        </is>
      </c>
      <c r="C232" s="19" t="inlineStr">
        <is>
          <t>ASME B36.10M</t>
        </is>
      </c>
      <c r="D232" s="18" t="inlineStr">
        <is>
          <t>22''</t>
        </is>
      </c>
      <c r="E232" s="45" t="n">
        <v>550</v>
      </c>
      <c r="F232" s="18" t="inlineStr">
        <is>
          <t>5</t>
        </is>
      </c>
      <c r="G232" s="20" t="n">
        <v>22</v>
      </c>
      <c r="H232" s="47" t="n">
        <v>558.8</v>
      </c>
      <c r="I232" s="20" t="n">
        <v>0.188</v>
      </c>
      <c r="J232" s="47" t="n">
        <v>4.78</v>
      </c>
      <c r="K232" s="20">
        <f>ROUND((H232-J232)*J232*IF(B232="Carbon Steel",$K$7,IF(B232="Stainless Steel 304",$K$8,$L$8)), 3)</f>
        <v/>
      </c>
      <c r="L232" s="47">
        <f>ROUND(K232*$G$5, 2)</f>
        <v/>
      </c>
      <c r="M232" s="45">
        <f>INT($G$6/H232)</f>
        <v/>
      </c>
      <c r="N232" s="45">
        <f>IF(M232=0, 0, IF(OR($K$6="Square Grid", M232=1), INT($G$7/H232), IF($G$7&lt;H232, 0, 1+INT(($G$7-H232)/(0.8660254*H232)))))</f>
        <v/>
      </c>
      <c r="O232" s="48">
        <f>IF(OR(M232=0,N232=0), 0, IF(OR($K$6="Square Grid", M232=1), M232*N232*$K$5, (INT((N232+1)/2)*M232 + INT(N232/2)*IF(($G$6-M232*H232)&gt;=0.5*H232, M232, M232-1))*$K$5))</f>
        <v/>
      </c>
      <c r="P232" s="48">
        <f>IF(L232&lt;=0, 0, INT($G$8/L232))</f>
        <v/>
      </c>
      <c r="Q232" s="42">
        <f>MIN(O232, P232)</f>
        <v/>
      </c>
      <c r="R232" s="43">
        <f>ROUND((Q232*L232)/1000, 2)</f>
        <v/>
      </c>
      <c r="S232" s="49">
        <f>IF($C$8&gt;0, R232/$C$8, 0)</f>
        <v/>
      </c>
      <c r="T232" s="49">
        <f>IF(O232&gt;0, Q232/O232, 0)</f>
        <v/>
      </c>
      <c r="U232" s="18">
        <f>IF(Q232=0, "Exceeds Limit", IF(P232&lt;=O232, "Weight Limited", "Volume Limited"))</f>
        <v/>
      </c>
    </row>
    <row r="233" ht="19" customHeight="1">
      <c r="A233" s="38" t="n">
        <v>223</v>
      </c>
      <c r="B233" s="39" t="inlineStr">
        <is>
          <t>Carbon Steel</t>
        </is>
      </c>
      <c r="C233" s="13" t="inlineStr">
        <is>
          <t>ASME B36.10M</t>
        </is>
      </c>
      <c r="D233" s="12" t="inlineStr">
        <is>
          <t>22''</t>
        </is>
      </c>
      <c r="E233" s="38" t="n">
        <v>550</v>
      </c>
      <c r="F233" s="12" t="inlineStr">
        <is>
          <t>10</t>
        </is>
      </c>
      <c r="G233" s="14" t="n">
        <v>22</v>
      </c>
      <c r="H233" s="40" t="n">
        <v>558.8</v>
      </c>
      <c r="I233" s="14" t="n">
        <v>0.25</v>
      </c>
      <c r="J233" s="40" t="n">
        <v>6.35</v>
      </c>
      <c r="K233" s="14">
        <f>ROUND((H233-J233)*J233*IF(B233="Carbon Steel",$K$7,IF(B233="Stainless Steel 304",$K$8,$L$8)), 3)</f>
        <v/>
      </c>
      <c r="L233" s="40">
        <f>ROUND(K233*$G$5, 2)</f>
        <v/>
      </c>
      <c r="M233" s="38">
        <f>INT($G$6/H233)</f>
        <v/>
      </c>
      <c r="N233" s="38">
        <f>IF(M233=0, 0, IF(OR($K$6="Square Grid", M233=1), INT($G$7/H233), IF($G$7&lt;H233, 0, 1+INT(($G$7-H233)/(0.8660254*H233)))))</f>
        <v/>
      </c>
      <c r="O233" s="41">
        <f>IF(OR(M233=0,N233=0), 0, IF(OR($K$6="Square Grid", M233=1), M233*N233*$K$5, (INT((N233+1)/2)*M233 + INT(N233/2)*IF(($G$6-M233*H233)&gt;=0.5*H233, M233, M233-1))*$K$5))</f>
        <v/>
      </c>
      <c r="P233" s="41">
        <f>IF(L233&lt;=0, 0, INT($G$8/L233))</f>
        <v/>
      </c>
      <c r="Q233" s="42">
        <f>MIN(O233, P233)</f>
        <v/>
      </c>
      <c r="R233" s="43">
        <f>ROUND((Q233*L233)/1000, 2)</f>
        <v/>
      </c>
      <c r="S233" s="44">
        <f>IF($C$8&gt;0, R233/$C$8, 0)</f>
        <v/>
      </c>
      <c r="T233" s="44">
        <f>IF(O233&gt;0, Q233/O233, 0)</f>
        <v/>
      </c>
      <c r="U233" s="12">
        <f>IF(Q233=0, "Exceeds Limit", IF(P233&lt;=O233, "Weight Limited", "Volume Limited"))</f>
        <v/>
      </c>
    </row>
    <row r="234" ht="19" customHeight="1">
      <c r="A234" s="45" t="n">
        <v>224</v>
      </c>
      <c r="B234" s="46" t="inlineStr">
        <is>
          <t>Carbon Steel</t>
        </is>
      </c>
      <c r="C234" s="19" t="inlineStr">
        <is>
          <t>ASME B36.10M</t>
        </is>
      </c>
      <c r="D234" s="18" t="inlineStr">
        <is>
          <t>22''</t>
        </is>
      </c>
      <c r="E234" s="45" t="n">
        <v>550</v>
      </c>
      <c r="F234" s="18" t="inlineStr">
        <is>
          <t>20</t>
        </is>
      </c>
      <c r="G234" s="20" t="n">
        <v>22</v>
      </c>
      <c r="H234" s="47" t="n">
        <v>558.8</v>
      </c>
      <c r="I234" s="20" t="n">
        <v>0.375</v>
      </c>
      <c r="J234" s="47" t="n">
        <v>9.52</v>
      </c>
      <c r="K234" s="20">
        <f>ROUND((H234-J234)*J234*IF(B234="Carbon Steel",$K$7,IF(B234="Stainless Steel 304",$K$8,$L$8)), 3)</f>
        <v/>
      </c>
      <c r="L234" s="47">
        <f>ROUND(K234*$G$5, 2)</f>
        <v/>
      </c>
      <c r="M234" s="45">
        <f>INT($G$6/H234)</f>
        <v/>
      </c>
      <c r="N234" s="45">
        <f>IF(M234=0, 0, IF(OR($K$6="Square Grid", M234=1), INT($G$7/H234), IF($G$7&lt;H234, 0, 1+INT(($G$7-H234)/(0.8660254*H234)))))</f>
        <v/>
      </c>
      <c r="O234" s="48">
        <f>IF(OR(M234=0,N234=0), 0, IF(OR($K$6="Square Grid", M234=1), M234*N234*$K$5, (INT((N234+1)/2)*M234 + INT(N234/2)*IF(($G$6-M234*H234)&gt;=0.5*H234, M234, M234-1))*$K$5))</f>
        <v/>
      </c>
      <c r="P234" s="48">
        <f>IF(L234&lt;=0, 0, INT($G$8/L234))</f>
        <v/>
      </c>
      <c r="Q234" s="42">
        <f>MIN(O234, P234)</f>
        <v/>
      </c>
      <c r="R234" s="43">
        <f>ROUND((Q234*L234)/1000, 2)</f>
        <v/>
      </c>
      <c r="S234" s="49">
        <f>IF($C$8&gt;0, R234/$C$8, 0)</f>
        <v/>
      </c>
      <c r="T234" s="49">
        <f>IF(O234&gt;0, Q234/O234, 0)</f>
        <v/>
      </c>
      <c r="U234" s="18">
        <f>IF(Q234=0, "Exceeds Limit", IF(P234&lt;=O234, "Weight Limited", "Volume Limited"))</f>
        <v/>
      </c>
    </row>
    <row r="235" ht="19" customHeight="1">
      <c r="A235" s="38" t="n">
        <v>225</v>
      </c>
      <c r="B235" s="39" t="inlineStr">
        <is>
          <t>Carbon Steel</t>
        </is>
      </c>
      <c r="C235" s="13" t="inlineStr">
        <is>
          <t>ASME B36.10M</t>
        </is>
      </c>
      <c r="D235" s="12" t="inlineStr">
        <is>
          <t>22''</t>
        </is>
      </c>
      <c r="E235" s="38" t="n">
        <v>550</v>
      </c>
      <c r="F235" s="12" t="inlineStr">
        <is>
          <t>30</t>
        </is>
      </c>
      <c r="G235" s="14" t="n">
        <v>22</v>
      </c>
      <c r="H235" s="40" t="n">
        <v>558.8</v>
      </c>
      <c r="I235" s="14" t="n">
        <v>0.5</v>
      </c>
      <c r="J235" s="40" t="n">
        <v>12.7</v>
      </c>
      <c r="K235" s="14">
        <f>ROUND((H235-J235)*J235*IF(B235="Carbon Steel",$K$7,IF(B235="Stainless Steel 304",$K$8,$L$8)), 3)</f>
        <v/>
      </c>
      <c r="L235" s="40">
        <f>ROUND(K235*$G$5, 2)</f>
        <v/>
      </c>
      <c r="M235" s="38">
        <f>INT($G$6/H235)</f>
        <v/>
      </c>
      <c r="N235" s="38">
        <f>IF(M235=0, 0, IF(OR($K$6="Square Grid", M235=1), INT($G$7/H235), IF($G$7&lt;H235, 0, 1+INT(($G$7-H235)/(0.8660254*H235)))))</f>
        <v/>
      </c>
      <c r="O235" s="41">
        <f>IF(OR(M235=0,N235=0), 0, IF(OR($K$6="Square Grid", M235=1), M235*N235*$K$5, (INT((N235+1)/2)*M235 + INT(N235/2)*IF(($G$6-M235*H235)&gt;=0.5*H235, M235, M235-1))*$K$5))</f>
        <v/>
      </c>
      <c r="P235" s="41">
        <f>IF(L235&lt;=0, 0, INT($G$8/L235))</f>
        <v/>
      </c>
      <c r="Q235" s="42">
        <f>MIN(O235, P235)</f>
        <v/>
      </c>
      <c r="R235" s="43">
        <f>ROUND((Q235*L235)/1000, 2)</f>
        <v/>
      </c>
      <c r="S235" s="44">
        <f>IF($C$8&gt;0, R235/$C$8, 0)</f>
        <v/>
      </c>
      <c r="T235" s="44">
        <f>IF(O235&gt;0, Q235/O235, 0)</f>
        <v/>
      </c>
      <c r="U235" s="12">
        <f>IF(Q235=0, "Exceeds Limit", IF(P235&lt;=O235, "Weight Limited", "Volume Limited"))</f>
        <v/>
      </c>
    </row>
    <row r="236" ht="19" customHeight="1">
      <c r="A236" s="45" t="n">
        <v>226</v>
      </c>
      <c r="B236" s="46" t="inlineStr">
        <is>
          <t>Carbon Steel</t>
        </is>
      </c>
      <c r="C236" s="19" t="inlineStr">
        <is>
          <t>ASME B36.10M</t>
        </is>
      </c>
      <c r="D236" s="18" t="inlineStr">
        <is>
          <t>22''</t>
        </is>
      </c>
      <c r="E236" s="45" t="n">
        <v>550</v>
      </c>
      <c r="F236" s="18" t="inlineStr">
        <is>
          <t>STD</t>
        </is>
      </c>
      <c r="G236" s="20" t="n">
        <v>22</v>
      </c>
      <c r="H236" s="47" t="n">
        <v>558.8</v>
      </c>
      <c r="I236" s="20" t="n">
        <v>0.375</v>
      </c>
      <c r="J236" s="47" t="n">
        <v>9.52</v>
      </c>
      <c r="K236" s="20">
        <f>ROUND((H236-J236)*J236*IF(B236="Carbon Steel",$K$7,IF(B236="Stainless Steel 304",$K$8,$L$8)), 3)</f>
        <v/>
      </c>
      <c r="L236" s="47">
        <f>ROUND(K236*$G$5, 2)</f>
        <v/>
      </c>
      <c r="M236" s="45">
        <f>INT($G$6/H236)</f>
        <v/>
      </c>
      <c r="N236" s="45">
        <f>IF(M236=0, 0, IF(OR($K$6="Square Grid", M236=1), INT($G$7/H236), IF($G$7&lt;H236, 0, 1+INT(($G$7-H236)/(0.8660254*H236)))))</f>
        <v/>
      </c>
      <c r="O236" s="48">
        <f>IF(OR(M236=0,N236=0), 0, IF(OR($K$6="Square Grid", M236=1), M236*N236*$K$5, (INT((N236+1)/2)*M236 + INT(N236/2)*IF(($G$6-M236*H236)&gt;=0.5*H236, M236, M236-1))*$K$5))</f>
        <v/>
      </c>
      <c r="P236" s="48">
        <f>IF(L236&lt;=0, 0, INT($G$8/L236))</f>
        <v/>
      </c>
      <c r="Q236" s="42">
        <f>MIN(O236, P236)</f>
        <v/>
      </c>
      <c r="R236" s="43">
        <f>ROUND((Q236*L236)/1000, 2)</f>
        <v/>
      </c>
      <c r="S236" s="49">
        <f>IF($C$8&gt;0, R236/$C$8, 0)</f>
        <v/>
      </c>
      <c r="T236" s="49">
        <f>IF(O236&gt;0, Q236/O236, 0)</f>
        <v/>
      </c>
      <c r="U236" s="18">
        <f>IF(Q236=0, "Exceeds Limit", IF(P236&lt;=O236, "Weight Limited", "Volume Limited"))</f>
        <v/>
      </c>
    </row>
    <row r="237" ht="19" customHeight="1">
      <c r="A237" s="38" t="n">
        <v>227</v>
      </c>
      <c r="B237" s="39" t="inlineStr">
        <is>
          <t>Carbon Steel</t>
        </is>
      </c>
      <c r="C237" s="13" t="inlineStr">
        <is>
          <t>ASME B36.10M</t>
        </is>
      </c>
      <c r="D237" s="12" t="inlineStr">
        <is>
          <t>22''</t>
        </is>
      </c>
      <c r="E237" s="38" t="n">
        <v>550</v>
      </c>
      <c r="F237" s="12" t="inlineStr">
        <is>
          <t>60</t>
        </is>
      </c>
      <c r="G237" s="14" t="n">
        <v>22</v>
      </c>
      <c r="H237" s="40" t="n">
        <v>558.8</v>
      </c>
      <c r="I237" s="14" t="n">
        <v>0.875</v>
      </c>
      <c r="J237" s="40" t="n">
        <v>22.22</v>
      </c>
      <c r="K237" s="14">
        <f>ROUND((H237-J237)*J237*IF(B237="Carbon Steel",$K$7,IF(B237="Stainless Steel 304",$K$8,$L$8)), 3)</f>
        <v/>
      </c>
      <c r="L237" s="40">
        <f>ROUND(K237*$G$5, 2)</f>
        <v/>
      </c>
      <c r="M237" s="38">
        <f>INT($G$6/H237)</f>
        <v/>
      </c>
      <c r="N237" s="38">
        <f>IF(M237=0, 0, IF(OR($K$6="Square Grid", M237=1), INT($G$7/H237), IF($G$7&lt;H237, 0, 1+INT(($G$7-H237)/(0.8660254*H237)))))</f>
        <v/>
      </c>
      <c r="O237" s="41">
        <f>IF(OR(M237=0,N237=0), 0, IF(OR($K$6="Square Grid", M237=1), M237*N237*$K$5, (INT((N237+1)/2)*M237 + INT(N237/2)*IF(($G$6-M237*H237)&gt;=0.5*H237, M237, M237-1))*$K$5))</f>
        <v/>
      </c>
      <c r="P237" s="41">
        <f>IF(L237&lt;=0, 0, INT($G$8/L237))</f>
        <v/>
      </c>
      <c r="Q237" s="42">
        <f>MIN(O237, P237)</f>
        <v/>
      </c>
      <c r="R237" s="43">
        <f>ROUND((Q237*L237)/1000, 2)</f>
        <v/>
      </c>
      <c r="S237" s="44">
        <f>IF($C$8&gt;0, R237/$C$8, 0)</f>
        <v/>
      </c>
      <c r="T237" s="44">
        <f>IF(O237&gt;0, Q237/O237, 0)</f>
        <v/>
      </c>
      <c r="U237" s="12">
        <f>IF(Q237=0, "Exceeds Limit", IF(P237&lt;=O237, "Weight Limited", "Volume Limited"))</f>
        <v/>
      </c>
    </row>
    <row r="238" ht="19" customHeight="1">
      <c r="A238" s="45" t="n">
        <v>228</v>
      </c>
      <c r="B238" s="46" t="inlineStr">
        <is>
          <t>Carbon Steel</t>
        </is>
      </c>
      <c r="C238" s="19" t="inlineStr">
        <is>
          <t>ASME B36.10M</t>
        </is>
      </c>
      <c r="D238" s="18" t="inlineStr">
        <is>
          <t>22''</t>
        </is>
      </c>
      <c r="E238" s="45" t="n">
        <v>550</v>
      </c>
      <c r="F238" s="18" t="inlineStr">
        <is>
          <t>XS</t>
        </is>
      </c>
      <c r="G238" s="20" t="n">
        <v>22</v>
      </c>
      <c r="H238" s="47" t="n">
        <v>558.8</v>
      </c>
      <c r="I238" s="20" t="n">
        <v>0.5</v>
      </c>
      <c r="J238" s="47" t="n">
        <v>12.7</v>
      </c>
      <c r="K238" s="20">
        <f>ROUND((H238-J238)*J238*IF(B238="Carbon Steel",$K$7,IF(B238="Stainless Steel 304",$K$8,$L$8)), 3)</f>
        <v/>
      </c>
      <c r="L238" s="47">
        <f>ROUND(K238*$G$5, 2)</f>
        <v/>
      </c>
      <c r="M238" s="45">
        <f>INT($G$6/H238)</f>
        <v/>
      </c>
      <c r="N238" s="45">
        <f>IF(M238=0, 0, IF(OR($K$6="Square Grid", M238=1), INT($G$7/H238), IF($G$7&lt;H238, 0, 1+INT(($G$7-H238)/(0.8660254*H238)))))</f>
        <v/>
      </c>
      <c r="O238" s="48">
        <f>IF(OR(M238=0,N238=0), 0, IF(OR($K$6="Square Grid", M238=1), M238*N238*$K$5, (INT((N238+1)/2)*M238 + INT(N238/2)*IF(($G$6-M238*H238)&gt;=0.5*H238, M238, M238-1))*$K$5))</f>
        <v/>
      </c>
      <c r="P238" s="48">
        <f>IF(L238&lt;=0, 0, INT($G$8/L238))</f>
        <v/>
      </c>
      <c r="Q238" s="42">
        <f>MIN(O238, P238)</f>
        <v/>
      </c>
      <c r="R238" s="43">
        <f>ROUND((Q238*L238)/1000, 2)</f>
        <v/>
      </c>
      <c r="S238" s="49">
        <f>IF($C$8&gt;0, R238/$C$8, 0)</f>
        <v/>
      </c>
      <c r="T238" s="49">
        <f>IF(O238&gt;0, Q238/O238, 0)</f>
        <v/>
      </c>
      <c r="U238" s="18">
        <f>IF(Q238=0, "Exceeds Limit", IF(P238&lt;=O238, "Weight Limited", "Volume Limited"))</f>
        <v/>
      </c>
    </row>
    <row r="239" ht="19" customHeight="1">
      <c r="A239" s="38" t="n">
        <v>229</v>
      </c>
      <c r="B239" s="39" t="inlineStr">
        <is>
          <t>Carbon Steel</t>
        </is>
      </c>
      <c r="C239" s="13" t="inlineStr">
        <is>
          <t>ASME B36.10M</t>
        </is>
      </c>
      <c r="D239" s="12" t="inlineStr">
        <is>
          <t>22''</t>
        </is>
      </c>
      <c r="E239" s="38" t="n">
        <v>550</v>
      </c>
      <c r="F239" s="12" t="inlineStr">
        <is>
          <t>80</t>
        </is>
      </c>
      <c r="G239" s="14" t="n">
        <v>22</v>
      </c>
      <c r="H239" s="40" t="n">
        <v>558.8</v>
      </c>
      <c r="I239" s="14" t="n">
        <v>1.125</v>
      </c>
      <c r="J239" s="40" t="n">
        <v>28.57</v>
      </c>
      <c r="K239" s="14">
        <f>ROUND((H239-J239)*J239*IF(B239="Carbon Steel",$K$7,IF(B239="Stainless Steel 304",$K$8,$L$8)), 3)</f>
        <v/>
      </c>
      <c r="L239" s="40">
        <f>ROUND(K239*$G$5, 2)</f>
        <v/>
      </c>
      <c r="M239" s="38">
        <f>INT($G$6/H239)</f>
        <v/>
      </c>
      <c r="N239" s="38">
        <f>IF(M239=0, 0, IF(OR($K$6="Square Grid", M239=1), INT($G$7/H239), IF($G$7&lt;H239, 0, 1+INT(($G$7-H239)/(0.8660254*H239)))))</f>
        <v/>
      </c>
      <c r="O239" s="41">
        <f>IF(OR(M239=0,N239=0), 0, IF(OR($K$6="Square Grid", M239=1), M239*N239*$K$5, (INT((N239+1)/2)*M239 + INT(N239/2)*IF(($G$6-M239*H239)&gt;=0.5*H239, M239, M239-1))*$K$5))</f>
        <v/>
      </c>
      <c r="P239" s="41">
        <f>IF(L239&lt;=0, 0, INT($G$8/L239))</f>
        <v/>
      </c>
      <c r="Q239" s="42">
        <f>MIN(O239, P239)</f>
        <v/>
      </c>
      <c r="R239" s="43">
        <f>ROUND((Q239*L239)/1000, 2)</f>
        <v/>
      </c>
      <c r="S239" s="44">
        <f>IF($C$8&gt;0, R239/$C$8, 0)</f>
        <v/>
      </c>
      <c r="T239" s="44">
        <f>IF(O239&gt;0, Q239/O239, 0)</f>
        <v/>
      </c>
      <c r="U239" s="12">
        <f>IF(Q239=0, "Exceeds Limit", IF(P239&lt;=O239, "Weight Limited", "Volume Limited"))</f>
        <v/>
      </c>
    </row>
    <row r="240" ht="19" customHeight="1">
      <c r="A240" s="45" t="n">
        <v>230</v>
      </c>
      <c r="B240" s="46" t="inlineStr">
        <is>
          <t>Carbon Steel</t>
        </is>
      </c>
      <c r="C240" s="19" t="inlineStr">
        <is>
          <t>ASME B36.10M</t>
        </is>
      </c>
      <c r="D240" s="18" t="inlineStr">
        <is>
          <t>22''</t>
        </is>
      </c>
      <c r="E240" s="45" t="n">
        <v>550</v>
      </c>
      <c r="F240" s="18" t="inlineStr">
        <is>
          <t>100</t>
        </is>
      </c>
      <c r="G240" s="20" t="n">
        <v>22</v>
      </c>
      <c r="H240" s="47" t="n">
        <v>558.8</v>
      </c>
      <c r="I240" s="20" t="n">
        <v>1.375</v>
      </c>
      <c r="J240" s="47" t="n">
        <v>34.92</v>
      </c>
      <c r="K240" s="20">
        <f>ROUND((H240-J240)*J240*IF(B240="Carbon Steel",$K$7,IF(B240="Stainless Steel 304",$K$8,$L$8)), 3)</f>
        <v/>
      </c>
      <c r="L240" s="47">
        <f>ROUND(K240*$G$5, 2)</f>
        <v/>
      </c>
      <c r="M240" s="45">
        <f>INT($G$6/H240)</f>
        <v/>
      </c>
      <c r="N240" s="45">
        <f>IF(M240=0, 0, IF(OR($K$6="Square Grid", M240=1), INT($G$7/H240), IF($G$7&lt;H240, 0, 1+INT(($G$7-H240)/(0.8660254*H240)))))</f>
        <v/>
      </c>
      <c r="O240" s="48">
        <f>IF(OR(M240=0,N240=0), 0, IF(OR($K$6="Square Grid", M240=1), M240*N240*$K$5, (INT((N240+1)/2)*M240 + INT(N240/2)*IF(($G$6-M240*H240)&gt;=0.5*H240, M240, M240-1))*$K$5))</f>
        <v/>
      </c>
      <c r="P240" s="48">
        <f>IF(L240&lt;=0, 0, INT($G$8/L240))</f>
        <v/>
      </c>
      <c r="Q240" s="42">
        <f>MIN(O240, P240)</f>
        <v/>
      </c>
      <c r="R240" s="43">
        <f>ROUND((Q240*L240)/1000, 2)</f>
        <v/>
      </c>
      <c r="S240" s="49">
        <f>IF($C$8&gt;0, R240/$C$8, 0)</f>
        <v/>
      </c>
      <c r="T240" s="49">
        <f>IF(O240&gt;0, Q240/O240, 0)</f>
        <v/>
      </c>
      <c r="U240" s="18">
        <f>IF(Q240=0, "Exceeds Limit", IF(P240&lt;=O240, "Weight Limited", "Volume Limited"))</f>
        <v/>
      </c>
    </row>
    <row r="241" ht="19" customHeight="1">
      <c r="A241" s="38" t="n">
        <v>231</v>
      </c>
      <c r="B241" s="39" t="inlineStr">
        <is>
          <t>Carbon Steel</t>
        </is>
      </c>
      <c r="C241" s="13" t="inlineStr">
        <is>
          <t>ASME B36.10M</t>
        </is>
      </c>
      <c r="D241" s="12" t="inlineStr">
        <is>
          <t>22''</t>
        </is>
      </c>
      <c r="E241" s="38" t="n">
        <v>550</v>
      </c>
      <c r="F241" s="12" t="inlineStr">
        <is>
          <t>120</t>
        </is>
      </c>
      <c r="G241" s="14" t="n">
        <v>22</v>
      </c>
      <c r="H241" s="40" t="n">
        <v>558.8</v>
      </c>
      <c r="I241" s="14" t="n">
        <v>1.625</v>
      </c>
      <c r="J241" s="40" t="n">
        <v>41.27</v>
      </c>
      <c r="K241" s="14">
        <f>ROUND((H241-J241)*J241*IF(B241="Carbon Steel",$K$7,IF(B241="Stainless Steel 304",$K$8,$L$8)), 3)</f>
        <v/>
      </c>
      <c r="L241" s="40">
        <f>ROUND(K241*$G$5, 2)</f>
        <v/>
      </c>
      <c r="M241" s="38">
        <f>INT($G$6/H241)</f>
        <v/>
      </c>
      <c r="N241" s="38">
        <f>IF(M241=0, 0, IF(OR($K$6="Square Grid", M241=1), INT($G$7/H241), IF($G$7&lt;H241, 0, 1+INT(($G$7-H241)/(0.8660254*H241)))))</f>
        <v/>
      </c>
      <c r="O241" s="41">
        <f>IF(OR(M241=0,N241=0), 0, IF(OR($K$6="Square Grid", M241=1), M241*N241*$K$5, (INT((N241+1)/2)*M241 + INT(N241/2)*IF(($G$6-M241*H241)&gt;=0.5*H241, M241, M241-1))*$K$5))</f>
        <v/>
      </c>
      <c r="P241" s="41">
        <f>IF(L241&lt;=0, 0, INT($G$8/L241))</f>
        <v/>
      </c>
      <c r="Q241" s="42">
        <f>MIN(O241, P241)</f>
        <v/>
      </c>
      <c r="R241" s="43">
        <f>ROUND((Q241*L241)/1000, 2)</f>
        <v/>
      </c>
      <c r="S241" s="44">
        <f>IF($C$8&gt;0, R241/$C$8, 0)</f>
        <v/>
      </c>
      <c r="T241" s="44">
        <f>IF(O241&gt;0, Q241/O241, 0)</f>
        <v/>
      </c>
      <c r="U241" s="12">
        <f>IF(Q241=0, "Exceeds Limit", IF(P241&lt;=O241, "Weight Limited", "Volume Limited"))</f>
        <v/>
      </c>
    </row>
    <row r="242" ht="19" customHeight="1">
      <c r="A242" s="45" t="n">
        <v>232</v>
      </c>
      <c r="B242" s="46" t="inlineStr">
        <is>
          <t>Carbon Steel</t>
        </is>
      </c>
      <c r="C242" s="19" t="inlineStr">
        <is>
          <t>ASME B36.10M</t>
        </is>
      </c>
      <c r="D242" s="18" t="inlineStr">
        <is>
          <t>22''</t>
        </is>
      </c>
      <c r="E242" s="45" t="n">
        <v>550</v>
      </c>
      <c r="F242" s="18" t="inlineStr">
        <is>
          <t>140</t>
        </is>
      </c>
      <c r="G242" s="20" t="n">
        <v>22</v>
      </c>
      <c r="H242" s="47" t="n">
        <v>558.8</v>
      </c>
      <c r="I242" s="20" t="n">
        <v>1.875</v>
      </c>
      <c r="J242" s="47" t="n">
        <v>47.62</v>
      </c>
      <c r="K242" s="20">
        <f>ROUND((H242-J242)*J242*IF(B242="Carbon Steel",$K$7,IF(B242="Stainless Steel 304",$K$8,$L$8)), 3)</f>
        <v/>
      </c>
      <c r="L242" s="47">
        <f>ROUND(K242*$G$5, 2)</f>
        <v/>
      </c>
      <c r="M242" s="45">
        <f>INT($G$6/H242)</f>
        <v/>
      </c>
      <c r="N242" s="45">
        <f>IF(M242=0, 0, IF(OR($K$6="Square Grid", M242=1), INT($G$7/H242), IF($G$7&lt;H242, 0, 1+INT(($G$7-H242)/(0.8660254*H242)))))</f>
        <v/>
      </c>
      <c r="O242" s="48">
        <f>IF(OR(M242=0,N242=0), 0, IF(OR($K$6="Square Grid", M242=1), M242*N242*$K$5, (INT((N242+1)/2)*M242 + INT(N242/2)*IF(($G$6-M242*H242)&gt;=0.5*H242, M242, M242-1))*$K$5))</f>
        <v/>
      </c>
      <c r="P242" s="48">
        <f>IF(L242&lt;=0, 0, INT($G$8/L242))</f>
        <v/>
      </c>
      <c r="Q242" s="42">
        <f>MIN(O242, P242)</f>
        <v/>
      </c>
      <c r="R242" s="43">
        <f>ROUND((Q242*L242)/1000, 2)</f>
        <v/>
      </c>
      <c r="S242" s="49">
        <f>IF($C$8&gt;0, R242/$C$8, 0)</f>
        <v/>
      </c>
      <c r="T242" s="49">
        <f>IF(O242&gt;0, Q242/O242, 0)</f>
        <v/>
      </c>
      <c r="U242" s="18">
        <f>IF(Q242=0, "Exceeds Limit", IF(P242&lt;=O242, "Weight Limited", "Volume Limited"))</f>
        <v/>
      </c>
    </row>
    <row r="243" ht="19" customHeight="1">
      <c r="A243" s="38" t="n">
        <v>233</v>
      </c>
      <c r="B243" s="39" t="inlineStr">
        <is>
          <t>Carbon Steel</t>
        </is>
      </c>
      <c r="C243" s="13" t="inlineStr">
        <is>
          <t>ASME B36.10M</t>
        </is>
      </c>
      <c r="D243" s="12" t="inlineStr">
        <is>
          <t>22''</t>
        </is>
      </c>
      <c r="E243" s="38" t="n">
        <v>550</v>
      </c>
      <c r="F243" s="12" t="inlineStr">
        <is>
          <t>160</t>
        </is>
      </c>
      <c r="G243" s="14" t="n">
        <v>22</v>
      </c>
      <c r="H243" s="40" t="n">
        <v>558.8</v>
      </c>
      <c r="I243" s="14" t="n">
        <v>2.125</v>
      </c>
      <c r="J243" s="40" t="n">
        <v>53.97</v>
      </c>
      <c r="K243" s="14">
        <f>ROUND((H243-J243)*J243*IF(B243="Carbon Steel",$K$7,IF(B243="Stainless Steel 304",$K$8,$L$8)), 3)</f>
        <v/>
      </c>
      <c r="L243" s="40">
        <f>ROUND(K243*$G$5, 2)</f>
        <v/>
      </c>
      <c r="M243" s="38">
        <f>INT($G$6/H243)</f>
        <v/>
      </c>
      <c r="N243" s="38">
        <f>IF(M243=0, 0, IF(OR($K$6="Square Grid", M243=1), INT($G$7/H243), IF($G$7&lt;H243, 0, 1+INT(($G$7-H243)/(0.8660254*H243)))))</f>
        <v/>
      </c>
      <c r="O243" s="41">
        <f>IF(OR(M243=0,N243=0), 0, IF(OR($K$6="Square Grid", M243=1), M243*N243*$K$5, (INT((N243+1)/2)*M243 + INT(N243/2)*IF(($G$6-M243*H243)&gt;=0.5*H243, M243, M243-1))*$K$5))</f>
        <v/>
      </c>
      <c r="P243" s="41">
        <f>IF(L243&lt;=0, 0, INT($G$8/L243))</f>
        <v/>
      </c>
      <c r="Q243" s="42">
        <f>MIN(O243, P243)</f>
        <v/>
      </c>
      <c r="R243" s="43">
        <f>ROUND((Q243*L243)/1000, 2)</f>
        <v/>
      </c>
      <c r="S243" s="44">
        <f>IF($C$8&gt;0, R243/$C$8, 0)</f>
        <v/>
      </c>
      <c r="T243" s="44">
        <f>IF(O243&gt;0, Q243/O243, 0)</f>
        <v/>
      </c>
      <c r="U243" s="12">
        <f>IF(Q243=0, "Exceeds Limit", IF(P243&lt;=O243, "Weight Limited", "Volume Limited"))</f>
        <v/>
      </c>
    </row>
    <row r="244" ht="19" customHeight="1">
      <c r="A244" s="45" t="n">
        <v>234</v>
      </c>
      <c r="B244" s="46" t="inlineStr">
        <is>
          <t>Carbon Steel</t>
        </is>
      </c>
      <c r="C244" s="19" t="inlineStr">
        <is>
          <t>ASME B36.10M</t>
        </is>
      </c>
      <c r="D244" s="18" t="inlineStr">
        <is>
          <t>24''</t>
        </is>
      </c>
      <c r="E244" s="45" t="n">
        <v>600</v>
      </c>
      <c r="F244" s="18" t="inlineStr">
        <is>
          <t>5</t>
        </is>
      </c>
      <c r="G244" s="20" t="n">
        <v>24</v>
      </c>
      <c r="H244" s="47" t="n">
        <v>609.6</v>
      </c>
      <c r="I244" s="20" t="n">
        <v>0.218</v>
      </c>
      <c r="J244" s="47" t="n">
        <v>5.54</v>
      </c>
      <c r="K244" s="20">
        <f>ROUND((H244-J244)*J244*IF(B244="Carbon Steel",$K$7,IF(B244="Stainless Steel 304",$K$8,$L$8)), 3)</f>
        <v/>
      </c>
      <c r="L244" s="47">
        <f>ROUND(K244*$G$5, 2)</f>
        <v/>
      </c>
      <c r="M244" s="45">
        <f>INT($G$6/H244)</f>
        <v/>
      </c>
      <c r="N244" s="45">
        <f>IF(M244=0, 0, IF(OR($K$6="Square Grid", M244=1), INT($G$7/H244), IF($G$7&lt;H244, 0, 1+INT(($G$7-H244)/(0.8660254*H244)))))</f>
        <v/>
      </c>
      <c r="O244" s="48">
        <f>IF(OR(M244=0,N244=0), 0, IF(OR($K$6="Square Grid", M244=1), M244*N244*$K$5, (INT((N244+1)/2)*M244 + INT(N244/2)*IF(($G$6-M244*H244)&gt;=0.5*H244, M244, M244-1))*$K$5))</f>
        <v/>
      </c>
      <c r="P244" s="48">
        <f>IF(L244&lt;=0, 0, INT($G$8/L244))</f>
        <v/>
      </c>
      <c r="Q244" s="42">
        <f>MIN(O244, P244)</f>
        <v/>
      </c>
      <c r="R244" s="43">
        <f>ROUND((Q244*L244)/1000, 2)</f>
        <v/>
      </c>
      <c r="S244" s="49">
        <f>IF($C$8&gt;0, R244/$C$8, 0)</f>
        <v/>
      </c>
      <c r="T244" s="49">
        <f>IF(O244&gt;0, Q244/O244, 0)</f>
        <v/>
      </c>
      <c r="U244" s="18">
        <f>IF(Q244=0, "Exceeds Limit", IF(P244&lt;=O244, "Weight Limited", "Volume Limited"))</f>
        <v/>
      </c>
    </row>
    <row r="245" ht="19" customHeight="1">
      <c r="A245" s="38" t="n">
        <v>235</v>
      </c>
      <c r="B245" s="39" t="inlineStr">
        <is>
          <t>Carbon Steel</t>
        </is>
      </c>
      <c r="C245" s="13" t="inlineStr">
        <is>
          <t>ASME B36.10M</t>
        </is>
      </c>
      <c r="D245" s="12" t="inlineStr">
        <is>
          <t>24''</t>
        </is>
      </c>
      <c r="E245" s="38" t="n">
        <v>600</v>
      </c>
      <c r="F245" s="12" t="inlineStr">
        <is>
          <t>10</t>
        </is>
      </c>
      <c r="G245" s="14" t="n">
        <v>24</v>
      </c>
      <c r="H245" s="40" t="n">
        <v>609.6</v>
      </c>
      <c r="I245" s="14" t="n">
        <v>0.25</v>
      </c>
      <c r="J245" s="40" t="n">
        <v>6.35</v>
      </c>
      <c r="K245" s="14">
        <f>ROUND((H245-J245)*J245*IF(B245="Carbon Steel",$K$7,IF(B245="Stainless Steel 304",$K$8,$L$8)), 3)</f>
        <v/>
      </c>
      <c r="L245" s="40">
        <f>ROUND(K245*$G$5, 2)</f>
        <v/>
      </c>
      <c r="M245" s="38">
        <f>INT($G$6/H245)</f>
        <v/>
      </c>
      <c r="N245" s="38">
        <f>IF(M245=0, 0, IF(OR($K$6="Square Grid", M245=1), INT($G$7/H245), IF($G$7&lt;H245, 0, 1+INT(($G$7-H245)/(0.8660254*H245)))))</f>
        <v/>
      </c>
      <c r="O245" s="41">
        <f>IF(OR(M245=0,N245=0), 0, IF(OR($K$6="Square Grid", M245=1), M245*N245*$K$5, (INT((N245+1)/2)*M245 + INT(N245/2)*IF(($G$6-M245*H245)&gt;=0.5*H245, M245, M245-1))*$K$5))</f>
        <v/>
      </c>
      <c r="P245" s="41">
        <f>IF(L245&lt;=0, 0, INT($G$8/L245))</f>
        <v/>
      </c>
      <c r="Q245" s="42">
        <f>MIN(O245, P245)</f>
        <v/>
      </c>
      <c r="R245" s="43">
        <f>ROUND((Q245*L245)/1000, 2)</f>
        <v/>
      </c>
      <c r="S245" s="44">
        <f>IF($C$8&gt;0, R245/$C$8, 0)</f>
        <v/>
      </c>
      <c r="T245" s="44">
        <f>IF(O245&gt;0, Q245/O245, 0)</f>
        <v/>
      </c>
      <c r="U245" s="12">
        <f>IF(Q245=0, "Exceeds Limit", IF(P245&lt;=O245, "Weight Limited", "Volume Limited"))</f>
        <v/>
      </c>
    </row>
    <row r="246" ht="19" customHeight="1">
      <c r="A246" s="45" t="n">
        <v>236</v>
      </c>
      <c r="B246" s="46" t="inlineStr">
        <is>
          <t>Carbon Steel</t>
        </is>
      </c>
      <c r="C246" s="19" t="inlineStr">
        <is>
          <t>ASME B36.10M</t>
        </is>
      </c>
      <c r="D246" s="18" t="inlineStr">
        <is>
          <t>24''</t>
        </is>
      </c>
      <c r="E246" s="45" t="n">
        <v>600</v>
      </c>
      <c r="F246" s="18" t="inlineStr">
        <is>
          <t>20</t>
        </is>
      </c>
      <c r="G246" s="20" t="n">
        <v>24</v>
      </c>
      <c r="H246" s="47" t="n">
        <v>609.6</v>
      </c>
      <c r="I246" s="20" t="n">
        <v>0.375</v>
      </c>
      <c r="J246" s="47" t="n">
        <v>9.52</v>
      </c>
      <c r="K246" s="20">
        <f>ROUND((H246-J246)*J246*IF(B246="Carbon Steel",$K$7,IF(B246="Stainless Steel 304",$K$8,$L$8)), 3)</f>
        <v/>
      </c>
      <c r="L246" s="47">
        <f>ROUND(K246*$G$5, 2)</f>
        <v/>
      </c>
      <c r="M246" s="45">
        <f>INT($G$6/H246)</f>
        <v/>
      </c>
      <c r="N246" s="45">
        <f>IF(M246=0, 0, IF(OR($K$6="Square Grid", M246=1), INT($G$7/H246), IF($G$7&lt;H246, 0, 1+INT(($G$7-H246)/(0.8660254*H246)))))</f>
        <v/>
      </c>
      <c r="O246" s="48">
        <f>IF(OR(M246=0,N246=0), 0, IF(OR($K$6="Square Grid", M246=1), M246*N246*$K$5, (INT((N246+1)/2)*M246 + INT(N246/2)*IF(($G$6-M246*H246)&gt;=0.5*H246, M246, M246-1))*$K$5))</f>
        <v/>
      </c>
      <c r="P246" s="48">
        <f>IF(L246&lt;=0, 0, INT($G$8/L246))</f>
        <v/>
      </c>
      <c r="Q246" s="42">
        <f>MIN(O246, P246)</f>
        <v/>
      </c>
      <c r="R246" s="43">
        <f>ROUND((Q246*L246)/1000, 2)</f>
        <v/>
      </c>
      <c r="S246" s="49">
        <f>IF($C$8&gt;0, R246/$C$8, 0)</f>
        <v/>
      </c>
      <c r="T246" s="49">
        <f>IF(O246&gt;0, Q246/O246, 0)</f>
        <v/>
      </c>
      <c r="U246" s="18">
        <f>IF(Q246=0, "Exceeds Limit", IF(P246&lt;=O246, "Weight Limited", "Volume Limited"))</f>
        <v/>
      </c>
    </row>
    <row r="247" ht="19" customHeight="1">
      <c r="A247" s="38" t="n">
        <v>237</v>
      </c>
      <c r="B247" s="39" t="inlineStr">
        <is>
          <t>Carbon Steel</t>
        </is>
      </c>
      <c r="C247" s="13" t="inlineStr">
        <is>
          <t>ASME B36.10M</t>
        </is>
      </c>
      <c r="D247" s="12" t="inlineStr">
        <is>
          <t>24''</t>
        </is>
      </c>
      <c r="E247" s="38" t="n">
        <v>600</v>
      </c>
      <c r="F247" s="12" t="inlineStr">
        <is>
          <t>30</t>
        </is>
      </c>
      <c r="G247" s="14" t="n">
        <v>24</v>
      </c>
      <c r="H247" s="40" t="n">
        <v>609.6</v>
      </c>
      <c r="I247" s="14" t="n">
        <v>0.5620000000000001</v>
      </c>
      <c r="J247" s="40" t="n">
        <v>14.27</v>
      </c>
      <c r="K247" s="14">
        <f>ROUND((H247-J247)*J247*IF(B247="Carbon Steel",$K$7,IF(B247="Stainless Steel 304",$K$8,$L$8)), 3)</f>
        <v/>
      </c>
      <c r="L247" s="40">
        <f>ROUND(K247*$G$5, 2)</f>
        <v/>
      </c>
      <c r="M247" s="38">
        <f>INT($G$6/H247)</f>
        <v/>
      </c>
      <c r="N247" s="38">
        <f>IF(M247=0, 0, IF(OR($K$6="Square Grid", M247=1), INT($G$7/H247), IF($G$7&lt;H247, 0, 1+INT(($G$7-H247)/(0.8660254*H247)))))</f>
        <v/>
      </c>
      <c r="O247" s="41">
        <f>IF(OR(M247=0,N247=0), 0, IF(OR($K$6="Square Grid", M247=1), M247*N247*$K$5, (INT((N247+1)/2)*M247 + INT(N247/2)*IF(($G$6-M247*H247)&gt;=0.5*H247, M247, M247-1))*$K$5))</f>
        <v/>
      </c>
      <c r="P247" s="41">
        <f>IF(L247&lt;=0, 0, INT($G$8/L247))</f>
        <v/>
      </c>
      <c r="Q247" s="42">
        <f>MIN(O247, P247)</f>
        <v/>
      </c>
      <c r="R247" s="43">
        <f>ROUND((Q247*L247)/1000, 2)</f>
        <v/>
      </c>
      <c r="S247" s="44">
        <f>IF($C$8&gt;0, R247/$C$8, 0)</f>
        <v/>
      </c>
      <c r="T247" s="44">
        <f>IF(O247&gt;0, Q247/O247, 0)</f>
        <v/>
      </c>
      <c r="U247" s="12">
        <f>IF(Q247=0, "Exceeds Limit", IF(P247&lt;=O247, "Weight Limited", "Volume Limited"))</f>
        <v/>
      </c>
    </row>
    <row r="248" ht="19" customHeight="1">
      <c r="A248" s="45" t="n">
        <v>238</v>
      </c>
      <c r="B248" s="46" t="inlineStr">
        <is>
          <t>Carbon Steel</t>
        </is>
      </c>
      <c r="C248" s="19" t="inlineStr">
        <is>
          <t>ASME B36.10M</t>
        </is>
      </c>
      <c r="D248" s="18" t="inlineStr">
        <is>
          <t>24''</t>
        </is>
      </c>
      <c r="E248" s="45" t="n">
        <v>600</v>
      </c>
      <c r="F248" s="18" t="inlineStr">
        <is>
          <t>STD</t>
        </is>
      </c>
      <c r="G248" s="20" t="n">
        <v>24</v>
      </c>
      <c r="H248" s="47" t="n">
        <v>609.6</v>
      </c>
      <c r="I248" s="20" t="n">
        <v>0.375</v>
      </c>
      <c r="J248" s="47" t="n">
        <v>9.52</v>
      </c>
      <c r="K248" s="20">
        <f>ROUND((H248-J248)*J248*IF(B248="Carbon Steel",$K$7,IF(B248="Stainless Steel 304",$K$8,$L$8)), 3)</f>
        <v/>
      </c>
      <c r="L248" s="47">
        <f>ROUND(K248*$G$5, 2)</f>
        <v/>
      </c>
      <c r="M248" s="45">
        <f>INT($G$6/H248)</f>
        <v/>
      </c>
      <c r="N248" s="45">
        <f>IF(M248=0, 0, IF(OR($K$6="Square Grid", M248=1), INT($G$7/H248), IF($G$7&lt;H248, 0, 1+INT(($G$7-H248)/(0.8660254*H248)))))</f>
        <v/>
      </c>
      <c r="O248" s="48">
        <f>IF(OR(M248=0,N248=0), 0, IF(OR($K$6="Square Grid", M248=1), M248*N248*$K$5, (INT((N248+1)/2)*M248 + INT(N248/2)*IF(($G$6-M248*H248)&gt;=0.5*H248, M248, M248-1))*$K$5))</f>
        <v/>
      </c>
      <c r="P248" s="48">
        <f>IF(L248&lt;=0, 0, INT($G$8/L248))</f>
        <v/>
      </c>
      <c r="Q248" s="42">
        <f>MIN(O248, P248)</f>
        <v/>
      </c>
      <c r="R248" s="43">
        <f>ROUND((Q248*L248)/1000, 2)</f>
        <v/>
      </c>
      <c r="S248" s="49">
        <f>IF($C$8&gt;0, R248/$C$8, 0)</f>
        <v/>
      </c>
      <c r="T248" s="49">
        <f>IF(O248&gt;0, Q248/O248, 0)</f>
        <v/>
      </c>
      <c r="U248" s="18">
        <f>IF(Q248=0, "Exceeds Limit", IF(P248&lt;=O248, "Weight Limited", "Volume Limited"))</f>
        <v/>
      </c>
    </row>
    <row r="249" ht="19" customHeight="1">
      <c r="A249" s="38" t="n">
        <v>239</v>
      </c>
      <c r="B249" s="39" t="inlineStr">
        <is>
          <t>Carbon Steel</t>
        </is>
      </c>
      <c r="C249" s="13" t="inlineStr">
        <is>
          <t>ASME B36.10M</t>
        </is>
      </c>
      <c r="D249" s="12" t="inlineStr">
        <is>
          <t>24''</t>
        </is>
      </c>
      <c r="E249" s="38" t="n">
        <v>600</v>
      </c>
      <c r="F249" s="12" t="inlineStr">
        <is>
          <t>40</t>
        </is>
      </c>
      <c r="G249" s="14" t="n">
        <v>24</v>
      </c>
      <c r="H249" s="40" t="n">
        <v>609.6</v>
      </c>
      <c r="I249" s="14" t="n">
        <v>0.6879999999999999</v>
      </c>
      <c r="J249" s="40" t="n">
        <v>17.48</v>
      </c>
      <c r="K249" s="14">
        <f>ROUND((H249-J249)*J249*IF(B249="Carbon Steel",$K$7,IF(B249="Stainless Steel 304",$K$8,$L$8)), 3)</f>
        <v/>
      </c>
      <c r="L249" s="40">
        <f>ROUND(K249*$G$5, 2)</f>
        <v/>
      </c>
      <c r="M249" s="38">
        <f>INT($G$6/H249)</f>
        <v/>
      </c>
      <c r="N249" s="38">
        <f>IF(M249=0, 0, IF(OR($K$6="Square Grid", M249=1), INT($G$7/H249), IF($G$7&lt;H249, 0, 1+INT(($G$7-H249)/(0.8660254*H249)))))</f>
        <v/>
      </c>
      <c r="O249" s="41">
        <f>IF(OR(M249=0,N249=0), 0, IF(OR($K$6="Square Grid", M249=1), M249*N249*$K$5, (INT((N249+1)/2)*M249 + INT(N249/2)*IF(($G$6-M249*H249)&gt;=0.5*H249, M249, M249-1))*$K$5))</f>
        <v/>
      </c>
      <c r="P249" s="41">
        <f>IF(L249&lt;=0, 0, INT($G$8/L249))</f>
        <v/>
      </c>
      <c r="Q249" s="42">
        <f>MIN(O249, P249)</f>
        <v/>
      </c>
      <c r="R249" s="43">
        <f>ROUND((Q249*L249)/1000, 2)</f>
        <v/>
      </c>
      <c r="S249" s="44">
        <f>IF($C$8&gt;0, R249/$C$8, 0)</f>
        <v/>
      </c>
      <c r="T249" s="44">
        <f>IF(O249&gt;0, Q249/O249, 0)</f>
        <v/>
      </c>
      <c r="U249" s="12">
        <f>IF(Q249=0, "Exceeds Limit", IF(P249&lt;=O249, "Weight Limited", "Volume Limited"))</f>
        <v/>
      </c>
    </row>
    <row r="250" ht="19" customHeight="1">
      <c r="A250" s="45" t="n">
        <v>240</v>
      </c>
      <c r="B250" s="46" t="inlineStr">
        <is>
          <t>Carbon Steel</t>
        </is>
      </c>
      <c r="C250" s="19" t="inlineStr">
        <is>
          <t>ASME B36.10M</t>
        </is>
      </c>
      <c r="D250" s="18" t="inlineStr">
        <is>
          <t>24''</t>
        </is>
      </c>
      <c r="E250" s="45" t="n">
        <v>600</v>
      </c>
      <c r="F250" s="18" t="inlineStr">
        <is>
          <t>60</t>
        </is>
      </c>
      <c r="G250" s="20" t="n">
        <v>24</v>
      </c>
      <c r="H250" s="47" t="n">
        <v>609.6</v>
      </c>
      <c r="I250" s="20" t="n">
        <v>0.969</v>
      </c>
      <c r="J250" s="47" t="n">
        <v>24.61</v>
      </c>
      <c r="K250" s="20">
        <f>ROUND((H250-J250)*J250*IF(B250="Carbon Steel",$K$7,IF(B250="Stainless Steel 304",$K$8,$L$8)), 3)</f>
        <v/>
      </c>
      <c r="L250" s="47">
        <f>ROUND(K250*$G$5, 2)</f>
        <v/>
      </c>
      <c r="M250" s="45">
        <f>INT($G$6/H250)</f>
        <v/>
      </c>
      <c r="N250" s="45">
        <f>IF(M250=0, 0, IF(OR($K$6="Square Grid", M250=1), INT($G$7/H250), IF($G$7&lt;H250, 0, 1+INT(($G$7-H250)/(0.8660254*H250)))))</f>
        <v/>
      </c>
      <c r="O250" s="48">
        <f>IF(OR(M250=0,N250=0), 0, IF(OR($K$6="Square Grid", M250=1), M250*N250*$K$5, (INT((N250+1)/2)*M250 + INT(N250/2)*IF(($G$6-M250*H250)&gt;=0.5*H250, M250, M250-1))*$K$5))</f>
        <v/>
      </c>
      <c r="P250" s="48">
        <f>IF(L250&lt;=0, 0, INT($G$8/L250))</f>
        <v/>
      </c>
      <c r="Q250" s="42">
        <f>MIN(O250, P250)</f>
        <v/>
      </c>
      <c r="R250" s="43">
        <f>ROUND((Q250*L250)/1000, 2)</f>
        <v/>
      </c>
      <c r="S250" s="49">
        <f>IF($C$8&gt;0, R250/$C$8, 0)</f>
        <v/>
      </c>
      <c r="T250" s="49">
        <f>IF(O250&gt;0, Q250/O250, 0)</f>
        <v/>
      </c>
      <c r="U250" s="18">
        <f>IF(Q250=0, "Exceeds Limit", IF(P250&lt;=O250, "Weight Limited", "Volume Limited"))</f>
        <v/>
      </c>
    </row>
    <row r="251" ht="19" customHeight="1">
      <c r="A251" s="38" t="n">
        <v>241</v>
      </c>
      <c r="B251" s="39" t="inlineStr">
        <is>
          <t>Carbon Steel</t>
        </is>
      </c>
      <c r="C251" s="13" t="inlineStr">
        <is>
          <t>ASME B36.10M</t>
        </is>
      </c>
      <c r="D251" s="12" t="inlineStr">
        <is>
          <t>24''</t>
        </is>
      </c>
      <c r="E251" s="38" t="n">
        <v>600</v>
      </c>
      <c r="F251" s="12" t="inlineStr">
        <is>
          <t>XS</t>
        </is>
      </c>
      <c r="G251" s="14" t="n">
        <v>24</v>
      </c>
      <c r="H251" s="40" t="n">
        <v>609.6</v>
      </c>
      <c r="I251" s="14" t="n">
        <v>0.5</v>
      </c>
      <c r="J251" s="40" t="n">
        <v>12.7</v>
      </c>
      <c r="K251" s="14">
        <f>ROUND((H251-J251)*J251*IF(B251="Carbon Steel",$K$7,IF(B251="Stainless Steel 304",$K$8,$L$8)), 3)</f>
        <v/>
      </c>
      <c r="L251" s="40">
        <f>ROUND(K251*$G$5, 2)</f>
        <v/>
      </c>
      <c r="M251" s="38">
        <f>INT($G$6/H251)</f>
        <v/>
      </c>
      <c r="N251" s="38">
        <f>IF(M251=0, 0, IF(OR($K$6="Square Grid", M251=1), INT($G$7/H251), IF($G$7&lt;H251, 0, 1+INT(($G$7-H251)/(0.8660254*H251)))))</f>
        <v/>
      </c>
      <c r="O251" s="41">
        <f>IF(OR(M251=0,N251=0), 0, IF(OR($K$6="Square Grid", M251=1), M251*N251*$K$5, (INT((N251+1)/2)*M251 + INT(N251/2)*IF(($G$6-M251*H251)&gt;=0.5*H251, M251, M251-1))*$K$5))</f>
        <v/>
      </c>
      <c r="P251" s="41">
        <f>IF(L251&lt;=0, 0, INT($G$8/L251))</f>
        <v/>
      </c>
      <c r="Q251" s="42">
        <f>MIN(O251, P251)</f>
        <v/>
      </c>
      <c r="R251" s="43">
        <f>ROUND((Q251*L251)/1000, 2)</f>
        <v/>
      </c>
      <c r="S251" s="44">
        <f>IF($C$8&gt;0, R251/$C$8, 0)</f>
        <v/>
      </c>
      <c r="T251" s="44">
        <f>IF(O251&gt;0, Q251/O251, 0)</f>
        <v/>
      </c>
      <c r="U251" s="12">
        <f>IF(Q251=0, "Exceeds Limit", IF(P251&lt;=O251, "Weight Limited", "Volume Limited"))</f>
        <v/>
      </c>
    </row>
    <row r="252" ht="19" customHeight="1">
      <c r="A252" s="45" t="n">
        <v>242</v>
      </c>
      <c r="B252" s="46" t="inlineStr">
        <is>
          <t>Carbon Steel</t>
        </is>
      </c>
      <c r="C252" s="19" t="inlineStr">
        <is>
          <t>ASME B36.10M</t>
        </is>
      </c>
      <c r="D252" s="18" t="inlineStr">
        <is>
          <t>24''</t>
        </is>
      </c>
      <c r="E252" s="45" t="n">
        <v>600</v>
      </c>
      <c r="F252" s="18" t="inlineStr">
        <is>
          <t>80</t>
        </is>
      </c>
      <c r="G252" s="20" t="n">
        <v>24</v>
      </c>
      <c r="H252" s="47" t="n">
        <v>609.6</v>
      </c>
      <c r="I252" s="20" t="n">
        <v>1.219</v>
      </c>
      <c r="J252" s="47" t="n">
        <v>30.96</v>
      </c>
      <c r="K252" s="20">
        <f>ROUND((H252-J252)*J252*IF(B252="Carbon Steel",$K$7,IF(B252="Stainless Steel 304",$K$8,$L$8)), 3)</f>
        <v/>
      </c>
      <c r="L252" s="47">
        <f>ROUND(K252*$G$5, 2)</f>
        <v/>
      </c>
      <c r="M252" s="45">
        <f>INT($G$6/H252)</f>
        <v/>
      </c>
      <c r="N252" s="45">
        <f>IF(M252=0, 0, IF(OR($K$6="Square Grid", M252=1), INT($G$7/H252), IF($G$7&lt;H252, 0, 1+INT(($G$7-H252)/(0.8660254*H252)))))</f>
        <v/>
      </c>
      <c r="O252" s="48">
        <f>IF(OR(M252=0,N252=0), 0, IF(OR($K$6="Square Grid", M252=1), M252*N252*$K$5, (INT((N252+1)/2)*M252 + INT(N252/2)*IF(($G$6-M252*H252)&gt;=0.5*H252, M252, M252-1))*$K$5))</f>
        <v/>
      </c>
      <c r="P252" s="48">
        <f>IF(L252&lt;=0, 0, INT($G$8/L252))</f>
        <v/>
      </c>
      <c r="Q252" s="42">
        <f>MIN(O252, P252)</f>
        <v/>
      </c>
      <c r="R252" s="43">
        <f>ROUND((Q252*L252)/1000, 2)</f>
        <v/>
      </c>
      <c r="S252" s="49">
        <f>IF($C$8&gt;0, R252/$C$8, 0)</f>
        <v/>
      </c>
      <c r="T252" s="49">
        <f>IF(O252&gt;0, Q252/O252, 0)</f>
        <v/>
      </c>
      <c r="U252" s="18">
        <f>IF(Q252=0, "Exceeds Limit", IF(P252&lt;=O252, "Weight Limited", "Volume Limited"))</f>
        <v/>
      </c>
    </row>
    <row r="253" ht="19" customHeight="1">
      <c r="A253" s="38" t="n">
        <v>243</v>
      </c>
      <c r="B253" s="39" t="inlineStr">
        <is>
          <t>Carbon Steel</t>
        </is>
      </c>
      <c r="C253" s="13" t="inlineStr">
        <is>
          <t>ASME B36.10M</t>
        </is>
      </c>
      <c r="D253" s="12" t="inlineStr">
        <is>
          <t>24''</t>
        </is>
      </c>
      <c r="E253" s="38" t="n">
        <v>600</v>
      </c>
      <c r="F253" s="12" t="inlineStr">
        <is>
          <t>100</t>
        </is>
      </c>
      <c r="G253" s="14" t="n">
        <v>24</v>
      </c>
      <c r="H253" s="40" t="n">
        <v>609.6</v>
      </c>
      <c r="I253" s="14" t="n">
        <v>1.531</v>
      </c>
      <c r="J253" s="40" t="n">
        <v>38.89</v>
      </c>
      <c r="K253" s="14">
        <f>ROUND((H253-J253)*J253*IF(B253="Carbon Steel",$K$7,IF(B253="Stainless Steel 304",$K$8,$L$8)), 3)</f>
        <v/>
      </c>
      <c r="L253" s="40">
        <f>ROUND(K253*$G$5, 2)</f>
        <v/>
      </c>
      <c r="M253" s="38">
        <f>INT($G$6/H253)</f>
        <v/>
      </c>
      <c r="N253" s="38">
        <f>IF(M253=0, 0, IF(OR($K$6="Square Grid", M253=1), INT($G$7/H253), IF($G$7&lt;H253, 0, 1+INT(($G$7-H253)/(0.8660254*H253)))))</f>
        <v/>
      </c>
      <c r="O253" s="41">
        <f>IF(OR(M253=0,N253=0), 0, IF(OR($K$6="Square Grid", M253=1), M253*N253*$K$5, (INT((N253+1)/2)*M253 + INT(N253/2)*IF(($G$6-M253*H253)&gt;=0.5*H253, M253, M253-1))*$K$5))</f>
        <v/>
      </c>
      <c r="P253" s="41">
        <f>IF(L253&lt;=0, 0, INT($G$8/L253))</f>
        <v/>
      </c>
      <c r="Q253" s="42">
        <f>MIN(O253, P253)</f>
        <v/>
      </c>
      <c r="R253" s="43">
        <f>ROUND((Q253*L253)/1000, 2)</f>
        <v/>
      </c>
      <c r="S253" s="44">
        <f>IF($C$8&gt;0, R253/$C$8, 0)</f>
        <v/>
      </c>
      <c r="T253" s="44">
        <f>IF(O253&gt;0, Q253/O253, 0)</f>
        <v/>
      </c>
      <c r="U253" s="12">
        <f>IF(Q253=0, "Exceeds Limit", IF(P253&lt;=O253, "Weight Limited", "Volume Limited"))</f>
        <v/>
      </c>
    </row>
    <row r="254" ht="19" customHeight="1">
      <c r="A254" s="45" t="n">
        <v>244</v>
      </c>
      <c r="B254" s="46" t="inlineStr">
        <is>
          <t>Carbon Steel</t>
        </is>
      </c>
      <c r="C254" s="19" t="inlineStr">
        <is>
          <t>ASME B36.10M</t>
        </is>
      </c>
      <c r="D254" s="18" t="inlineStr">
        <is>
          <t>24''</t>
        </is>
      </c>
      <c r="E254" s="45" t="n">
        <v>600</v>
      </c>
      <c r="F254" s="18" t="inlineStr">
        <is>
          <t>120</t>
        </is>
      </c>
      <c r="G254" s="20" t="n">
        <v>24</v>
      </c>
      <c r="H254" s="47" t="n">
        <v>609.6</v>
      </c>
      <c r="I254" s="20" t="n">
        <v>1.812</v>
      </c>
      <c r="J254" s="47" t="n">
        <v>46.02</v>
      </c>
      <c r="K254" s="20">
        <f>ROUND((H254-J254)*J254*IF(B254="Carbon Steel",$K$7,IF(B254="Stainless Steel 304",$K$8,$L$8)), 3)</f>
        <v/>
      </c>
      <c r="L254" s="47">
        <f>ROUND(K254*$G$5, 2)</f>
        <v/>
      </c>
      <c r="M254" s="45">
        <f>INT($G$6/H254)</f>
        <v/>
      </c>
      <c r="N254" s="45">
        <f>IF(M254=0, 0, IF(OR($K$6="Square Grid", M254=1), INT($G$7/H254), IF($G$7&lt;H254, 0, 1+INT(($G$7-H254)/(0.8660254*H254)))))</f>
        <v/>
      </c>
      <c r="O254" s="48">
        <f>IF(OR(M254=0,N254=0), 0, IF(OR($K$6="Square Grid", M254=1), M254*N254*$K$5, (INT((N254+1)/2)*M254 + INT(N254/2)*IF(($G$6-M254*H254)&gt;=0.5*H254, M254, M254-1))*$K$5))</f>
        <v/>
      </c>
      <c r="P254" s="48">
        <f>IF(L254&lt;=0, 0, INT($G$8/L254))</f>
        <v/>
      </c>
      <c r="Q254" s="42">
        <f>MIN(O254, P254)</f>
        <v/>
      </c>
      <c r="R254" s="43">
        <f>ROUND((Q254*L254)/1000, 2)</f>
        <v/>
      </c>
      <c r="S254" s="49">
        <f>IF($C$8&gt;0, R254/$C$8, 0)</f>
        <v/>
      </c>
      <c r="T254" s="49">
        <f>IF(O254&gt;0, Q254/O254, 0)</f>
        <v/>
      </c>
      <c r="U254" s="18">
        <f>IF(Q254=0, "Exceeds Limit", IF(P254&lt;=O254, "Weight Limited", "Volume Limited"))</f>
        <v/>
      </c>
    </row>
    <row r="255" ht="19" customHeight="1">
      <c r="A255" s="38" t="n">
        <v>245</v>
      </c>
      <c r="B255" s="39" t="inlineStr">
        <is>
          <t>Carbon Steel</t>
        </is>
      </c>
      <c r="C255" s="13" t="inlineStr">
        <is>
          <t>ASME B36.10M</t>
        </is>
      </c>
      <c r="D255" s="12" t="inlineStr">
        <is>
          <t>24''</t>
        </is>
      </c>
      <c r="E255" s="38" t="n">
        <v>600</v>
      </c>
      <c r="F255" s="12" t="inlineStr">
        <is>
          <t>140</t>
        </is>
      </c>
      <c r="G255" s="14" t="n">
        <v>24</v>
      </c>
      <c r="H255" s="40" t="n">
        <v>609.6</v>
      </c>
      <c r="I255" s="14" t="n">
        <v>2.062</v>
      </c>
      <c r="J255" s="40" t="n">
        <v>52.37</v>
      </c>
      <c r="K255" s="14">
        <f>ROUND((H255-J255)*J255*IF(B255="Carbon Steel",$K$7,IF(B255="Stainless Steel 304",$K$8,$L$8)), 3)</f>
        <v/>
      </c>
      <c r="L255" s="40">
        <f>ROUND(K255*$G$5, 2)</f>
        <v/>
      </c>
      <c r="M255" s="38">
        <f>INT($G$6/H255)</f>
        <v/>
      </c>
      <c r="N255" s="38">
        <f>IF(M255=0, 0, IF(OR($K$6="Square Grid", M255=1), INT($G$7/H255), IF($G$7&lt;H255, 0, 1+INT(($G$7-H255)/(0.8660254*H255)))))</f>
        <v/>
      </c>
      <c r="O255" s="41">
        <f>IF(OR(M255=0,N255=0), 0, IF(OR($K$6="Square Grid", M255=1), M255*N255*$K$5, (INT((N255+1)/2)*M255 + INT(N255/2)*IF(($G$6-M255*H255)&gt;=0.5*H255, M255, M255-1))*$K$5))</f>
        <v/>
      </c>
      <c r="P255" s="41">
        <f>IF(L255&lt;=0, 0, INT($G$8/L255))</f>
        <v/>
      </c>
      <c r="Q255" s="42">
        <f>MIN(O255, P255)</f>
        <v/>
      </c>
      <c r="R255" s="43">
        <f>ROUND((Q255*L255)/1000, 2)</f>
        <v/>
      </c>
      <c r="S255" s="44">
        <f>IF($C$8&gt;0, R255/$C$8, 0)</f>
        <v/>
      </c>
      <c r="T255" s="44">
        <f>IF(O255&gt;0, Q255/O255, 0)</f>
        <v/>
      </c>
      <c r="U255" s="12">
        <f>IF(Q255=0, "Exceeds Limit", IF(P255&lt;=O255, "Weight Limited", "Volume Limited"))</f>
        <v/>
      </c>
    </row>
    <row r="256" ht="19" customHeight="1">
      <c r="A256" s="45" t="n">
        <v>246</v>
      </c>
      <c r="B256" s="46" t="inlineStr">
        <is>
          <t>Carbon Steel</t>
        </is>
      </c>
      <c r="C256" s="19" t="inlineStr">
        <is>
          <t>ASME B36.10M</t>
        </is>
      </c>
      <c r="D256" s="18" t="inlineStr">
        <is>
          <t>24''</t>
        </is>
      </c>
      <c r="E256" s="45" t="n">
        <v>600</v>
      </c>
      <c r="F256" s="18" t="inlineStr">
        <is>
          <t>160</t>
        </is>
      </c>
      <c r="G256" s="20" t="n">
        <v>24</v>
      </c>
      <c r="H256" s="47" t="n">
        <v>609.6</v>
      </c>
      <c r="I256" s="20" t="n">
        <v>2.344</v>
      </c>
      <c r="J256" s="47" t="n">
        <v>59.54</v>
      </c>
      <c r="K256" s="20">
        <f>ROUND((H256-J256)*J256*IF(B256="Carbon Steel",$K$7,IF(B256="Stainless Steel 304",$K$8,$L$8)), 3)</f>
        <v/>
      </c>
      <c r="L256" s="47">
        <f>ROUND(K256*$G$5, 2)</f>
        <v/>
      </c>
      <c r="M256" s="45">
        <f>INT($G$6/H256)</f>
        <v/>
      </c>
      <c r="N256" s="45">
        <f>IF(M256=0, 0, IF(OR($K$6="Square Grid", M256=1), INT($G$7/H256), IF($G$7&lt;H256, 0, 1+INT(($G$7-H256)/(0.8660254*H256)))))</f>
        <v/>
      </c>
      <c r="O256" s="48">
        <f>IF(OR(M256=0,N256=0), 0, IF(OR($K$6="Square Grid", M256=1), M256*N256*$K$5, (INT((N256+1)/2)*M256 + INT(N256/2)*IF(($G$6-M256*H256)&gt;=0.5*H256, M256, M256-1))*$K$5))</f>
        <v/>
      </c>
      <c r="P256" s="48">
        <f>IF(L256&lt;=0, 0, INT($G$8/L256))</f>
        <v/>
      </c>
      <c r="Q256" s="42">
        <f>MIN(O256, P256)</f>
        <v/>
      </c>
      <c r="R256" s="43">
        <f>ROUND((Q256*L256)/1000, 2)</f>
        <v/>
      </c>
      <c r="S256" s="49">
        <f>IF($C$8&gt;0, R256/$C$8, 0)</f>
        <v/>
      </c>
      <c r="T256" s="49">
        <f>IF(O256&gt;0, Q256/O256, 0)</f>
        <v/>
      </c>
      <c r="U256" s="18">
        <f>IF(Q256=0, "Exceeds Limit", IF(P256&lt;=O256, "Weight Limited", "Volume Limited"))</f>
        <v/>
      </c>
    </row>
    <row r="257" ht="19" customHeight="1">
      <c r="A257" s="38" t="n">
        <v>247</v>
      </c>
      <c r="B257" s="39" t="inlineStr">
        <is>
          <t>Carbon Steel</t>
        </is>
      </c>
      <c r="C257" s="13" t="inlineStr">
        <is>
          <t>ASME B36.10M</t>
        </is>
      </c>
      <c r="D257" s="12" t="inlineStr">
        <is>
          <t>26''</t>
        </is>
      </c>
      <c r="E257" s="38" t="n">
        <v>650</v>
      </c>
      <c r="F257" s="12" t="inlineStr">
        <is>
          <t>10</t>
        </is>
      </c>
      <c r="G257" s="14" t="n">
        <v>26</v>
      </c>
      <c r="H257" s="40" t="n">
        <v>660.4</v>
      </c>
      <c r="I257" s="14" t="n">
        <v>0.312</v>
      </c>
      <c r="J257" s="40" t="n">
        <v>7.92</v>
      </c>
      <c r="K257" s="14">
        <f>ROUND((H257-J257)*J257*IF(B257="Carbon Steel",$K$7,IF(B257="Stainless Steel 304",$K$8,$L$8)), 3)</f>
        <v/>
      </c>
      <c r="L257" s="40">
        <f>ROUND(K257*$G$5, 2)</f>
        <v/>
      </c>
      <c r="M257" s="38">
        <f>INT($G$6/H257)</f>
        <v/>
      </c>
      <c r="N257" s="38">
        <f>IF(M257=0, 0, IF(OR($K$6="Square Grid", M257=1), INT($G$7/H257), IF($G$7&lt;H257, 0, 1+INT(($G$7-H257)/(0.8660254*H257)))))</f>
        <v/>
      </c>
      <c r="O257" s="41">
        <f>IF(OR(M257=0,N257=0), 0, IF(OR($K$6="Square Grid", M257=1), M257*N257*$K$5, (INT((N257+1)/2)*M257 + INT(N257/2)*IF(($G$6-M257*H257)&gt;=0.5*H257, M257, M257-1))*$K$5))</f>
        <v/>
      </c>
      <c r="P257" s="41">
        <f>IF(L257&lt;=0, 0, INT($G$8/L257))</f>
        <v/>
      </c>
      <c r="Q257" s="42">
        <f>MIN(O257, P257)</f>
        <v/>
      </c>
      <c r="R257" s="43">
        <f>ROUND((Q257*L257)/1000, 2)</f>
        <v/>
      </c>
      <c r="S257" s="44">
        <f>IF($C$8&gt;0, R257/$C$8, 0)</f>
        <v/>
      </c>
      <c r="T257" s="44">
        <f>IF(O257&gt;0, Q257/O257, 0)</f>
        <v/>
      </c>
      <c r="U257" s="12">
        <f>IF(Q257=0, "Exceeds Limit", IF(P257&lt;=O257, "Weight Limited", "Volume Limited"))</f>
        <v/>
      </c>
    </row>
    <row r="258" ht="19" customHeight="1">
      <c r="A258" s="45" t="n">
        <v>248</v>
      </c>
      <c r="B258" s="46" t="inlineStr">
        <is>
          <t>Carbon Steel</t>
        </is>
      </c>
      <c r="C258" s="19" t="inlineStr">
        <is>
          <t>ASME B36.10M</t>
        </is>
      </c>
      <c r="D258" s="18" t="inlineStr">
        <is>
          <t>26''</t>
        </is>
      </c>
      <c r="E258" s="45" t="n">
        <v>650</v>
      </c>
      <c r="F258" s="18" t="inlineStr">
        <is>
          <t>20</t>
        </is>
      </c>
      <c r="G258" s="20" t="n">
        <v>26</v>
      </c>
      <c r="H258" s="47" t="n">
        <v>660.4</v>
      </c>
      <c r="I258" s="20" t="n">
        <v>0.5</v>
      </c>
      <c r="J258" s="47" t="n">
        <v>12.7</v>
      </c>
      <c r="K258" s="20">
        <f>ROUND((H258-J258)*J258*IF(B258="Carbon Steel",$K$7,IF(B258="Stainless Steel 304",$K$8,$L$8)), 3)</f>
        <v/>
      </c>
      <c r="L258" s="47">
        <f>ROUND(K258*$G$5, 2)</f>
        <v/>
      </c>
      <c r="M258" s="45">
        <f>INT($G$6/H258)</f>
        <v/>
      </c>
      <c r="N258" s="45">
        <f>IF(M258=0, 0, IF(OR($K$6="Square Grid", M258=1), INT($G$7/H258), IF($G$7&lt;H258, 0, 1+INT(($G$7-H258)/(0.8660254*H258)))))</f>
        <v/>
      </c>
      <c r="O258" s="48">
        <f>IF(OR(M258=0,N258=0), 0, IF(OR($K$6="Square Grid", M258=1), M258*N258*$K$5, (INT((N258+1)/2)*M258 + INT(N258/2)*IF(($G$6-M258*H258)&gt;=0.5*H258, M258, M258-1))*$K$5))</f>
        <v/>
      </c>
      <c r="P258" s="48">
        <f>IF(L258&lt;=0, 0, INT($G$8/L258))</f>
        <v/>
      </c>
      <c r="Q258" s="42">
        <f>MIN(O258, P258)</f>
        <v/>
      </c>
      <c r="R258" s="43">
        <f>ROUND((Q258*L258)/1000, 2)</f>
        <v/>
      </c>
      <c r="S258" s="49">
        <f>IF($C$8&gt;0, R258/$C$8, 0)</f>
        <v/>
      </c>
      <c r="T258" s="49">
        <f>IF(O258&gt;0, Q258/O258, 0)</f>
        <v/>
      </c>
      <c r="U258" s="18">
        <f>IF(Q258=0, "Exceeds Limit", IF(P258&lt;=O258, "Weight Limited", "Volume Limited"))</f>
        <v/>
      </c>
    </row>
    <row r="259" ht="19" customHeight="1">
      <c r="A259" s="38" t="n">
        <v>249</v>
      </c>
      <c r="B259" s="39" t="inlineStr">
        <is>
          <t>Carbon Steel</t>
        </is>
      </c>
      <c r="C259" s="13" t="inlineStr">
        <is>
          <t>ASME B36.10M</t>
        </is>
      </c>
      <c r="D259" s="12" t="inlineStr">
        <is>
          <t>26''</t>
        </is>
      </c>
      <c r="E259" s="38" t="n">
        <v>650</v>
      </c>
      <c r="F259" s="12" t="inlineStr">
        <is>
          <t>STD</t>
        </is>
      </c>
      <c r="G259" s="14" t="n">
        <v>26</v>
      </c>
      <c r="H259" s="40" t="n">
        <v>660.4</v>
      </c>
      <c r="I259" s="14" t="n">
        <v>0.375</v>
      </c>
      <c r="J259" s="40" t="n">
        <v>9.52</v>
      </c>
      <c r="K259" s="14">
        <f>ROUND((H259-J259)*J259*IF(B259="Carbon Steel",$K$7,IF(B259="Stainless Steel 304",$K$8,$L$8)), 3)</f>
        <v/>
      </c>
      <c r="L259" s="40">
        <f>ROUND(K259*$G$5, 2)</f>
        <v/>
      </c>
      <c r="M259" s="38">
        <f>INT($G$6/H259)</f>
        <v/>
      </c>
      <c r="N259" s="38">
        <f>IF(M259=0, 0, IF(OR($K$6="Square Grid", M259=1), INT($G$7/H259), IF($G$7&lt;H259, 0, 1+INT(($G$7-H259)/(0.8660254*H259)))))</f>
        <v/>
      </c>
      <c r="O259" s="41">
        <f>IF(OR(M259=0,N259=0), 0, IF(OR($K$6="Square Grid", M259=1), M259*N259*$K$5, (INT((N259+1)/2)*M259 + INT(N259/2)*IF(($G$6-M259*H259)&gt;=0.5*H259, M259, M259-1))*$K$5))</f>
        <v/>
      </c>
      <c r="P259" s="41">
        <f>IF(L259&lt;=0, 0, INT($G$8/L259))</f>
        <v/>
      </c>
      <c r="Q259" s="42">
        <f>MIN(O259, P259)</f>
        <v/>
      </c>
      <c r="R259" s="43">
        <f>ROUND((Q259*L259)/1000, 2)</f>
        <v/>
      </c>
      <c r="S259" s="44">
        <f>IF($C$8&gt;0, R259/$C$8, 0)</f>
        <v/>
      </c>
      <c r="T259" s="44">
        <f>IF(O259&gt;0, Q259/O259, 0)</f>
        <v/>
      </c>
      <c r="U259" s="12">
        <f>IF(Q259=0, "Exceeds Limit", IF(P259&lt;=O259, "Weight Limited", "Volume Limited"))</f>
        <v/>
      </c>
    </row>
    <row r="260" ht="19" customHeight="1">
      <c r="A260" s="45" t="n">
        <v>250</v>
      </c>
      <c r="B260" s="46" t="inlineStr">
        <is>
          <t>Carbon Steel</t>
        </is>
      </c>
      <c r="C260" s="19" t="inlineStr">
        <is>
          <t>ASME B36.10M</t>
        </is>
      </c>
      <c r="D260" s="18" t="inlineStr">
        <is>
          <t>26''</t>
        </is>
      </c>
      <c r="E260" s="45" t="n">
        <v>650</v>
      </c>
      <c r="F260" s="18" t="inlineStr">
        <is>
          <t>XS</t>
        </is>
      </c>
      <c r="G260" s="20" t="n">
        <v>26</v>
      </c>
      <c r="H260" s="47" t="n">
        <v>660.4</v>
      </c>
      <c r="I260" s="20" t="n">
        <v>0.5</v>
      </c>
      <c r="J260" s="47" t="n">
        <v>12.7</v>
      </c>
      <c r="K260" s="20">
        <f>ROUND((H260-J260)*J260*IF(B260="Carbon Steel",$K$7,IF(B260="Stainless Steel 304",$K$8,$L$8)), 3)</f>
        <v/>
      </c>
      <c r="L260" s="47">
        <f>ROUND(K260*$G$5, 2)</f>
        <v/>
      </c>
      <c r="M260" s="45">
        <f>INT($G$6/H260)</f>
        <v/>
      </c>
      <c r="N260" s="45">
        <f>IF(M260=0, 0, IF(OR($K$6="Square Grid", M260=1), INT($G$7/H260), IF($G$7&lt;H260, 0, 1+INT(($G$7-H260)/(0.8660254*H260)))))</f>
        <v/>
      </c>
      <c r="O260" s="48">
        <f>IF(OR(M260=0,N260=0), 0, IF(OR($K$6="Square Grid", M260=1), M260*N260*$K$5, (INT((N260+1)/2)*M260 + INT(N260/2)*IF(($G$6-M260*H260)&gt;=0.5*H260, M260, M260-1))*$K$5))</f>
        <v/>
      </c>
      <c r="P260" s="48">
        <f>IF(L260&lt;=0, 0, INT($G$8/L260))</f>
        <v/>
      </c>
      <c r="Q260" s="42">
        <f>MIN(O260, P260)</f>
        <v/>
      </c>
      <c r="R260" s="43">
        <f>ROUND((Q260*L260)/1000, 2)</f>
        <v/>
      </c>
      <c r="S260" s="49">
        <f>IF($C$8&gt;0, R260/$C$8, 0)</f>
        <v/>
      </c>
      <c r="T260" s="49">
        <f>IF(O260&gt;0, Q260/O260, 0)</f>
        <v/>
      </c>
      <c r="U260" s="18">
        <f>IF(Q260=0, "Exceeds Limit", IF(P260&lt;=O260, "Weight Limited", "Volume Limited"))</f>
        <v/>
      </c>
    </row>
    <row r="261" ht="19" customHeight="1">
      <c r="A261" s="38" t="n">
        <v>251</v>
      </c>
      <c r="B261" s="39" t="inlineStr">
        <is>
          <t>Carbon Steel</t>
        </is>
      </c>
      <c r="C261" s="13" t="inlineStr">
        <is>
          <t>ASME B36.10M</t>
        </is>
      </c>
      <c r="D261" s="12" t="inlineStr">
        <is>
          <t>28''</t>
        </is>
      </c>
      <c r="E261" s="38" t="n">
        <v>700</v>
      </c>
      <c r="F261" s="12" t="inlineStr">
        <is>
          <t>10</t>
        </is>
      </c>
      <c r="G261" s="14" t="n">
        <v>28</v>
      </c>
      <c r="H261" s="40" t="n">
        <v>711.2</v>
      </c>
      <c r="I261" s="14" t="n">
        <v>0.312</v>
      </c>
      <c r="J261" s="40" t="n">
        <v>7.92</v>
      </c>
      <c r="K261" s="14">
        <f>ROUND((H261-J261)*J261*IF(B261="Carbon Steel",$K$7,IF(B261="Stainless Steel 304",$K$8,$L$8)), 3)</f>
        <v/>
      </c>
      <c r="L261" s="40">
        <f>ROUND(K261*$G$5, 2)</f>
        <v/>
      </c>
      <c r="M261" s="38">
        <f>INT($G$6/H261)</f>
        <v/>
      </c>
      <c r="N261" s="38">
        <f>IF(M261=0, 0, IF(OR($K$6="Square Grid", M261=1), INT($G$7/H261), IF($G$7&lt;H261, 0, 1+INT(($G$7-H261)/(0.8660254*H261)))))</f>
        <v/>
      </c>
      <c r="O261" s="41">
        <f>IF(OR(M261=0,N261=0), 0, IF(OR($K$6="Square Grid", M261=1), M261*N261*$K$5, (INT((N261+1)/2)*M261 + INT(N261/2)*IF(($G$6-M261*H261)&gt;=0.5*H261, M261, M261-1))*$K$5))</f>
        <v/>
      </c>
      <c r="P261" s="41">
        <f>IF(L261&lt;=0, 0, INT($G$8/L261))</f>
        <v/>
      </c>
      <c r="Q261" s="42">
        <f>MIN(O261, P261)</f>
        <v/>
      </c>
      <c r="R261" s="43">
        <f>ROUND((Q261*L261)/1000, 2)</f>
        <v/>
      </c>
      <c r="S261" s="44">
        <f>IF($C$8&gt;0, R261/$C$8, 0)</f>
        <v/>
      </c>
      <c r="T261" s="44">
        <f>IF(O261&gt;0, Q261/O261, 0)</f>
        <v/>
      </c>
      <c r="U261" s="12">
        <f>IF(Q261=0, "Exceeds Limit", IF(P261&lt;=O261, "Weight Limited", "Volume Limited"))</f>
        <v/>
      </c>
    </row>
    <row r="262" ht="19" customHeight="1">
      <c r="A262" s="45" t="n">
        <v>252</v>
      </c>
      <c r="B262" s="46" t="inlineStr">
        <is>
          <t>Carbon Steel</t>
        </is>
      </c>
      <c r="C262" s="19" t="inlineStr">
        <is>
          <t>ASME B36.10M</t>
        </is>
      </c>
      <c r="D262" s="18" t="inlineStr">
        <is>
          <t>28''</t>
        </is>
      </c>
      <c r="E262" s="45" t="n">
        <v>700</v>
      </c>
      <c r="F262" s="18" t="inlineStr">
        <is>
          <t>20</t>
        </is>
      </c>
      <c r="G262" s="20" t="n">
        <v>28</v>
      </c>
      <c r="H262" s="47" t="n">
        <v>711.2</v>
      </c>
      <c r="I262" s="20" t="n">
        <v>0.5</v>
      </c>
      <c r="J262" s="47" t="n">
        <v>12.7</v>
      </c>
      <c r="K262" s="20">
        <f>ROUND((H262-J262)*J262*IF(B262="Carbon Steel",$K$7,IF(B262="Stainless Steel 304",$K$8,$L$8)), 3)</f>
        <v/>
      </c>
      <c r="L262" s="47">
        <f>ROUND(K262*$G$5, 2)</f>
        <v/>
      </c>
      <c r="M262" s="45">
        <f>INT($G$6/H262)</f>
        <v/>
      </c>
      <c r="N262" s="45">
        <f>IF(M262=0, 0, IF(OR($K$6="Square Grid", M262=1), INT($G$7/H262), IF($G$7&lt;H262, 0, 1+INT(($G$7-H262)/(0.8660254*H262)))))</f>
        <v/>
      </c>
      <c r="O262" s="48">
        <f>IF(OR(M262=0,N262=0), 0, IF(OR($K$6="Square Grid", M262=1), M262*N262*$K$5, (INT((N262+1)/2)*M262 + INT(N262/2)*IF(($G$6-M262*H262)&gt;=0.5*H262, M262, M262-1))*$K$5))</f>
        <v/>
      </c>
      <c r="P262" s="48">
        <f>IF(L262&lt;=0, 0, INT($G$8/L262))</f>
        <v/>
      </c>
      <c r="Q262" s="42">
        <f>MIN(O262, P262)</f>
        <v/>
      </c>
      <c r="R262" s="43">
        <f>ROUND((Q262*L262)/1000, 2)</f>
        <v/>
      </c>
      <c r="S262" s="49">
        <f>IF($C$8&gt;0, R262/$C$8, 0)</f>
        <v/>
      </c>
      <c r="T262" s="49">
        <f>IF(O262&gt;0, Q262/O262, 0)</f>
        <v/>
      </c>
      <c r="U262" s="18">
        <f>IF(Q262=0, "Exceeds Limit", IF(P262&lt;=O262, "Weight Limited", "Volume Limited"))</f>
        <v/>
      </c>
    </row>
    <row r="263" ht="19" customHeight="1">
      <c r="A263" s="38" t="n">
        <v>253</v>
      </c>
      <c r="B263" s="39" t="inlineStr">
        <is>
          <t>Carbon Steel</t>
        </is>
      </c>
      <c r="C263" s="13" t="inlineStr">
        <is>
          <t>ASME B36.10M</t>
        </is>
      </c>
      <c r="D263" s="12" t="inlineStr">
        <is>
          <t>28''</t>
        </is>
      </c>
      <c r="E263" s="38" t="n">
        <v>700</v>
      </c>
      <c r="F263" s="12" t="inlineStr">
        <is>
          <t>30</t>
        </is>
      </c>
      <c r="G263" s="14" t="n">
        <v>28</v>
      </c>
      <c r="H263" s="40" t="n">
        <v>711.2</v>
      </c>
      <c r="I263" s="14" t="n">
        <v>0.625</v>
      </c>
      <c r="J263" s="40" t="n">
        <v>15.88</v>
      </c>
      <c r="K263" s="14">
        <f>ROUND((H263-J263)*J263*IF(B263="Carbon Steel",$K$7,IF(B263="Stainless Steel 304",$K$8,$L$8)), 3)</f>
        <v/>
      </c>
      <c r="L263" s="40">
        <f>ROUND(K263*$G$5, 2)</f>
        <v/>
      </c>
      <c r="M263" s="38">
        <f>INT($G$6/H263)</f>
        <v/>
      </c>
      <c r="N263" s="38">
        <f>IF(M263=0, 0, IF(OR($K$6="Square Grid", M263=1), INT($G$7/H263), IF($G$7&lt;H263, 0, 1+INT(($G$7-H263)/(0.8660254*H263)))))</f>
        <v/>
      </c>
      <c r="O263" s="41">
        <f>IF(OR(M263=0,N263=0), 0, IF(OR($K$6="Square Grid", M263=1), M263*N263*$K$5, (INT((N263+1)/2)*M263 + INT(N263/2)*IF(($G$6-M263*H263)&gt;=0.5*H263, M263, M263-1))*$K$5))</f>
        <v/>
      </c>
      <c r="P263" s="41">
        <f>IF(L263&lt;=0, 0, INT($G$8/L263))</f>
        <v/>
      </c>
      <c r="Q263" s="42">
        <f>MIN(O263, P263)</f>
        <v/>
      </c>
      <c r="R263" s="43">
        <f>ROUND((Q263*L263)/1000, 2)</f>
        <v/>
      </c>
      <c r="S263" s="44">
        <f>IF($C$8&gt;0, R263/$C$8, 0)</f>
        <v/>
      </c>
      <c r="T263" s="44">
        <f>IF(O263&gt;0, Q263/O263, 0)</f>
        <v/>
      </c>
      <c r="U263" s="12">
        <f>IF(Q263=0, "Exceeds Limit", IF(P263&lt;=O263, "Weight Limited", "Volume Limited"))</f>
        <v/>
      </c>
    </row>
    <row r="264" ht="19" customHeight="1">
      <c r="A264" s="45" t="n">
        <v>254</v>
      </c>
      <c r="B264" s="46" t="inlineStr">
        <is>
          <t>Carbon Steel</t>
        </is>
      </c>
      <c r="C264" s="19" t="inlineStr">
        <is>
          <t>ASME B36.10M</t>
        </is>
      </c>
      <c r="D264" s="18" t="inlineStr">
        <is>
          <t>28''</t>
        </is>
      </c>
      <c r="E264" s="45" t="n">
        <v>700</v>
      </c>
      <c r="F264" s="18" t="inlineStr">
        <is>
          <t>STD</t>
        </is>
      </c>
      <c r="G264" s="20" t="n">
        <v>28</v>
      </c>
      <c r="H264" s="47" t="n">
        <v>711.2</v>
      </c>
      <c r="I264" s="20" t="n">
        <v>0.375</v>
      </c>
      <c r="J264" s="47" t="n">
        <v>9.52</v>
      </c>
      <c r="K264" s="20">
        <f>ROUND((H264-J264)*J264*IF(B264="Carbon Steel",$K$7,IF(B264="Stainless Steel 304",$K$8,$L$8)), 3)</f>
        <v/>
      </c>
      <c r="L264" s="47">
        <f>ROUND(K264*$G$5, 2)</f>
        <v/>
      </c>
      <c r="M264" s="45">
        <f>INT($G$6/H264)</f>
        <v/>
      </c>
      <c r="N264" s="45">
        <f>IF(M264=0, 0, IF(OR($K$6="Square Grid", M264=1), INT($G$7/H264), IF($G$7&lt;H264, 0, 1+INT(($G$7-H264)/(0.8660254*H264)))))</f>
        <v/>
      </c>
      <c r="O264" s="48">
        <f>IF(OR(M264=0,N264=0), 0, IF(OR($K$6="Square Grid", M264=1), M264*N264*$K$5, (INT((N264+1)/2)*M264 + INT(N264/2)*IF(($G$6-M264*H264)&gt;=0.5*H264, M264, M264-1))*$K$5))</f>
        <v/>
      </c>
      <c r="P264" s="48">
        <f>IF(L264&lt;=0, 0, INT($G$8/L264))</f>
        <v/>
      </c>
      <c r="Q264" s="42">
        <f>MIN(O264, P264)</f>
        <v/>
      </c>
      <c r="R264" s="43">
        <f>ROUND((Q264*L264)/1000, 2)</f>
        <v/>
      </c>
      <c r="S264" s="49">
        <f>IF($C$8&gt;0, R264/$C$8, 0)</f>
        <v/>
      </c>
      <c r="T264" s="49">
        <f>IF(O264&gt;0, Q264/O264, 0)</f>
        <v/>
      </c>
      <c r="U264" s="18">
        <f>IF(Q264=0, "Exceeds Limit", IF(P264&lt;=O264, "Weight Limited", "Volume Limited"))</f>
        <v/>
      </c>
    </row>
    <row r="265" ht="19" customHeight="1">
      <c r="A265" s="38" t="n">
        <v>255</v>
      </c>
      <c r="B265" s="39" t="inlineStr">
        <is>
          <t>Carbon Steel</t>
        </is>
      </c>
      <c r="C265" s="13" t="inlineStr">
        <is>
          <t>ASME B36.10M</t>
        </is>
      </c>
      <c r="D265" s="12" t="inlineStr">
        <is>
          <t>28''</t>
        </is>
      </c>
      <c r="E265" s="38" t="n">
        <v>700</v>
      </c>
      <c r="F265" s="12" t="inlineStr">
        <is>
          <t>XS</t>
        </is>
      </c>
      <c r="G265" s="14" t="n">
        <v>28</v>
      </c>
      <c r="H265" s="40" t="n">
        <v>711.2</v>
      </c>
      <c r="I265" s="14" t="n">
        <v>0.5</v>
      </c>
      <c r="J265" s="40" t="n">
        <v>12.7</v>
      </c>
      <c r="K265" s="14">
        <f>ROUND((H265-J265)*J265*IF(B265="Carbon Steel",$K$7,IF(B265="Stainless Steel 304",$K$8,$L$8)), 3)</f>
        <v/>
      </c>
      <c r="L265" s="40">
        <f>ROUND(K265*$G$5, 2)</f>
        <v/>
      </c>
      <c r="M265" s="38">
        <f>INT($G$6/H265)</f>
        <v/>
      </c>
      <c r="N265" s="38">
        <f>IF(M265=0, 0, IF(OR($K$6="Square Grid", M265=1), INT($G$7/H265), IF($G$7&lt;H265, 0, 1+INT(($G$7-H265)/(0.8660254*H265)))))</f>
        <v/>
      </c>
      <c r="O265" s="41">
        <f>IF(OR(M265=0,N265=0), 0, IF(OR($K$6="Square Grid", M265=1), M265*N265*$K$5, (INT((N265+1)/2)*M265 + INT(N265/2)*IF(($G$6-M265*H265)&gt;=0.5*H265, M265, M265-1))*$K$5))</f>
        <v/>
      </c>
      <c r="P265" s="41">
        <f>IF(L265&lt;=0, 0, INT($G$8/L265))</f>
        <v/>
      </c>
      <c r="Q265" s="42">
        <f>MIN(O265, P265)</f>
        <v/>
      </c>
      <c r="R265" s="43">
        <f>ROUND((Q265*L265)/1000, 2)</f>
        <v/>
      </c>
      <c r="S265" s="44">
        <f>IF($C$8&gt;0, R265/$C$8, 0)</f>
        <v/>
      </c>
      <c r="T265" s="44">
        <f>IF(O265&gt;0, Q265/O265, 0)</f>
        <v/>
      </c>
      <c r="U265" s="12">
        <f>IF(Q265=0, "Exceeds Limit", IF(P265&lt;=O265, "Weight Limited", "Volume Limited"))</f>
        <v/>
      </c>
    </row>
    <row r="266" ht="19" customHeight="1">
      <c r="A266" s="45" t="n">
        <v>256</v>
      </c>
      <c r="B266" s="46" t="inlineStr">
        <is>
          <t>Carbon Steel</t>
        </is>
      </c>
      <c r="C266" s="19" t="inlineStr">
        <is>
          <t>ASME B36.10M</t>
        </is>
      </c>
      <c r="D266" s="18" t="inlineStr">
        <is>
          <t>30''</t>
        </is>
      </c>
      <c r="E266" s="45" t="n">
        <v>750</v>
      </c>
      <c r="F266" s="18" t="inlineStr">
        <is>
          <t>5</t>
        </is>
      </c>
      <c r="G266" s="20" t="n">
        <v>30</v>
      </c>
      <c r="H266" s="47" t="n">
        <v>762</v>
      </c>
      <c r="I266" s="20" t="n">
        <v>0.25</v>
      </c>
      <c r="J266" s="47" t="n">
        <v>6.35</v>
      </c>
      <c r="K266" s="20">
        <f>ROUND((H266-J266)*J266*IF(B266="Carbon Steel",$K$7,IF(B266="Stainless Steel 304",$K$8,$L$8)), 3)</f>
        <v/>
      </c>
      <c r="L266" s="47">
        <f>ROUND(K266*$G$5, 2)</f>
        <v/>
      </c>
      <c r="M266" s="45">
        <f>INT($G$6/H266)</f>
        <v/>
      </c>
      <c r="N266" s="45">
        <f>IF(M266=0, 0, IF(OR($K$6="Square Grid", M266=1), INT($G$7/H266), IF($G$7&lt;H266, 0, 1+INT(($G$7-H266)/(0.8660254*H266)))))</f>
        <v/>
      </c>
      <c r="O266" s="48">
        <f>IF(OR(M266=0,N266=0), 0, IF(OR($K$6="Square Grid", M266=1), M266*N266*$K$5, (INT((N266+1)/2)*M266 + INT(N266/2)*IF(($G$6-M266*H266)&gt;=0.5*H266, M266, M266-1))*$K$5))</f>
        <v/>
      </c>
      <c r="P266" s="48">
        <f>IF(L266&lt;=0, 0, INT($G$8/L266))</f>
        <v/>
      </c>
      <c r="Q266" s="42">
        <f>MIN(O266, P266)</f>
        <v/>
      </c>
      <c r="R266" s="43">
        <f>ROUND((Q266*L266)/1000, 2)</f>
        <v/>
      </c>
      <c r="S266" s="49">
        <f>IF($C$8&gt;0, R266/$C$8, 0)</f>
        <v/>
      </c>
      <c r="T266" s="49">
        <f>IF(O266&gt;0, Q266/O266, 0)</f>
        <v/>
      </c>
      <c r="U266" s="18">
        <f>IF(Q266=0, "Exceeds Limit", IF(P266&lt;=O266, "Weight Limited", "Volume Limited"))</f>
        <v/>
      </c>
    </row>
    <row r="267" ht="19" customHeight="1">
      <c r="A267" s="38" t="n">
        <v>257</v>
      </c>
      <c r="B267" s="39" t="inlineStr">
        <is>
          <t>Carbon Steel</t>
        </is>
      </c>
      <c r="C267" s="13" t="inlineStr">
        <is>
          <t>ASME B36.10M</t>
        </is>
      </c>
      <c r="D267" s="12" t="inlineStr">
        <is>
          <t>30''</t>
        </is>
      </c>
      <c r="E267" s="38" t="n">
        <v>750</v>
      </c>
      <c r="F267" s="12" t="inlineStr">
        <is>
          <t>10</t>
        </is>
      </c>
      <c r="G267" s="14" t="n">
        <v>30</v>
      </c>
      <c r="H267" s="40" t="n">
        <v>762</v>
      </c>
      <c r="I267" s="14" t="n">
        <v>0.312</v>
      </c>
      <c r="J267" s="40" t="n">
        <v>7.92</v>
      </c>
      <c r="K267" s="14">
        <f>ROUND((H267-J267)*J267*IF(B267="Carbon Steel",$K$7,IF(B267="Stainless Steel 304",$K$8,$L$8)), 3)</f>
        <v/>
      </c>
      <c r="L267" s="40">
        <f>ROUND(K267*$G$5, 2)</f>
        <v/>
      </c>
      <c r="M267" s="38">
        <f>INT($G$6/H267)</f>
        <v/>
      </c>
      <c r="N267" s="38">
        <f>IF(M267=0, 0, IF(OR($K$6="Square Grid", M267=1), INT($G$7/H267), IF($G$7&lt;H267, 0, 1+INT(($G$7-H267)/(0.8660254*H267)))))</f>
        <v/>
      </c>
      <c r="O267" s="41">
        <f>IF(OR(M267=0,N267=0), 0, IF(OR($K$6="Square Grid", M267=1), M267*N267*$K$5, (INT((N267+1)/2)*M267 + INT(N267/2)*IF(($G$6-M267*H267)&gt;=0.5*H267, M267, M267-1))*$K$5))</f>
        <v/>
      </c>
      <c r="P267" s="41">
        <f>IF(L267&lt;=0, 0, INT($G$8/L267))</f>
        <v/>
      </c>
      <c r="Q267" s="42">
        <f>MIN(O267, P267)</f>
        <v/>
      </c>
      <c r="R267" s="43">
        <f>ROUND((Q267*L267)/1000, 2)</f>
        <v/>
      </c>
      <c r="S267" s="44">
        <f>IF($C$8&gt;0, R267/$C$8, 0)</f>
        <v/>
      </c>
      <c r="T267" s="44">
        <f>IF(O267&gt;0, Q267/O267, 0)</f>
        <v/>
      </c>
      <c r="U267" s="12">
        <f>IF(Q267=0, "Exceeds Limit", IF(P267&lt;=O267, "Weight Limited", "Volume Limited"))</f>
        <v/>
      </c>
    </row>
    <row r="268" ht="19" customHeight="1">
      <c r="A268" s="45" t="n">
        <v>258</v>
      </c>
      <c r="B268" s="46" t="inlineStr">
        <is>
          <t>Carbon Steel</t>
        </is>
      </c>
      <c r="C268" s="19" t="inlineStr">
        <is>
          <t>ASME B36.10M</t>
        </is>
      </c>
      <c r="D268" s="18" t="inlineStr">
        <is>
          <t>30''</t>
        </is>
      </c>
      <c r="E268" s="45" t="n">
        <v>750</v>
      </c>
      <c r="F268" s="18" t="inlineStr">
        <is>
          <t>20</t>
        </is>
      </c>
      <c r="G268" s="20" t="n">
        <v>30</v>
      </c>
      <c r="H268" s="47" t="n">
        <v>762</v>
      </c>
      <c r="I268" s="20" t="n">
        <v>0.5</v>
      </c>
      <c r="J268" s="47" t="n">
        <v>12.7</v>
      </c>
      <c r="K268" s="20">
        <f>ROUND((H268-J268)*J268*IF(B268="Carbon Steel",$K$7,IF(B268="Stainless Steel 304",$K$8,$L$8)), 3)</f>
        <v/>
      </c>
      <c r="L268" s="47">
        <f>ROUND(K268*$G$5, 2)</f>
        <v/>
      </c>
      <c r="M268" s="45">
        <f>INT($G$6/H268)</f>
        <v/>
      </c>
      <c r="N268" s="45">
        <f>IF(M268=0, 0, IF(OR($K$6="Square Grid", M268=1), INT($G$7/H268), IF($G$7&lt;H268, 0, 1+INT(($G$7-H268)/(0.8660254*H268)))))</f>
        <v/>
      </c>
      <c r="O268" s="48">
        <f>IF(OR(M268=0,N268=0), 0, IF(OR($K$6="Square Grid", M268=1), M268*N268*$K$5, (INT((N268+1)/2)*M268 + INT(N268/2)*IF(($G$6-M268*H268)&gt;=0.5*H268, M268, M268-1))*$K$5))</f>
        <v/>
      </c>
      <c r="P268" s="48">
        <f>IF(L268&lt;=0, 0, INT($G$8/L268))</f>
        <v/>
      </c>
      <c r="Q268" s="42">
        <f>MIN(O268, P268)</f>
        <v/>
      </c>
      <c r="R268" s="43">
        <f>ROUND((Q268*L268)/1000, 2)</f>
        <v/>
      </c>
      <c r="S268" s="49">
        <f>IF($C$8&gt;0, R268/$C$8, 0)</f>
        <v/>
      </c>
      <c r="T268" s="49">
        <f>IF(O268&gt;0, Q268/O268, 0)</f>
        <v/>
      </c>
      <c r="U268" s="18">
        <f>IF(Q268=0, "Exceeds Limit", IF(P268&lt;=O268, "Weight Limited", "Volume Limited"))</f>
        <v/>
      </c>
    </row>
    <row r="269" ht="19" customHeight="1">
      <c r="A269" s="38" t="n">
        <v>259</v>
      </c>
      <c r="B269" s="39" t="inlineStr">
        <is>
          <t>Carbon Steel</t>
        </is>
      </c>
      <c r="C269" s="13" t="inlineStr">
        <is>
          <t>ASME B36.10M</t>
        </is>
      </c>
      <c r="D269" s="12" t="inlineStr">
        <is>
          <t>30''</t>
        </is>
      </c>
      <c r="E269" s="38" t="n">
        <v>750</v>
      </c>
      <c r="F269" s="12" t="inlineStr">
        <is>
          <t>30</t>
        </is>
      </c>
      <c r="G269" s="14" t="n">
        <v>30</v>
      </c>
      <c r="H269" s="40" t="n">
        <v>762</v>
      </c>
      <c r="I269" s="14" t="n">
        <v>0.625</v>
      </c>
      <c r="J269" s="40" t="n">
        <v>15.88</v>
      </c>
      <c r="K269" s="14">
        <f>ROUND((H269-J269)*J269*IF(B269="Carbon Steel",$K$7,IF(B269="Stainless Steel 304",$K$8,$L$8)), 3)</f>
        <v/>
      </c>
      <c r="L269" s="40">
        <f>ROUND(K269*$G$5, 2)</f>
        <v/>
      </c>
      <c r="M269" s="38">
        <f>INT($G$6/H269)</f>
        <v/>
      </c>
      <c r="N269" s="38">
        <f>IF(M269=0, 0, IF(OR($K$6="Square Grid", M269=1), INT($G$7/H269), IF($G$7&lt;H269, 0, 1+INT(($G$7-H269)/(0.8660254*H269)))))</f>
        <v/>
      </c>
      <c r="O269" s="41">
        <f>IF(OR(M269=0,N269=0), 0, IF(OR($K$6="Square Grid", M269=1), M269*N269*$K$5, (INT((N269+1)/2)*M269 + INT(N269/2)*IF(($G$6-M269*H269)&gt;=0.5*H269, M269, M269-1))*$K$5))</f>
        <v/>
      </c>
      <c r="P269" s="41">
        <f>IF(L269&lt;=0, 0, INT($G$8/L269))</f>
        <v/>
      </c>
      <c r="Q269" s="42">
        <f>MIN(O269, P269)</f>
        <v/>
      </c>
      <c r="R269" s="43">
        <f>ROUND((Q269*L269)/1000, 2)</f>
        <v/>
      </c>
      <c r="S269" s="44">
        <f>IF($C$8&gt;0, R269/$C$8, 0)</f>
        <v/>
      </c>
      <c r="T269" s="44">
        <f>IF(O269&gt;0, Q269/O269, 0)</f>
        <v/>
      </c>
      <c r="U269" s="12">
        <f>IF(Q269=0, "Exceeds Limit", IF(P269&lt;=O269, "Weight Limited", "Volume Limited"))</f>
        <v/>
      </c>
    </row>
    <row r="270" ht="19" customHeight="1">
      <c r="A270" s="45" t="n">
        <v>260</v>
      </c>
      <c r="B270" s="46" t="inlineStr">
        <is>
          <t>Carbon Steel</t>
        </is>
      </c>
      <c r="C270" s="19" t="inlineStr">
        <is>
          <t>ASME B36.10M</t>
        </is>
      </c>
      <c r="D270" s="18" t="inlineStr">
        <is>
          <t>30''</t>
        </is>
      </c>
      <c r="E270" s="45" t="n">
        <v>750</v>
      </c>
      <c r="F270" s="18" t="inlineStr">
        <is>
          <t>STD</t>
        </is>
      </c>
      <c r="G270" s="20" t="n">
        <v>30</v>
      </c>
      <c r="H270" s="47" t="n">
        <v>762</v>
      </c>
      <c r="I270" s="20" t="n">
        <v>0.375</v>
      </c>
      <c r="J270" s="47" t="n">
        <v>9.52</v>
      </c>
      <c r="K270" s="20">
        <f>ROUND((H270-J270)*J270*IF(B270="Carbon Steel",$K$7,IF(B270="Stainless Steel 304",$K$8,$L$8)), 3)</f>
        <v/>
      </c>
      <c r="L270" s="47">
        <f>ROUND(K270*$G$5, 2)</f>
        <v/>
      </c>
      <c r="M270" s="45">
        <f>INT($G$6/H270)</f>
        <v/>
      </c>
      <c r="N270" s="45">
        <f>IF(M270=0, 0, IF(OR($K$6="Square Grid", M270=1), INT($G$7/H270), IF($G$7&lt;H270, 0, 1+INT(($G$7-H270)/(0.8660254*H270)))))</f>
        <v/>
      </c>
      <c r="O270" s="48">
        <f>IF(OR(M270=0,N270=0), 0, IF(OR($K$6="Square Grid", M270=1), M270*N270*$K$5, (INT((N270+1)/2)*M270 + INT(N270/2)*IF(($G$6-M270*H270)&gt;=0.5*H270, M270, M270-1))*$K$5))</f>
        <v/>
      </c>
      <c r="P270" s="48">
        <f>IF(L270&lt;=0, 0, INT($G$8/L270))</f>
        <v/>
      </c>
      <c r="Q270" s="42">
        <f>MIN(O270, P270)</f>
        <v/>
      </c>
      <c r="R270" s="43">
        <f>ROUND((Q270*L270)/1000, 2)</f>
        <v/>
      </c>
      <c r="S270" s="49">
        <f>IF($C$8&gt;0, R270/$C$8, 0)</f>
        <v/>
      </c>
      <c r="T270" s="49">
        <f>IF(O270&gt;0, Q270/O270, 0)</f>
        <v/>
      </c>
      <c r="U270" s="18">
        <f>IF(Q270=0, "Exceeds Limit", IF(P270&lt;=O270, "Weight Limited", "Volume Limited"))</f>
        <v/>
      </c>
    </row>
    <row r="271" ht="19" customHeight="1">
      <c r="A271" s="38" t="n">
        <v>261</v>
      </c>
      <c r="B271" s="39" t="inlineStr">
        <is>
          <t>Carbon Steel</t>
        </is>
      </c>
      <c r="C271" s="13" t="inlineStr">
        <is>
          <t>ASME B36.10M</t>
        </is>
      </c>
      <c r="D271" s="12" t="inlineStr">
        <is>
          <t>30''</t>
        </is>
      </c>
      <c r="E271" s="38" t="n">
        <v>750</v>
      </c>
      <c r="F271" s="12" t="inlineStr">
        <is>
          <t>XS</t>
        </is>
      </c>
      <c r="G271" s="14" t="n">
        <v>30</v>
      </c>
      <c r="H271" s="40" t="n">
        <v>762</v>
      </c>
      <c r="I271" s="14" t="n">
        <v>0.5</v>
      </c>
      <c r="J271" s="40" t="n">
        <v>12.7</v>
      </c>
      <c r="K271" s="14">
        <f>ROUND((H271-J271)*J271*IF(B271="Carbon Steel",$K$7,IF(B271="Stainless Steel 304",$K$8,$L$8)), 3)</f>
        <v/>
      </c>
      <c r="L271" s="40">
        <f>ROUND(K271*$G$5, 2)</f>
        <v/>
      </c>
      <c r="M271" s="38">
        <f>INT($G$6/H271)</f>
        <v/>
      </c>
      <c r="N271" s="38">
        <f>IF(M271=0, 0, IF(OR($K$6="Square Grid", M271=1), INT($G$7/H271), IF($G$7&lt;H271, 0, 1+INT(($G$7-H271)/(0.8660254*H271)))))</f>
        <v/>
      </c>
      <c r="O271" s="41">
        <f>IF(OR(M271=0,N271=0), 0, IF(OR($K$6="Square Grid", M271=1), M271*N271*$K$5, (INT((N271+1)/2)*M271 + INT(N271/2)*IF(($G$6-M271*H271)&gt;=0.5*H271, M271, M271-1))*$K$5))</f>
        <v/>
      </c>
      <c r="P271" s="41">
        <f>IF(L271&lt;=0, 0, INT($G$8/L271))</f>
        <v/>
      </c>
      <c r="Q271" s="42">
        <f>MIN(O271, P271)</f>
        <v/>
      </c>
      <c r="R271" s="43">
        <f>ROUND((Q271*L271)/1000, 2)</f>
        <v/>
      </c>
      <c r="S271" s="44">
        <f>IF($C$8&gt;0, R271/$C$8, 0)</f>
        <v/>
      </c>
      <c r="T271" s="44">
        <f>IF(O271&gt;0, Q271/O271, 0)</f>
        <v/>
      </c>
      <c r="U271" s="12">
        <f>IF(Q271=0, "Exceeds Limit", IF(P271&lt;=O271, "Weight Limited", "Volume Limited"))</f>
        <v/>
      </c>
    </row>
    <row r="272" ht="19" customHeight="1">
      <c r="A272" s="45" t="n">
        <v>262</v>
      </c>
      <c r="B272" s="46" t="inlineStr">
        <is>
          <t>Carbon Steel</t>
        </is>
      </c>
      <c r="C272" s="19" t="inlineStr">
        <is>
          <t>ASME B36.10M</t>
        </is>
      </c>
      <c r="D272" s="18" t="inlineStr">
        <is>
          <t>32''</t>
        </is>
      </c>
      <c r="E272" s="45" t="n">
        <v>800</v>
      </c>
      <c r="F272" s="18" t="inlineStr">
        <is>
          <t>10</t>
        </is>
      </c>
      <c r="G272" s="20" t="n">
        <v>32</v>
      </c>
      <c r="H272" s="47" t="n">
        <v>812.8</v>
      </c>
      <c r="I272" s="20" t="n">
        <v>0.312</v>
      </c>
      <c r="J272" s="47" t="n">
        <v>7.92</v>
      </c>
      <c r="K272" s="20">
        <f>ROUND((H272-J272)*J272*IF(B272="Carbon Steel",$K$7,IF(B272="Stainless Steel 304",$K$8,$L$8)), 3)</f>
        <v/>
      </c>
      <c r="L272" s="47">
        <f>ROUND(K272*$G$5, 2)</f>
        <v/>
      </c>
      <c r="M272" s="45">
        <f>INT($G$6/H272)</f>
        <v/>
      </c>
      <c r="N272" s="45">
        <f>IF(M272=0, 0, IF(OR($K$6="Square Grid", M272=1), INT($G$7/H272), IF($G$7&lt;H272, 0, 1+INT(($G$7-H272)/(0.8660254*H272)))))</f>
        <v/>
      </c>
      <c r="O272" s="48">
        <f>IF(OR(M272=0,N272=0), 0, IF(OR($K$6="Square Grid", M272=1), M272*N272*$K$5, (INT((N272+1)/2)*M272 + INT(N272/2)*IF(($G$6-M272*H272)&gt;=0.5*H272, M272, M272-1))*$K$5))</f>
        <v/>
      </c>
      <c r="P272" s="48">
        <f>IF(L272&lt;=0, 0, INT($G$8/L272))</f>
        <v/>
      </c>
      <c r="Q272" s="42">
        <f>MIN(O272, P272)</f>
        <v/>
      </c>
      <c r="R272" s="43">
        <f>ROUND((Q272*L272)/1000, 2)</f>
        <v/>
      </c>
      <c r="S272" s="49">
        <f>IF($C$8&gt;0, R272/$C$8, 0)</f>
        <v/>
      </c>
      <c r="T272" s="49">
        <f>IF(O272&gt;0, Q272/O272, 0)</f>
        <v/>
      </c>
      <c r="U272" s="18">
        <f>IF(Q272=0, "Exceeds Limit", IF(P272&lt;=O272, "Weight Limited", "Volume Limited"))</f>
        <v/>
      </c>
    </row>
    <row r="273" ht="19" customHeight="1">
      <c r="A273" s="38" t="n">
        <v>263</v>
      </c>
      <c r="B273" s="39" t="inlineStr">
        <is>
          <t>Carbon Steel</t>
        </is>
      </c>
      <c r="C273" s="13" t="inlineStr">
        <is>
          <t>ASME B36.10M</t>
        </is>
      </c>
      <c r="D273" s="12" t="inlineStr">
        <is>
          <t>32''</t>
        </is>
      </c>
      <c r="E273" s="38" t="n">
        <v>800</v>
      </c>
      <c r="F273" s="12" t="inlineStr">
        <is>
          <t>20</t>
        </is>
      </c>
      <c r="G273" s="14" t="n">
        <v>32</v>
      </c>
      <c r="H273" s="40" t="n">
        <v>812.8</v>
      </c>
      <c r="I273" s="14" t="n">
        <v>0.5</v>
      </c>
      <c r="J273" s="40" t="n">
        <v>12.7</v>
      </c>
      <c r="K273" s="14">
        <f>ROUND((H273-J273)*J273*IF(B273="Carbon Steel",$K$7,IF(B273="Stainless Steel 304",$K$8,$L$8)), 3)</f>
        <v/>
      </c>
      <c r="L273" s="40">
        <f>ROUND(K273*$G$5, 2)</f>
        <v/>
      </c>
      <c r="M273" s="38">
        <f>INT($G$6/H273)</f>
        <v/>
      </c>
      <c r="N273" s="38">
        <f>IF(M273=0, 0, IF(OR($K$6="Square Grid", M273=1), INT($G$7/H273), IF($G$7&lt;H273, 0, 1+INT(($G$7-H273)/(0.8660254*H273)))))</f>
        <v/>
      </c>
      <c r="O273" s="41">
        <f>IF(OR(M273=0,N273=0), 0, IF(OR($K$6="Square Grid", M273=1), M273*N273*$K$5, (INT((N273+1)/2)*M273 + INT(N273/2)*IF(($G$6-M273*H273)&gt;=0.5*H273, M273, M273-1))*$K$5))</f>
        <v/>
      </c>
      <c r="P273" s="41">
        <f>IF(L273&lt;=0, 0, INT($G$8/L273))</f>
        <v/>
      </c>
      <c r="Q273" s="42">
        <f>MIN(O273, P273)</f>
        <v/>
      </c>
      <c r="R273" s="43">
        <f>ROUND((Q273*L273)/1000, 2)</f>
        <v/>
      </c>
      <c r="S273" s="44">
        <f>IF($C$8&gt;0, R273/$C$8, 0)</f>
        <v/>
      </c>
      <c r="T273" s="44">
        <f>IF(O273&gt;0, Q273/O273, 0)</f>
        <v/>
      </c>
      <c r="U273" s="12">
        <f>IF(Q273=0, "Exceeds Limit", IF(P273&lt;=O273, "Weight Limited", "Volume Limited"))</f>
        <v/>
      </c>
    </row>
    <row r="274" ht="19" customHeight="1">
      <c r="A274" s="45" t="n">
        <v>264</v>
      </c>
      <c r="B274" s="46" t="inlineStr">
        <is>
          <t>Carbon Steel</t>
        </is>
      </c>
      <c r="C274" s="19" t="inlineStr">
        <is>
          <t>ASME B36.10M</t>
        </is>
      </c>
      <c r="D274" s="18" t="inlineStr">
        <is>
          <t>32''</t>
        </is>
      </c>
      <c r="E274" s="45" t="n">
        <v>800</v>
      </c>
      <c r="F274" s="18" t="inlineStr">
        <is>
          <t>30</t>
        </is>
      </c>
      <c r="G274" s="20" t="n">
        <v>32</v>
      </c>
      <c r="H274" s="47" t="n">
        <v>812.8</v>
      </c>
      <c r="I274" s="20" t="n">
        <v>0.625</v>
      </c>
      <c r="J274" s="47" t="n">
        <v>15.88</v>
      </c>
      <c r="K274" s="20">
        <f>ROUND((H274-J274)*J274*IF(B274="Carbon Steel",$K$7,IF(B274="Stainless Steel 304",$K$8,$L$8)), 3)</f>
        <v/>
      </c>
      <c r="L274" s="47">
        <f>ROUND(K274*$G$5, 2)</f>
        <v/>
      </c>
      <c r="M274" s="45">
        <f>INT($G$6/H274)</f>
        <v/>
      </c>
      <c r="N274" s="45">
        <f>IF(M274=0, 0, IF(OR($K$6="Square Grid", M274=1), INT($G$7/H274), IF($G$7&lt;H274, 0, 1+INT(($G$7-H274)/(0.8660254*H274)))))</f>
        <v/>
      </c>
      <c r="O274" s="48">
        <f>IF(OR(M274=0,N274=0), 0, IF(OR($K$6="Square Grid", M274=1), M274*N274*$K$5, (INT((N274+1)/2)*M274 + INT(N274/2)*IF(($G$6-M274*H274)&gt;=0.5*H274, M274, M274-1))*$K$5))</f>
        <v/>
      </c>
      <c r="P274" s="48">
        <f>IF(L274&lt;=0, 0, INT($G$8/L274))</f>
        <v/>
      </c>
      <c r="Q274" s="42">
        <f>MIN(O274, P274)</f>
        <v/>
      </c>
      <c r="R274" s="43">
        <f>ROUND((Q274*L274)/1000, 2)</f>
        <v/>
      </c>
      <c r="S274" s="49">
        <f>IF($C$8&gt;0, R274/$C$8, 0)</f>
        <v/>
      </c>
      <c r="T274" s="49">
        <f>IF(O274&gt;0, Q274/O274, 0)</f>
        <v/>
      </c>
      <c r="U274" s="18">
        <f>IF(Q274=0, "Exceeds Limit", IF(P274&lt;=O274, "Weight Limited", "Volume Limited"))</f>
        <v/>
      </c>
    </row>
    <row r="275" ht="19" customHeight="1">
      <c r="A275" s="38" t="n">
        <v>265</v>
      </c>
      <c r="B275" s="39" t="inlineStr">
        <is>
          <t>Carbon Steel</t>
        </is>
      </c>
      <c r="C275" s="13" t="inlineStr">
        <is>
          <t>ASME B36.10M</t>
        </is>
      </c>
      <c r="D275" s="12" t="inlineStr">
        <is>
          <t>32''</t>
        </is>
      </c>
      <c r="E275" s="38" t="n">
        <v>800</v>
      </c>
      <c r="F275" s="12" t="inlineStr">
        <is>
          <t>STD</t>
        </is>
      </c>
      <c r="G275" s="14" t="n">
        <v>32</v>
      </c>
      <c r="H275" s="40" t="n">
        <v>812.8</v>
      </c>
      <c r="I275" s="14" t="n">
        <v>0.375</v>
      </c>
      <c r="J275" s="40" t="n">
        <v>9.52</v>
      </c>
      <c r="K275" s="14">
        <f>ROUND((H275-J275)*J275*IF(B275="Carbon Steel",$K$7,IF(B275="Stainless Steel 304",$K$8,$L$8)), 3)</f>
        <v/>
      </c>
      <c r="L275" s="40">
        <f>ROUND(K275*$G$5, 2)</f>
        <v/>
      </c>
      <c r="M275" s="38">
        <f>INT($G$6/H275)</f>
        <v/>
      </c>
      <c r="N275" s="38">
        <f>IF(M275=0, 0, IF(OR($K$6="Square Grid", M275=1), INT($G$7/H275), IF($G$7&lt;H275, 0, 1+INT(($G$7-H275)/(0.8660254*H275)))))</f>
        <v/>
      </c>
      <c r="O275" s="41">
        <f>IF(OR(M275=0,N275=0), 0, IF(OR($K$6="Square Grid", M275=1), M275*N275*$K$5, (INT((N275+1)/2)*M275 + INT(N275/2)*IF(($G$6-M275*H275)&gt;=0.5*H275, M275, M275-1))*$K$5))</f>
        <v/>
      </c>
      <c r="P275" s="41">
        <f>IF(L275&lt;=0, 0, INT($G$8/L275))</f>
        <v/>
      </c>
      <c r="Q275" s="42">
        <f>MIN(O275, P275)</f>
        <v/>
      </c>
      <c r="R275" s="43">
        <f>ROUND((Q275*L275)/1000, 2)</f>
        <v/>
      </c>
      <c r="S275" s="44">
        <f>IF($C$8&gt;0, R275/$C$8, 0)</f>
        <v/>
      </c>
      <c r="T275" s="44">
        <f>IF(O275&gt;0, Q275/O275, 0)</f>
        <v/>
      </c>
      <c r="U275" s="12">
        <f>IF(Q275=0, "Exceeds Limit", IF(P275&lt;=O275, "Weight Limited", "Volume Limited"))</f>
        <v/>
      </c>
    </row>
    <row r="276" ht="19" customHeight="1">
      <c r="A276" s="45" t="n">
        <v>266</v>
      </c>
      <c r="B276" s="46" t="inlineStr">
        <is>
          <t>Carbon Steel</t>
        </is>
      </c>
      <c r="C276" s="19" t="inlineStr">
        <is>
          <t>ASME B36.10M</t>
        </is>
      </c>
      <c r="D276" s="18" t="inlineStr">
        <is>
          <t>32''</t>
        </is>
      </c>
      <c r="E276" s="45" t="n">
        <v>800</v>
      </c>
      <c r="F276" s="18" t="inlineStr">
        <is>
          <t>40</t>
        </is>
      </c>
      <c r="G276" s="20" t="n">
        <v>32</v>
      </c>
      <c r="H276" s="47" t="n">
        <v>812.8</v>
      </c>
      <c r="I276" s="20" t="n">
        <v>0.6879999999999999</v>
      </c>
      <c r="J276" s="47" t="n">
        <v>17.48</v>
      </c>
      <c r="K276" s="20">
        <f>ROUND((H276-J276)*J276*IF(B276="Carbon Steel",$K$7,IF(B276="Stainless Steel 304",$K$8,$L$8)), 3)</f>
        <v/>
      </c>
      <c r="L276" s="47">
        <f>ROUND(K276*$G$5, 2)</f>
        <v/>
      </c>
      <c r="M276" s="45">
        <f>INT($G$6/H276)</f>
        <v/>
      </c>
      <c r="N276" s="45">
        <f>IF(M276=0, 0, IF(OR($K$6="Square Grid", M276=1), INT($G$7/H276), IF($G$7&lt;H276, 0, 1+INT(($G$7-H276)/(0.8660254*H276)))))</f>
        <v/>
      </c>
      <c r="O276" s="48">
        <f>IF(OR(M276=0,N276=0), 0, IF(OR($K$6="Square Grid", M276=1), M276*N276*$K$5, (INT((N276+1)/2)*M276 + INT(N276/2)*IF(($G$6-M276*H276)&gt;=0.5*H276, M276, M276-1))*$K$5))</f>
        <v/>
      </c>
      <c r="P276" s="48">
        <f>IF(L276&lt;=0, 0, INT($G$8/L276))</f>
        <v/>
      </c>
      <c r="Q276" s="42">
        <f>MIN(O276, P276)</f>
        <v/>
      </c>
      <c r="R276" s="43">
        <f>ROUND((Q276*L276)/1000, 2)</f>
        <v/>
      </c>
      <c r="S276" s="49">
        <f>IF($C$8&gt;0, R276/$C$8, 0)</f>
        <v/>
      </c>
      <c r="T276" s="49">
        <f>IF(O276&gt;0, Q276/O276, 0)</f>
        <v/>
      </c>
      <c r="U276" s="18">
        <f>IF(Q276=0, "Exceeds Limit", IF(P276&lt;=O276, "Weight Limited", "Volume Limited"))</f>
        <v/>
      </c>
    </row>
    <row r="277" ht="19" customHeight="1">
      <c r="A277" s="38" t="n">
        <v>267</v>
      </c>
      <c r="B277" s="39" t="inlineStr">
        <is>
          <t>Carbon Steel</t>
        </is>
      </c>
      <c r="C277" s="13" t="inlineStr">
        <is>
          <t>ASME B36.10M</t>
        </is>
      </c>
      <c r="D277" s="12" t="inlineStr">
        <is>
          <t>32''</t>
        </is>
      </c>
      <c r="E277" s="38" t="n">
        <v>800</v>
      </c>
      <c r="F277" s="12" t="inlineStr">
        <is>
          <t>XS</t>
        </is>
      </c>
      <c r="G277" s="14" t="n">
        <v>32</v>
      </c>
      <c r="H277" s="40" t="n">
        <v>812.8</v>
      </c>
      <c r="I277" s="14" t="n">
        <v>0.5</v>
      </c>
      <c r="J277" s="40" t="n">
        <v>12.7</v>
      </c>
      <c r="K277" s="14">
        <f>ROUND((H277-J277)*J277*IF(B277="Carbon Steel",$K$7,IF(B277="Stainless Steel 304",$K$8,$L$8)), 3)</f>
        <v/>
      </c>
      <c r="L277" s="40">
        <f>ROUND(K277*$G$5, 2)</f>
        <v/>
      </c>
      <c r="M277" s="38">
        <f>INT($G$6/H277)</f>
        <v/>
      </c>
      <c r="N277" s="38">
        <f>IF(M277=0, 0, IF(OR($K$6="Square Grid", M277=1), INT($G$7/H277), IF($G$7&lt;H277, 0, 1+INT(($G$7-H277)/(0.8660254*H277)))))</f>
        <v/>
      </c>
      <c r="O277" s="41">
        <f>IF(OR(M277=0,N277=0), 0, IF(OR($K$6="Square Grid", M277=1), M277*N277*$K$5, (INT((N277+1)/2)*M277 + INT(N277/2)*IF(($G$6-M277*H277)&gt;=0.5*H277, M277, M277-1))*$K$5))</f>
        <v/>
      </c>
      <c r="P277" s="41">
        <f>IF(L277&lt;=0, 0, INT($G$8/L277))</f>
        <v/>
      </c>
      <c r="Q277" s="42">
        <f>MIN(O277, P277)</f>
        <v/>
      </c>
      <c r="R277" s="43">
        <f>ROUND((Q277*L277)/1000, 2)</f>
        <v/>
      </c>
      <c r="S277" s="44">
        <f>IF($C$8&gt;0, R277/$C$8, 0)</f>
        <v/>
      </c>
      <c r="T277" s="44">
        <f>IF(O277&gt;0, Q277/O277, 0)</f>
        <v/>
      </c>
      <c r="U277" s="12">
        <f>IF(Q277=0, "Exceeds Limit", IF(P277&lt;=O277, "Weight Limited", "Volume Limited"))</f>
        <v/>
      </c>
    </row>
    <row r="278" ht="19" customHeight="1">
      <c r="A278" s="45" t="n">
        <v>268</v>
      </c>
      <c r="B278" s="46" t="inlineStr">
        <is>
          <t>Carbon Steel</t>
        </is>
      </c>
      <c r="C278" s="19" t="inlineStr">
        <is>
          <t>ASME B36.10M</t>
        </is>
      </c>
      <c r="D278" s="18" t="inlineStr">
        <is>
          <t>34''</t>
        </is>
      </c>
      <c r="E278" s="45" t="n">
        <v>850</v>
      </c>
      <c r="F278" s="18" t="inlineStr">
        <is>
          <t>10</t>
        </is>
      </c>
      <c r="G278" s="20" t="n">
        <v>34</v>
      </c>
      <c r="H278" s="47" t="n">
        <v>863.6</v>
      </c>
      <c r="I278" s="20" t="n">
        <v>0.312</v>
      </c>
      <c r="J278" s="47" t="n">
        <v>7.92</v>
      </c>
      <c r="K278" s="20">
        <f>ROUND((H278-J278)*J278*IF(B278="Carbon Steel",$K$7,IF(B278="Stainless Steel 304",$K$8,$L$8)), 3)</f>
        <v/>
      </c>
      <c r="L278" s="47">
        <f>ROUND(K278*$G$5, 2)</f>
        <v/>
      </c>
      <c r="M278" s="45">
        <f>INT($G$6/H278)</f>
        <v/>
      </c>
      <c r="N278" s="45">
        <f>IF(M278=0, 0, IF(OR($K$6="Square Grid", M278=1), INT($G$7/H278), IF($G$7&lt;H278, 0, 1+INT(($G$7-H278)/(0.8660254*H278)))))</f>
        <v/>
      </c>
      <c r="O278" s="48">
        <f>IF(OR(M278=0,N278=0), 0, IF(OR($K$6="Square Grid", M278=1), M278*N278*$K$5, (INT((N278+1)/2)*M278 + INT(N278/2)*IF(($G$6-M278*H278)&gt;=0.5*H278, M278, M278-1))*$K$5))</f>
        <v/>
      </c>
      <c r="P278" s="48">
        <f>IF(L278&lt;=0, 0, INT($G$8/L278))</f>
        <v/>
      </c>
      <c r="Q278" s="42">
        <f>MIN(O278, P278)</f>
        <v/>
      </c>
      <c r="R278" s="43">
        <f>ROUND((Q278*L278)/1000, 2)</f>
        <v/>
      </c>
      <c r="S278" s="49">
        <f>IF($C$8&gt;0, R278/$C$8, 0)</f>
        <v/>
      </c>
      <c r="T278" s="49">
        <f>IF(O278&gt;0, Q278/O278, 0)</f>
        <v/>
      </c>
      <c r="U278" s="18">
        <f>IF(Q278=0, "Exceeds Limit", IF(P278&lt;=O278, "Weight Limited", "Volume Limited"))</f>
        <v/>
      </c>
    </row>
    <row r="279" ht="19" customHeight="1">
      <c r="A279" s="38" t="n">
        <v>269</v>
      </c>
      <c r="B279" s="39" t="inlineStr">
        <is>
          <t>Carbon Steel</t>
        </is>
      </c>
      <c r="C279" s="13" t="inlineStr">
        <is>
          <t>ASME B36.10M</t>
        </is>
      </c>
      <c r="D279" s="12" t="inlineStr">
        <is>
          <t>34''</t>
        </is>
      </c>
      <c r="E279" s="38" t="n">
        <v>850</v>
      </c>
      <c r="F279" s="12" t="inlineStr">
        <is>
          <t>20</t>
        </is>
      </c>
      <c r="G279" s="14" t="n">
        <v>34</v>
      </c>
      <c r="H279" s="40" t="n">
        <v>863.6</v>
      </c>
      <c r="I279" s="14" t="n">
        <v>0.5</v>
      </c>
      <c r="J279" s="40" t="n">
        <v>12.7</v>
      </c>
      <c r="K279" s="14">
        <f>ROUND((H279-J279)*J279*IF(B279="Carbon Steel",$K$7,IF(B279="Stainless Steel 304",$K$8,$L$8)), 3)</f>
        <v/>
      </c>
      <c r="L279" s="40">
        <f>ROUND(K279*$G$5, 2)</f>
        <v/>
      </c>
      <c r="M279" s="38">
        <f>INT($G$6/H279)</f>
        <v/>
      </c>
      <c r="N279" s="38">
        <f>IF(M279=0, 0, IF(OR($K$6="Square Grid", M279=1), INT($G$7/H279), IF($G$7&lt;H279, 0, 1+INT(($G$7-H279)/(0.8660254*H279)))))</f>
        <v/>
      </c>
      <c r="O279" s="41">
        <f>IF(OR(M279=0,N279=0), 0, IF(OR($K$6="Square Grid", M279=1), M279*N279*$K$5, (INT((N279+1)/2)*M279 + INT(N279/2)*IF(($G$6-M279*H279)&gt;=0.5*H279, M279, M279-1))*$K$5))</f>
        <v/>
      </c>
      <c r="P279" s="41">
        <f>IF(L279&lt;=0, 0, INT($G$8/L279))</f>
        <v/>
      </c>
      <c r="Q279" s="42">
        <f>MIN(O279, P279)</f>
        <v/>
      </c>
      <c r="R279" s="43">
        <f>ROUND((Q279*L279)/1000, 2)</f>
        <v/>
      </c>
      <c r="S279" s="44">
        <f>IF($C$8&gt;0, R279/$C$8, 0)</f>
        <v/>
      </c>
      <c r="T279" s="44">
        <f>IF(O279&gt;0, Q279/O279, 0)</f>
        <v/>
      </c>
      <c r="U279" s="12">
        <f>IF(Q279=0, "Exceeds Limit", IF(P279&lt;=O279, "Weight Limited", "Volume Limited"))</f>
        <v/>
      </c>
    </row>
    <row r="280" ht="19" customHeight="1">
      <c r="A280" s="45" t="n">
        <v>270</v>
      </c>
      <c r="B280" s="46" t="inlineStr">
        <is>
          <t>Carbon Steel</t>
        </is>
      </c>
      <c r="C280" s="19" t="inlineStr">
        <is>
          <t>ASME B36.10M</t>
        </is>
      </c>
      <c r="D280" s="18" t="inlineStr">
        <is>
          <t>34''</t>
        </is>
      </c>
      <c r="E280" s="45" t="n">
        <v>850</v>
      </c>
      <c r="F280" s="18" t="inlineStr">
        <is>
          <t>30</t>
        </is>
      </c>
      <c r="G280" s="20" t="n">
        <v>34</v>
      </c>
      <c r="H280" s="47" t="n">
        <v>863.6</v>
      </c>
      <c r="I280" s="20" t="n">
        <v>0.625</v>
      </c>
      <c r="J280" s="47" t="n">
        <v>15.88</v>
      </c>
      <c r="K280" s="20">
        <f>ROUND((H280-J280)*J280*IF(B280="Carbon Steel",$K$7,IF(B280="Stainless Steel 304",$K$8,$L$8)), 3)</f>
        <v/>
      </c>
      <c r="L280" s="47">
        <f>ROUND(K280*$G$5, 2)</f>
        <v/>
      </c>
      <c r="M280" s="45">
        <f>INT($G$6/H280)</f>
        <v/>
      </c>
      <c r="N280" s="45">
        <f>IF(M280=0, 0, IF(OR($K$6="Square Grid", M280=1), INT($G$7/H280), IF($G$7&lt;H280, 0, 1+INT(($G$7-H280)/(0.8660254*H280)))))</f>
        <v/>
      </c>
      <c r="O280" s="48">
        <f>IF(OR(M280=0,N280=0), 0, IF(OR($K$6="Square Grid", M280=1), M280*N280*$K$5, (INT((N280+1)/2)*M280 + INT(N280/2)*IF(($G$6-M280*H280)&gt;=0.5*H280, M280, M280-1))*$K$5))</f>
        <v/>
      </c>
      <c r="P280" s="48">
        <f>IF(L280&lt;=0, 0, INT($G$8/L280))</f>
        <v/>
      </c>
      <c r="Q280" s="42">
        <f>MIN(O280, P280)</f>
        <v/>
      </c>
      <c r="R280" s="43">
        <f>ROUND((Q280*L280)/1000, 2)</f>
        <v/>
      </c>
      <c r="S280" s="49">
        <f>IF($C$8&gt;0, R280/$C$8, 0)</f>
        <v/>
      </c>
      <c r="T280" s="49">
        <f>IF(O280&gt;0, Q280/O280, 0)</f>
        <v/>
      </c>
      <c r="U280" s="18">
        <f>IF(Q280=0, "Exceeds Limit", IF(P280&lt;=O280, "Weight Limited", "Volume Limited"))</f>
        <v/>
      </c>
    </row>
    <row r="281" ht="19" customHeight="1">
      <c r="A281" s="38" t="n">
        <v>271</v>
      </c>
      <c r="B281" s="39" t="inlineStr">
        <is>
          <t>Carbon Steel</t>
        </is>
      </c>
      <c r="C281" s="13" t="inlineStr">
        <is>
          <t>ASME B36.10M</t>
        </is>
      </c>
      <c r="D281" s="12" t="inlineStr">
        <is>
          <t>34''</t>
        </is>
      </c>
      <c r="E281" s="38" t="n">
        <v>850</v>
      </c>
      <c r="F281" s="12" t="inlineStr">
        <is>
          <t>STD</t>
        </is>
      </c>
      <c r="G281" s="14" t="n">
        <v>34</v>
      </c>
      <c r="H281" s="40" t="n">
        <v>863.6</v>
      </c>
      <c r="I281" s="14" t="n">
        <v>0.375</v>
      </c>
      <c r="J281" s="40" t="n">
        <v>9.52</v>
      </c>
      <c r="K281" s="14">
        <f>ROUND((H281-J281)*J281*IF(B281="Carbon Steel",$K$7,IF(B281="Stainless Steel 304",$K$8,$L$8)), 3)</f>
        <v/>
      </c>
      <c r="L281" s="40">
        <f>ROUND(K281*$G$5, 2)</f>
        <v/>
      </c>
      <c r="M281" s="38">
        <f>INT($G$6/H281)</f>
        <v/>
      </c>
      <c r="N281" s="38">
        <f>IF(M281=0, 0, IF(OR($K$6="Square Grid", M281=1), INT($G$7/H281), IF($G$7&lt;H281, 0, 1+INT(($G$7-H281)/(0.8660254*H281)))))</f>
        <v/>
      </c>
      <c r="O281" s="41">
        <f>IF(OR(M281=0,N281=0), 0, IF(OR($K$6="Square Grid", M281=1), M281*N281*$K$5, (INT((N281+1)/2)*M281 + INT(N281/2)*IF(($G$6-M281*H281)&gt;=0.5*H281, M281, M281-1))*$K$5))</f>
        <v/>
      </c>
      <c r="P281" s="41">
        <f>IF(L281&lt;=0, 0, INT($G$8/L281))</f>
        <v/>
      </c>
      <c r="Q281" s="42">
        <f>MIN(O281, P281)</f>
        <v/>
      </c>
      <c r="R281" s="43">
        <f>ROUND((Q281*L281)/1000, 2)</f>
        <v/>
      </c>
      <c r="S281" s="44">
        <f>IF($C$8&gt;0, R281/$C$8, 0)</f>
        <v/>
      </c>
      <c r="T281" s="44">
        <f>IF(O281&gt;0, Q281/O281, 0)</f>
        <v/>
      </c>
      <c r="U281" s="12">
        <f>IF(Q281=0, "Exceeds Limit", IF(P281&lt;=O281, "Weight Limited", "Volume Limited"))</f>
        <v/>
      </c>
    </row>
    <row r="282" ht="19" customHeight="1">
      <c r="A282" s="45" t="n">
        <v>272</v>
      </c>
      <c r="B282" s="46" t="inlineStr">
        <is>
          <t>Carbon Steel</t>
        </is>
      </c>
      <c r="C282" s="19" t="inlineStr">
        <is>
          <t>ASME B36.10M</t>
        </is>
      </c>
      <c r="D282" s="18" t="inlineStr">
        <is>
          <t>34''</t>
        </is>
      </c>
      <c r="E282" s="45" t="n">
        <v>850</v>
      </c>
      <c r="F282" s="18" t="inlineStr">
        <is>
          <t>40</t>
        </is>
      </c>
      <c r="G282" s="20" t="n">
        <v>34</v>
      </c>
      <c r="H282" s="47" t="n">
        <v>863.6</v>
      </c>
      <c r="I282" s="20" t="n">
        <v>0.6879999999999999</v>
      </c>
      <c r="J282" s="47" t="n">
        <v>17.48</v>
      </c>
      <c r="K282" s="20">
        <f>ROUND((H282-J282)*J282*IF(B282="Carbon Steel",$K$7,IF(B282="Stainless Steel 304",$K$8,$L$8)), 3)</f>
        <v/>
      </c>
      <c r="L282" s="47">
        <f>ROUND(K282*$G$5, 2)</f>
        <v/>
      </c>
      <c r="M282" s="45">
        <f>INT($G$6/H282)</f>
        <v/>
      </c>
      <c r="N282" s="45">
        <f>IF(M282=0, 0, IF(OR($K$6="Square Grid", M282=1), INT($G$7/H282), IF($G$7&lt;H282, 0, 1+INT(($G$7-H282)/(0.8660254*H282)))))</f>
        <v/>
      </c>
      <c r="O282" s="48">
        <f>IF(OR(M282=0,N282=0), 0, IF(OR($K$6="Square Grid", M282=1), M282*N282*$K$5, (INT((N282+1)/2)*M282 + INT(N282/2)*IF(($G$6-M282*H282)&gt;=0.5*H282, M282, M282-1))*$K$5))</f>
        <v/>
      </c>
      <c r="P282" s="48">
        <f>IF(L282&lt;=0, 0, INT($G$8/L282))</f>
        <v/>
      </c>
      <c r="Q282" s="42">
        <f>MIN(O282, P282)</f>
        <v/>
      </c>
      <c r="R282" s="43">
        <f>ROUND((Q282*L282)/1000, 2)</f>
        <v/>
      </c>
      <c r="S282" s="49">
        <f>IF($C$8&gt;0, R282/$C$8, 0)</f>
        <v/>
      </c>
      <c r="T282" s="49">
        <f>IF(O282&gt;0, Q282/O282, 0)</f>
        <v/>
      </c>
      <c r="U282" s="18">
        <f>IF(Q282=0, "Exceeds Limit", IF(P282&lt;=O282, "Weight Limited", "Volume Limited"))</f>
        <v/>
      </c>
    </row>
    <row r="283" ht="19" customHeight="1">
      <c r="A283" s="38" t="n">
        <v>273</v>
      </c>
      <c r="B283" s="39" t="inlineStr">
        <is>
          <t>Carbon Steel</t>
        </is>
      </c>
      <c r="C283" s="13" t="inlineStr">
        <is>
          <t>ASME B36.10M</t>
        </is>
      </c>
      <c r="D283" s="12" t="inlineStr">
        <is>
          <t>34''</t>
        </is>
      </c>
      <c r="E283" s="38" t="n">
        <v>850</v>
      </c>
      <c r="F283" s="12" t="inlineStr">
        <is>
          <t>XS</t>
        </is>
      </c>
      <c r="G283" s="14" t="n">
        <v>34</v>
      </c>
      <c r="H283" s="40" t="n">
        <v>863.6</v>
      </c>
      <c r="I283" s="14" t="n">
        <v>0.5</v>
      </c>
      <c r="J283" s="40" t="n">
        <v>12.7</v>
      </c>
      <c r="K283" s="14">
        <f>ROUND((H283-J283)*J283*IF(B283="Carbon Steel",$K$7,IF(B283="Stainless Steel 304",$K$8,$L$8)), 3)</f>
        <v/>
      </c>
      <c r="L283" s="40">
        <f>ROUND(K283*$G$5, 2)</f>
        <v/>
      </c>
      <c r="M283" s="38">
        <f>INT($G$6/H283)</f>
        <v/>
      </c>
      <c r="N283" s="38">
        <f>IF(M283=0, 0, IF(OR($K$6="Square Grid", M283=1), INT($G$7/H283), IF($G$7&lt;H283, 0, 1+INT(($G$7-H283)/(0.8660254*H283)))))</f>
        <v/>
      </c>
      <c r="O283" s="41">
        <f>IF(OR(M283=0,N283=0), 0, IF(OR($K$6="Square Grid", M283=1), M283*N283*$K$5, (INT((N283+1)/2)*M283 + INT(N283/2)*IF(($G$6-M283*H283)&gt;=0.5*H283, M283, M283-1))*$K$5))</f>
        <v/>
      </c>
      <c r="P283" s="41">
        <f>IF(L283&lt;=0, 0, INT($G$8/L283))</f>
        <v/>
      </c>
      <c r="Q283" s="42">
        <f>MIN(O283, P283)</f>
        <v/>
      </c>
      <c r="R283" s="43">
        <f>ROUND((Q283*L283)/1000, 2)</f>
        <v/>
      </c>
      <c r="S283" s="44">
        <f>IF($C$8&gt;0, R283/$C$8, 0)</f>
        <v/>
      </c>
      <c r="T283" s="44">
        <f>IF(O283&gt;0, Q283/O283, 0)</f>
        <v/>
      </c>
      <c r="U283" s="12">
        <f>IF(Q283=0, "Exceeds Limit", IF(P283&lt;=O283, "Weight Limited", "Volume Limited"))</f>
        <v/>
      </c>
    </row>
    <row r="284" ht="19" customHeight="1">
      <c r="A284" s="45" t="n">
        <v>274</v>
      </c>
      <c r="B284" s="46" t="inlineStr">
        <is>
          <t>Carbon Steel</t>
        </is>
      </c>
      <c r="C284" s="19" t="inlineStr">
        <is>
          <t>ASME B36.10M</t>
        </is>
      </c>
      <c r="D284" s="18" t="inlineStr">
        <is>
          <t>36''</t>
        </is>
      </c>
      <c r="E284" s="45" t="n">
        <v>900</v>
      </c>
      <c r="F284" s="18" t="inlineStr">
        <is>
          <t>10</t>
        </is>
      </c>
      <c r="G284" s="20" t="n">
        <v>36</v>
      </c>
      <c r="H284" s="47" t="n">
        <v>914.4</v>
      </c>
      <c r="I284" s="20" t="n">
        <v>0.312</v>
      </c>
      <c r="J284" s="47" t="n">
        <v>7.92</v>
      </c>
      <c r="K284" s="20">
        <f>ROUND((H284-J284)*J284*IF(B284="Carbon Steel",$K$7,IF(B284="Stainless Steel 304",$K$8,$L$8)), 3)</f>
        <v/>
      </c>
      <c r="L284" s="47">
        <f>ROUND(K284*$G$5, 2)</f>
        <v/>
      </c>
      <c r="M284" s="45">
        <f>INT($G$6/H284)</f>
        <v/>
      </c>
      <c r="N284" s="45">
        <f>IF(M284=0, 0, IF(OR($K$6="Square Grid", M284=1), INT($G$7/H284), IF($G$7&lt;H284, 0, 1+INT(($G$7-H284)/(0.8660254*H284)))))</f>
        <v/>
      </c>
      <c r="O284" s="48">
        <f>IF(OR(M284=0,N284=0), 0, IF(OR($K$6="Square Grid", M284=1), M284*N284*$K$5, (INT((N284+1)/2)*M284 + INT(N284/2)*IF(($G$6-M284*H284)&gt;=0.5*H284, M284, M284-1))*$K$5))</f>
        <v/>
      </c>
      <c r="P284" s="48">
        <f>IF(L284&lt;=0, 0, INT($G$8/L284))</f>
        <v/>
      </c>
      <c r="Q284" s="42">
        <f>MIN(O284, P284)</f>
        <v/>
      </c>
      <c r="R284" s="43">
        <f>ROUND((Q284*L284)/1000, 2)</f>
        <v/>
      </c>
      <c r="S284" s="49">
        <f>IF($C$8&gt;0, R284/$C$8, 0)</f>
        <v/>
      </c>
      <c r="T284" s="49">
        <f>IF(O284&gt;0, Q284/O284, 0)</f>
        <v/>
      </c>
      <c r="U284" s="18">
        <f>IF(Q284=0, "Exceeds Limit", IF(P284&lt;=O284, "Weight Limited", "Volume Limited"))</f>
        <v/>
      </c>
    </row>
    <row r="285" ht="19" customHeight="1">
      <c r="A285" s="38" t="n">
        <v>275</v>
      </c>
      <c r="B285" s="39" t="inlineStr">
        <is>
          <t>Carbon Steel</t>
        </is>
      </c>
      <c r="C285" s="13" t="inlineStr">
        <is>
          <t>ASME B36.10M</t>
        </is>
      </c>
      <c r="D285" s="12" t="inlineStr">
        <is>
          <t>36''</t>
        </is>
      </c>
      <c r="E285" s="38" t="n">
        <v>900</v>
      </c>
      <c r="F285" s="12" t="inlineStr">
        <is>
          <t>20</t>
        </is>
      </c>
      <c r="G285" s="14" t="n">
        <v>36</v>
      </c>
      <c r="H285" s="40" t="n">
        <v>914.4</v>
      </c>
      <c r="I285" s="14" t="n">
        <v>0.5</v>
      </c>
      <c r="J285" s="40" t="n">
        <v>12.7</v>
      </c>
      <c r="K285" s="14">
        <f>ROUND((H285-J285)*J285*IF(B285="Carbon Steel",$K$7,IF(B285="Stainless Steel 304",$K$8,$L$8)), 3)</f>
        <v/>
      </c>
      <c r="L285" s="40">
        <f>ROUND(K285*$G$5, 2)</f>
        <v/>
      </c>
      <c r="M285" s="38">
        <f>INT($G$6/H285)</f>
        <v/>
      </c>
      <c r="N285" s="38">
        <f>IF(M285=0, 0, IF(OR($K$6="Square Grid", M285=1), INT($G$7/H285), IF($G$7&lt;H285, 0, 1+INT(($G$7-H285)/(0.8660254*H285)))))</f>
        <v/>
      </c>
      <c r="O285" s="41">
        <f>IF(OR(M285=0,N285=0), 0, IF(OR($K$6="Square Grid", M285=1), M285*N285*$K$5, (INT((N285+1)/2)*M285 + INT(N285/2)*IF(($G$6-M285*H285)&gt;=0.5*H285, M285, M285-1))*$K$5))</f>
        <v/>
      </c>
      <c r="P285" s="41">
        <f>IF(L285&lt;=0, 0, INT($G$8/L285))</f>
        <v/>
      </c>
      <c r="Q285" s="42">
        <f>MIN(O285, P285)</f>
        <v/>
      </c>
      <c r="R285" s="43">
        <f>ROUND((Q285*L285)/1000, 2)</f>
        <v/>
      </c>
      <c r="S285" s="44">
        <f>IF($C$8&gt;0, R285/$C$8, 0)</f>
        <v/>
      </c>
      <c r="T285" s="44">
        <f>IF(O285&gt;0, Q285/O285, 0)</f>
        <v/>
      </c>
      <c r="U285" s="12">
        <f>IF(Q285=0, "Exceeds Limit", IF(P285&lt;=O285, "Weight Limited", "Volume Limited"))</f>
        <v/>
      </c>
    </row>
    <row r="286" ht="19" customHeight="1">
      <c r="A286" s="45" t="n">
        <v>276</v>
      </c>
      <c r="B286" s="46" t="inlineStr">
        <is>
          <t>Carbon Steel</t>
        </is>
      </c>
      <c r="C286" s="19" t="inlineStr">
        <is>
          <t>ASME B36.10M</t>
        </is>
      </c>
      <c r="D286" s="18" t="inlineStr">
        <is>
          <t>36''</t>
        </is>
      </c>
      <c r="E286" s="45" t="n">
        <v>900</v>
      </c>
      <c r="F286" s="18" t="inlineStr">
        <is>
          <t>30</t>
        </is>
      </c>
      <c r="G286" s="20" t="n">
        <v>36</v>
      </c>
      <c r="H286" s="47" t="n">
        <v>914.4</v>
      </c>
      <c r="I286" s="20" t="n">
        <v>0.625</v>
      </c>
      <c r="J286" s="47" t="n">
        <v>15.88</v>
      </c>
      <c r="K286" s="20">
        <f>ROUND((H286-J286)*J286*IF(B286="Carbon Steel",$K$7,IF(B286="Stainless Steel 304",$K$8,$L$8)), 3)</f>
        <v/>
      </c>
      <c r="L286" s="47">
        <f>ROUND(K286*$G$5, 2)</f>
        <v/>
      </c>
      <c r="M286" s="45">
        <f>INT($G$6/H286)</f>
        <v/>
      </c>
      <c r="N286" s="45">
        <f>IF(M286=0, 0, IF(OR($K$6="Square Grid", M286=1), INT($G$7/H286), IF($G$7&lt;H286, 0, 1+INT(($G$7-H286)/(0.8660254*H286)))))</f>
        <v/>
      </c>
      <c r="O286" s="48">
        <f>IF(OR(M286=0,N286=0), 0, IF(OR($K$6="Square Grid", M286=1), M286*N286*$K$5, (INT((N286+1)/2)*M286 + INT(N286/2)*IF(($G$6-M286*H286)&gt;=0.5*H286, M286, M286-1))*$K$5))</f>
        <v/>
      </c>
      <c r="P286" s="48">
        <f>IF(L286&lt;=0, 0, INT($G$8/L286))</f>
        <v/>
      </c>
      <c r="Q286" s="42">
        <f>MIN(O286, P286)</f>
        <v/>
      </c>
      <c r="R286" s="43">
        <f>ROUND((Q286*L286)/1000, 2)</f>
        <v/>
      </c>
      <c r="S286" s="49">
        <f>IF($C$8&gt;0, R286/$C$8, 0)</f>
        <v/>
      </c>
      <c r="T286" s="49">
        <f>IF(O286&gt;0, Q286/O286, 0)</f>
        <v/>
      </c>
      <c r="U286" s="18">
        <f>IF(Q286=0, "Exceeds Limit", IF(P286&lt;=O286, "Weight Limited", "Volume Limited"))</f>
        <v/>
      </c>
    </row>
    <row r="287" ht="19" customHeight="1">
      <c r="A287" s="38" t="n">
        <v>277</v>
      </c>
      <c r="B287" s="39" t="inlineStr">
        <is>
          <t>Carbon Steel</t>
        </is>
      </c>
      <c r="C287" s="13" t="inlineStr">
        <is>
          <t>ASME B36.10M</t>
        </is>
      </c>
      <c r="D287" s="12" t="inlineStr">
        <is>
          <t>36''</t>
        </is>
      </c>
      <c r="E287" s="38" t="n">
        <v>900</v>
      </c>
      <c r="F287" s="12" t="inlineStr">
        <is>
          <t>STD</t>
        </is>
      </c>
      <c r="G287" s="14" t="n">
        <v>36</v>
      </c>
      <c r="H287" s="40" t="n">
        <v>914.4</v>
      </c>
      <c r="I287" s="14" t="n">
        <v>0.375</v>
      </c>
      <c r="J287" s="40" t="n">
        <v>9.52</v>
      </c>
      <c r="K287" s="14">
        <f>ROUND((H287-J287)*J287*IF(B287="Carbon Steel",$K$7,IF(B287="Stainless Steel 304",$K$8,$L$8)), 3)</f>
        <v/>
      </c>
      <c r="L287" s="40">
        <f>ROUND(K287*$G$5, 2)</f>
        <v/>
      </c>
      <c r="M287" s="38">
        <f>INT($G$6/H287)</f>
        <v/>
      </c>
      <c r="N287" s="38">
        <f>IF(M287=0, 0, IF(OR($K$6="Square Grid", M287=1), INT($G$7/H287), IF($G$7&lt;H287, 0, 1+INT(($G$7-H287)/(0.8660254*H287)))))</f>
        <v/>
      </c>
      <c r="O287" s="41">
        <f>IF(OR(M287=0,N287=0), 0, IF(OR($K$6="Square Grid", M287=1), M287*N287*$K$5, (INT((N287+1)/2)*M287 + INT(N287/2)*IF(($G$6-M287*H287)&gt;=0.5*H287, M287, M287-1))*$K$5))</f>
        <v/>
      </c>
      <c r="P287" s="41">
        <f>IF(L287&lt;=0, 0, INT($G$8/L287))</f>
        <v/>
      </c>
      <c r="Q287" s="42">
        <f>MIN(O287, P287)</f>
        <v/>
      </c>
      <c r="R287" s="43">
        <f>ROUND((Q287*L287)/1000, 2)</f>
        <v/>
      </c>
      <c r="S287" s="44">
        <f>IF($C$8&gt;0, R287/$C$8, 0)</f>
        <v/>
      </c>
      <c r="T287" s="44">
        <f>IF(O287&gt;0, Q287/O287, 0)</f>
        <v/>
      </c>
      <c r="U287" s="12">
        <f>IF(Q287=0, "Exceeds Limit", IF(P287&lt;=O287, "Weight Limited", "Volume Limited"))</f>
        <v/>
      </c>
    </row>
    <row r="288" ht="19" customHeight="1">
      <c r="A288" s="45" t="n">
        <v>278</v>
      </c>
      <c r="B288" s="46" t="inlineStr">
        <is>
          <t>Carbon Steel</t>
        </is>
      </c>
      <c r="C288" s="19" t="inlineStr">
        <is>
          <t>ASME B36.10M</t>
        </is>
      </c>
      <c r="D288" s="18" t="inlineStr">
        <is>
          <t>36''</t>
        </is>
      </c>
      <c r="E288" s="45" t="n">
        <v>900</v>
      </c>
      <c r="F288" s="18" t="inlineStr">
        <is>
          <t>40</t>
        </is>
      </c>
      <c r="G288" s="20" t="n">
        <v>36</v>
      </c>
      <c r="H288" s="47" t="n">
        <v>914.4</v>
      </c>
      <c r="I288" s="20" t="n">
        <v>0.75</v>
      </c>
      <c r="J288" s="47" t="n">
        <v>19.05</v>
      </c>
      <c r="K288" s="20">
        <f>ROUND((H288-J288)*J288*IF(B288="Carbon Steel",$K$7,IF(B288="Stainless Steel 304",$K$8,$L$8)), 3)</f>
        <v/>
      </c>
      <c r="L288" s="47">
        <f>ROUND(K288*$G$5, 2)</f>
        <v/>
      </c>
      <c r="M288" s="45">
        <f>INT($G$6/H288)</f>
        <v/>
      </c>
      <c r="N288" s="45">
        <f>IF(M288=0, 0, IF(OR($K$6="Square Grid", M288=1), INT($G$7/H288), IF($G$7&lt;H288, 0, 1+INT(($G$7-H288)/(0.8660254*H288)))))</f>
        <v/>
      </c>
      <c r="O288" s="48">
        <f>IF(OR(M288=0,N288=0), 0, IF(OR($K$6="Square Grid", M288=1), M288*N288*$K$5, (INT((N288+1)/2)*M288 + INT(N288/2)*IF(($G$6-M288*H288)&gt;=0.5*H288, M288, M288-1))*$K$5))</f>
        <v/>
      </c>
      <c r="P288" s="48">
        <f>IF(L288&lt;=0, 0, INT($G$8/L288))</f>
        <v/>
      </c>
      <c r="Q288" s="42">
        <f>MIN(O288, P288)</f>
        <v/>
      </c>
      <c r="R288" s="43">
        <f>ROUND((Q288*L288)/1000, 2)</f>
        <v/>
      </c>
      <c r="S288" s="49">
        <f>IF($C$8&gt;0, R288/$C$8, 0)</f>
        <v/>
      </c>
      <c r="T288" s="49">
        <f>IF(O288&gt;0, Q288/O288, 0)</f>
        <v/>
      </c>
      <c r="U288" s="18">
        <f>IF(Q288=0, "Exceeds Limit", IF(P288&lt;=O288, "Weight Limited", "Volume Limited"))</f>
        <v/>
      </c>
    </row>
    <row r="289" ht="19" customHeight="1">
      <c r="A289" s="38" t="n">
        <v>279</v>
      </c>
      <c r="B289" s="39" t="inlineStr">
        <is>
          <t>Carbon Steel</t>
        </is>
      </c>
      <c r="C289" s="13" t="inlineStr">
        <is>
          <t>ASME B36.10M</t>
        </is>
      </c>
      <c r="D289" s="12" t="inlineStr">
        <is>
          <t>36''</t>
        </is>
      </c>
      <c r="E289" s="38" t="n">
        <v>900</v>
      </c>
      <c r="F289" s="12" t="inlineStr">
        <is>
          <t>XS</t>
        </is>
      </c>
      <c r="G289" s="14" t="n">
        <v>36</v>
      </c>
      <c r="H289" s="40" t="n">
        <v>914.4</v>
      </c>
      <c r="I289" s="14" t="n">
        <v>0.5</v>
      </c>
      <c r="J289" s="40" t="n">
        <v>12.7</v>
      </c>
      <c r="K289" s="14">
        <f>ROUND((H289-J289)*J289*IF(B289="Carbon Steel",$K$7,IF(B289="Stainless Steel 304",$K$8,$L$8)), 3)</f>
        <v/>
      </c>
      <c r="L289" s="40">
        <f>ROUND(K289*$G$5, 2)</f>
        <v/>
      </c>
      <c r="M289" s="38">
        <f>INT($G$6/H289)</f>
        <v/>
      </c>
      <c r="N289" s="38">
        <f>IF(M289=0, 0, IF(OR($K$6="Square Grid", M289=1), INT($G$7/H289), IF($G$7&lt;H289, 0, 1+INT(($G$7-H289)/(0.8660254*H289)))))</f>
        <v/>
      </c>
      <c r="O289" s="41">
        <f>IF(OR(M289=0,N289=0), 0, IF(OR($K$6="Square Grid", M289=1), M289*N289*$K$5, (INT((N289+1)/2)*M289 + INT(N289/2)*IF(($G$6-M289*H289)&gt;=0.5*H289, M289, M289-1))*$K$5))</f>
        <v/>
      </c>
      <c r="P289" s="41">
        <f>IF(L289&lt;=0, 0, INT($G$8/L289))</f>
        <v/>
      </c>
      <c r="Q289" s="42">
        <f>MIN(O289, P289)</f>
        <v/>
      </c>
      <c r="R289" s="43">
        <f>ROUND((Q289*L289)/1000, 2)</f>
        <v/>
      </c>
      <c r="S289" s="44">
        <f>IF($C$8&gt;0, R289/$C$8, 0)</f>
        <v/>
      </c>
      <c r="T289" s="44">
        <f>IF(O289&gt;0, Q289/O289, 0)</f>
        <v/>
      </c>
      <c r="U289" s="12">
        <f>IF(Q289=0, "Exceeds Limit", IF(P289&lt;=O289, "Weight Limited", "Volume Limited"))</f>
        <v/>
      </c>
    </row>
    <row r="290" ht="19" customHeight="1">
      <c r="A290" s="45" t="n">
        <v>280</v>
      </c>
      <c r="B290" s="46" t="inlineStr">
        <is>
          <t>Carbon Steel</t>
        </is>
      </c>
      <c r="C290" s="19" t="inlineStr">
        <is>
          <t>ASME B36.10M</t>
        </is>
      </c>
      <c r="D290" s="18" t="inlineStr">
        <is>
          <t>38''</t>
        </is>
      </c>
      <c r="E290" s="45" t="n">
        <v>950</v>
      </c>
      <c r="F290" s="18" t="inlineStr">
        <is>
          <t>STD</t>
        </is>
      </c>
      <c r="G290" s="20" t="n">
        <v>38</v>
      </c>
      <c r="H290" s="47" t="n">
        <v>965.2</v>
      </c>
      <c r="I290" s="20" t="n">
        <v>0.375</v>
      </c>
      <c r="J290" s="47" t="n">
        <v>9.52</v>
      </c>
      <c r="K290" s="20">
        <f>ROUND((H290-J290)*J290*IF(B290="Carbon Steel",$K$7,IF(B290="Stainless Steel 304",$K$8,$L$8)), 3)</f>
        <v/>
      </c>
      <c r="L290" s="47">
        <f>ROUND(K290*$G$5, 2)</f>
        <v/>
      </c>
      <c r="M290" s="45">
        <f>INT($G$6/H290)</f>
        <v/>
      </c>
      <c r="N290" s="45">
        <f>IF(M290=0, 0, IF(OR($K$6="Square Grid", M290=1), INT($G$7/H290), IF($G$7&lt;H290, 0, 1+INT(($G$7-H290)/(0.8660254*H290)))))</f>
        <v/>
      </c>
      <c r="O290" s="48">
        <f>IF(OR(M290=0,N290=0), 0, IF(OR($K$6="Square Grid", M290=1), M290*N290*$K$5, (INT((N290+1)/2)*M290 + INT(N290/2)*IF(($G$6-M290*H290)&gt;=0.5*H290, M290, M290-1))*$K$5))</f>
        <v/>
      </c>
      <c r="P290" s="48">
        <f>IF(L290&lt;=0, 0, INT($G$8/L290))</f>
        <v/>
      </c>
      <c r="Q290" s="42">
        <f>MIN(O290, P290)</f>
        <v/>
      </c>
      <c r="R290" s="43">
        <f>ROUND((Q290*L290)/1000, 2)</f>
        <v/>
      </c>
      <c r="S290" s="49">
        <f>IF($C$8&gt;0, R290/$C$8, 0)</f>
        <v/>
      </c>
      <c r="T290" s="49">
        <f>IF(O290&gt;0, Q290/O290, 0)</f>
        <v/>
      </c>
      <c r="U290" s="18">
        <f>IF(Q290=0, "Exceeds Limit", IF(P290&lt;=O290, "Weight Limited", "Volume Limited"))</f>
        <v/>
      </c>
    </row>
    <row r="291" ht="19" customHeight="1">
      <c r="A291" s="38" t="n">
        <v>281</v>
      </c>
      <c r="B291" s="39" t="inlineStr">
        <is>
          <t>Carbon Steel</t>
        </is>
      </c>
      <c r="C291" s="13" t="inlineStr">
        <is>
          <t>ASME B36.10M</t>
        </is>
      </c>
      <c r="D291" s="12" t="inlineStr">
        <is>
          <t>38''</t>
        </is>
      </c>
      <c r="E291" s="38" t="n">
        <v>950</v>
      </c>
      <c r="F291" s="12" t="inlineStr">
        <is>
          <t>XS</t>
        </is>
      </c>
      <c r="G291" s="14" t="n">
        <v>38</v>
      </c>
      <c r="H291" s="40" t="n">
        <v>965.2</v>
      </c>
      <c r="I291" s="14" t="n">
        <v>0.5</v>
      </c>
      <c r="J291" s="40" t="n">
        <v>12.7</v>
      </c>
      <c r="K291" s="14">
        <f>ROUND((H291-J291)*J291*IF(B291="Carbon Steel",$K$7,IF(B291="Stainless Steel 304",$K$8,$L$8)), 3)</f>
        <v/>
      </c>
      <c r="L291" s="40">
        <f>ROUND(K291*$G$5, 2)</f>
        <v/>
      </c>
      <c r="M291" s="38">
        <f>INT($G$6/H291)</f>
        <v/>
      </c>
      <c r="N291" s="38">
        <f>IF(M291=0, 0, IF(OR($K$6="Square Grid", M291=1), INT($G$7/H291), IF($G$7&lt;H291, 0, 1+INT(($G$7-H291)/(0.8660254*H291)))))</f>
        <v/>
      </c>
      <c r="O291" s="41">
        <f>IF(OR(M291=0,N291=0), 0, IF(OR($K$6="Square Grid", M291=1), M291*N291*$K$5, (INT((N291+1)/2)*M291 + INT(N291/2)*IF(($G$6-M291*H291)&gt;=0.5*H291, M291, M291-1))*$K$5))</f>
        <v/>
      </c>
      <c r="P291" s="41">
        <f>IF(L291&lt;=0, 0, INT($G$8/L291))</f>
        <v/>
      </c>
      <c r="Q291" s="42">
        <f>MIN(O291, P291)</f>
        <v/>
      </c>
      <c r="R291" s="43">
        <f>ROUND((Q291*L291)/1000, 2)</f>
        <v/>
      </c>
      <c r="S291" s="44">
        <f>IF($C$8&gt;0, R291/$C$8, 0)</f>
        <v/>
      </c>
      <c r="T291" s="44">
        <f>IF(O291&gt;0, Q291/O291, 0)</f>
        <v/>
      </c>
      <c r="U291" s="12">
        <f>IF(Q291=0, "Exceeds Limit", IF(P291&lt;=O291, "Weight Limited", "Volume Limited"))</f>
        <v/>
      </c>
    </row>
    <row r="292" ht="19" customHeight="1">
      <c r="A292" s="45" t="n">
        <v>282</v>
      </c>
      <c r="B292" s="46" t="inlineStr">
        <is>
          <t>Carbon Steel</t>
        </is>
      </c>
      <c r="C292" s="19" t="inlineStr">
        <is>
          <t>ASME B36.10M</t>
        </is>
      </c>
      <c r="D292" s="18" t="inlineStr">
        <is>
          <t>40''</t>
        </is>
      </c>
      <c r="E292" s="45" t="n">
        <v>1000</v>
      </c>
      <c r="F292" s="18" t="inlineStr">
        <is>
          <t>STD</t>
        </is>
      </c>
      <c r="G292" s="20" t="n">
        <v>40</v>
      </c>
      <c r="H292" s="47" t="n">
        <v>1016</v>
      </c>
      <c r="I292" s="20" t="n">
        <v>0.375</v>
      </c>
      <c r="J292" s="47" t="n">
        <v>9.52</v>
      </c>
      <c r="K292" s="20">
        <f>ROUND((H292-J292)*J292*IF(B292="Carbon Steel",$K$7,IF(B292="Stainless Steel 304",$K$8,$L$8)), 3)</f>
        <v/>
      </c>
      <c r="L292" s="47">
        <f>ROUND(K292*$G$5, 2)</f>
        <v/>
      </c>
      <c r="M292" s="45">
        <f>INT($G$6/H292)</f>
        <v/>
      </c>
      <c r="N292" s="45">
        <f>IF(M292=0, 0, IF(OR($K$6="Square Grid", M292=1), INT($G$7/H292), IF($G$7&lt;H292, 0, 1+INT(($G$7-H292)/(0.8660254*H292)))))</f>
        <v/>
      </c>
      <c r="O292" s="48">
        <f>IF(OR(M292=0,N292=0), 0, IF(OR($K$6="Square Grid", M292=1), M292*N292*$K$5, (INT((N292+1)/2)*M292 + INT(N292/2)*IF(($G$6-M292*H292)&gt;=0.5*H292, M292, M292-1))*$K$5))</f>
        <v/>
      </c>
      <c r="P292" s="48">
        <f>IF(L292&lt;=0, 0, INT($G$8/L292))</f>
        <v/>
      </c>
      <c r="Q292" s="42">
        <f>MIN(O292, P292)</f>
        <v/>
      </c>
      <c r="R292" s="43">
        <f>ROUND((Q292*L292)/1000, 2)</f>
        <v/>
      </c>
      <c r="S292" s="49">
        <f>IF($C$8&gt;0, R292/$C$8, 0)</f>
        <v/>
      </c>
      <c r="T292" s="49">
        <f>IF(O292&gt;0, Q292/O292, 0)</f>
        <v/>
      </c>
      <c r="U292" s="18">
        <f>IF(Q292=0, "Exceeds Limit", IF(P292&lt;=O292, "Weight Limited", "Volume Limited"))</f>
        <v/>
      </c>
    </row>
    <row r="293" ht="19" customHeight="1">
      <c r="A293" s="38" t="n">
        <v>283</v>
      </c>
      <c r="B293" s="39" t="inlineStr">
        <is>
          <t>Carbon Steel</t>
        </is>
      </c>
      <c r="C293" s="13" t="inlineStr">
        <is>
          <t>ASME B36.10M</t>
        </is>
      </c>
      <c r="D293" s="12" t="inlineStr">
        <is>
          <t>40''</t>
        </is>
      </c>
      <c r="E293" s="38" t="n">
        <v>1000</v>
      </c>
      <c r="F293" s="12" t="inlineStr">
        <is>
          <t>XS</t>
        </is>
      </c>
      <c r="G293" s="14" t="n">
        <v>40</v>
      </c>
      <c r="H293" s="40" t="n">
        <v>1016</v>
      </c>
      <c r="I293" s="14" t="n">
        <v>0.5</v>
      </c>
      <c r="J293" s="40" t="n">
        <v>12.7</v>
      </c>
      <c r="K293" s="14">
        <f>ROUND((H293-J293)*J293*IF(B293="Carbon Steel",$K$7,IF(B293="Stainless Steel 304",$K$8,$L$8)), 3)</f>
        <v/>
      </c>
      <c r="L293" s="40">
        <f>ROUND(K293*$G$5, 2)</f>
        <v/>
      </c>
      <c r="M293" s="38">
        <f>INT($G$6/H293)</f>
        <v/>
      </c>
      <c r="N293" s="38">
        <f>IF(M293=0, 0, IF(OR($K$6="Square Grid", M293=1), INT($G$7/H293), IF($G$7&lt;H293, 0, 1+INT(($G$7-H293)/(0.8660254*H293)))))</f>
        <v/>
      </c>
      <c r="O293" s="41">
        <f>IF(OR(M293=0,N293=0), 0, IF(OR($K$6="Square Grid", M293=1), M293*N293*$K$5, (INT((N293+1)/2)*M293 + INT(N293/2)*IF(($G$6-M293*H293)&gt;=0.5*H293, M293, M293-1))*$K$5))</f>
        <v/>
      </c>
      <c r="P293" s="41">
        <f>IF(L293&lt;=0, 0, INT($G$8/L293))</f>
        <v/>
      </c>
      <c r="Q293" s="42">
        <f>MIN(O293, P293)</f>
        <v/>
      </c>
      <c r="R293" s="43">
        <f>ROUND((Q293*L293)/1000, 2)</f>
        <v/>
      </c>
      <c r="S293" s="44">
        <f>IF($C$8&gt;0, R293/$C$8, 0)</f>
        <v/>
      </c>
      <c r="T293" s="44">
        <f>IF(O293&gt;0, Q293/O293, 0)</f>
        <v/>
      </c>
      <c r="U293" s="12">
        <f>IF(Q293=0, "Exceeds Limit", IF(P293&lt;=O293, "Weight Limited", "Volume Limited"))</f>
        <v/>
      </c>
    </row>
    <row r="294" ht="19" customHeight="1">
      <c r="A294" s="45" t="n">
        <v>284</v>
      </c>
      <c r="B294" s="46" t="inlineStr">
        <is>
          <t>Carbon Steel</t>
        </is>
      </c>
      <c r="C294" s="19" t="inlineStr">
        <is>
          <t>ASME B36.10M</t>
        </is>
      </c>
      <c r="D294" s="18" t="inlineStr">
        <is>
          <t>42''</t>
        </is>
      </c>
      <c r="E294" s="45" t="n">
        <v>1050</v>
      </c>
      <c r="F294" s="18" t="inlineStr">
        <is>
          <t>STD</t>
        </is>
      </c>
      <c r="G294" s="20" t="n">
        <v>42</v>
      </c>
      <c r="H294" s="47" t="n">
        <v>1066.8</v>
      </c>
      <c r="I294" s="20" t="n">
        <v>0.375</v>
      </c>
      <c r="J294" s="47" t="n">
        <v>9.52</v>
      </c>
      <c r="K294" s="20">
        <f>ROUND((H294-J294)*J294*IF(B294="Carbon Steel",$K$7,IF(B294="Stainless Steel 304",$K$8,$L$8)), 3)</f>
        <v/>
      </c>
      <c r="L294" s="47">
        <f>ROUND(K294*$G$5, 2)</f>
        <v/>
      </c>
      <c r="M294" s="45">
        <f>INT($G$6/H294)</f>
        <v/>
      </c>
      <c r="N294" s="45">
        <f>IF(M294=0, 0, IF(OR($K$6="Square Grid", M294=1), INT($G$7/H294), IF($G$7&lt;H294, 0, 1+INT(($G$7-H294)/(0.8660254*H294)))))</f>
        <v/>
      </c>
      <c r="O294" s="48">
        <f>IF(OR(M294=0,N294=0), 0, IF(OR($K$6="Square Grid", M294=1), M294*N294*$K$5, (INT((N294+1)/2)*M294 + INT(N294/2)*IF(($G$6-M294*H294)&gt;=0.5*H294, M294, M294-1))*$K$5))</f>
        <v/>
      </c>
      <c r="P294" s="48">
        <f>IF(L294&lt;=0, 0, INT($G$8/L294))</f>
        <v/>
      </c>
      <c r="Q294" s="42">
        <f>MIN(O294, P294)</f>
        <v/>
      </c>
      <c r="R294" s="43">
        <f>ROUND((Q294*L294)/1000, 2)</f>
        <v/>
      </c>
      <c r="S294" s="49">
        <f>IF($C$8&gt;0, R294/$C$8, 0)</f>
        <v/>
      </c>
      <c r="T294" s="49">
        <f>IF(O294&gt;0, Q294/O294, 0)</f>
        <v/>
      </c>
      <c r="U294" s="18">
        <f>IF(Q294=0, "Exceeds Limit", IF(P294&lt;=O294, "Weight Limited", "Volume Limited"))</f>
        <v/>
      </c>
    </row>
    <row r="295" ht="19" customHeight="1">
      <c r="A295" s="38" t="n">
        <v>285</v>
      </c>
      <c r="B295" s="39" t="inlineStr">
        <is>
          <t>Carbon Steel</t>
        </is>
      </c>
      <c r="C295" s="13" t="inlineStr">
        <is>
          <t>ASME B36.10M</t>
        </is>
      </c>
      <c r="D295" s="12" t="inlineStr">
        <is>
          <t>42''</t>
        </is>
      </c>
      <c r="E295" s="38" t="n">
        <v>1050</v>
      </c>
      <c r="F295" s="12" t="inlineStr">
        <is>
          <t>XS</t>
        </is>
      </c>
      <c r="G295" s="14" t="n">
        <v>42</v>
      </c>
      <c r="H295" s="40" t="n">
        <v>1066.8</v>
      </c>
      <c r="I295" s="14" t="n">
        <v>0.5</v>
      </c>
      <c r="J295" s="40" t="n">
        <v>12.7</v>
      </c>
      <c r="K295" s="14">
        <f>ROUND((H295-J295)*J295*IF(B295="Carbon Steel",$K$7,IF(B295="Stainless Steel 304",$K$8,$L$8)), 3)</f>
        <v/>
      </c>
      <c r="L295" s="40">
        <f>ROUND(K295*$G$5, 2)</f>
        <v/>
      </c>
      <c r="M295" s="38">
        <f>INT($G$6/H295)</f>
        <v/>
      </c>
      <c r="N295" s="38">
        <f>IF(M295=0, 0, IF(OR($K$6="Square Grid", M295=1), INT($G$7/H295), IF($G$7&lt;H295, 0, 1+INT(($G$7-H295)/(0.8660254*H295)))))</f>
        <v/>
      </c>
      <c r="O295" s="41">
        <f>IF(OR(M295=0,N295=0), 0, IF(OR($K$6="Square Grid", M295=1), M295*N295*$K$5, (INT((N295+1)/2)*M295 + INT(N295/2)*IF(($G$6-M295*H295)&gt;=0.5*H295, M295, M295-1))*$K$5))</f>
        <v/>
      </c>
      <c r="P295" s="41">
        <f>IF(L295&lt;=0, 0, INT($G$8/L295))</f>
        <v/>
      </c>
      <c r="Q295" s="42">
        <f>MIN(O295, P295)</f>
        <v/>
      </c>
      <c r="R295" s="43">
        <f>ROUND((Q295*L295)/1000, 2)</f>
        <v/>
      </c>
      <c r="S295" s="44">
        <f>IF($C$8&gt;0, R295/$C$8, 0)</f>
        <v/>
      </c>
      <c r="T295" s="44">
        <f>IF(O295&gt;0, Q295/O295, 0)</f>
        <v/>
      </c>
      <c r="U295" s="12">
        <f>IF(Q295=0, "Exceeds Limit", IF(P295&lt;=O295, "Weight Limited", "Volume Limited"))</f>
        <v/>
      </c>
    </row>
    <row r="296" ht="19" customHeight="1">
      <c r="A296" s="45" t="n">
        <v>286</v>
      </c>
      <c r="B296" s="46" t="inlineStr">
        <is>
          <t>Carbon Steel</t>
        </is>
      </c>
      <c r="C296" s="19" t="inlineStr">
        <is>
          <t>ASME B36.10M</t>
        </is>
      </c>
      <c r="D296" s="18" t="inlineStr">
        <is>
          <t>44''</t>
        </is>
      </c>
      <c r="E296" s="45" t="n">
        <v>1100</v>
      </c>
      <c r="F296" s="18" t="inlineStr">
        <is>
          <t>STD</t>
        </is>
      </c>
      <c r="G296" s="20" t="n">
        <v>44</v>
      </c>
      <c r="H296" s="47" t="n">
        <v>1117.6</v>
      </c>
      <c r="I296" s="20" t="n">
        <v>0.375</v>
      </c>
      <c r="J296" s="47" t="n">
        <v>9.52</v>
      </c>
      <c r="K296" s="20">
        <f>ROUND((H296-J296)*J296*IF(B296="Carbon Steel",$K$7,IF(B296="Stainless Steel 304",$K$8,$L$8)), 3)</f>
        <v/>
      </c>
      <c r="L296" s="47">
        <f>ROUND(K296*$G$5, 2)</f>
        <v/>
      </c>
      <c r="M296" s="45">
        <f>INT($G$6/H296)</f>
        <v/>
      </c>
      <c r="N296" s="45">
        <f>IF(M296=0, 0, IF(OR($K$6="Square Grid", M296=1), INT($G$7/H296), IF($G$7&lt;H296, 0, 1+INT(($G$7-H296)/(0.8660254*H296)))))</f>
        <v/>
      </c>
      <c r="O296" s="48">
        <f>IF(OR(M296=0,N296=0), 0, IF(OR($K$6="Square Grid", M296=1), M296*N296*$K$5, (INT((N296+1)/2)*M296 + INT(N296/2)*IF(($G$6-M296*H296)&gt;=0.5*H296, M296, M296-1))*$K$5))</f>
        <v/>
      </c>
      <c r="P296" s="48">
        <f>IF(L296&lt;=0, 0, INT($G$8/L296))</f>
        <v/>
      </c>
      <c r="Q296" s="42">
        <f>MIN(O296, P296)</f>
        <v/>
      </c>
      <c r="R296" s="43">
        <f>ROUND((Q296*L296)/1000, 2)</f>
        <v/>
      </c>
      <c r="S296" s="49">
        <f>IF($C$8&gt;0, R296/$C$8, 0)</f>
        <v/>
      </c>
      <c r="T296" s="49">
        <f>IF(O296&gt;0, Q296/O296, 0)</f>
        <v/>
      </c>
      <c r="U296" s="18">
        <f>IF(Q296=0, "Exceeds Limit", IF(P296&lt;=O296, "Weight Limited", "Volume Limited"))</f>
        <v/>
      </c>
    </row>
    <row r="297" ht="19" customHeight="1">
      <c r="A297" s="38" t="n">
        <v>287</v>
      </c>
      <c r="B297" s="39" t="inlineStr">
        <is>
          <t>Carbon Steel</t>
        </is>
      </c>
      <c r="C297" s="13" t="inlineStr">
        <is>
          <t>ASME B36.10M</t>
        </is>
      </c>
      <c r="D297" s="12" t="inlineStr">
        <is>
          <t>44''</t>
        </is>
      </c>
      <c r="E297" s="38" t="n">
        <v>1100</v>
      </c>
      <c r="F297" s="12" t="inlineStr">
        <is>
          <t>XS</t>
        </is>
      </c>
      <c r="G297" s="14" t="n">
        <v>44</v>
      </c>
      <c r="H297" s="40" t="n">
        <v>1117.6</v>
      </c>
      <c r="I297" s="14" t="n">
        <v>0.5</v>
      </c>
      <c r="J297" s="40" t="n">
        <v>12.7</v>
      </c>
      <c r="K297" s="14">
        <f>ROUND((H297-J297)*J297*IF(B297="Carbon Steel",$K$7,IF(B297="Stainless Steel 304",$K$8,$L$8)), 3)</f>
        <v/>
      </c>
      <c r="L297" s="40">
        <f>ROUND(K297*$G$5, 2)</f>
        <v/>
      </c>
      <c r="M297" s="38">
        <f>INT($G$6/H297)</f>
        <v/>
      </c>
      <c r="N297" s="38">
        <f>IF(M297=0, 0, IF(OR($K$6="Square Grid", M297=1), INT($G$7/H297), IF($G$7&lt;H297, 0, 1+INT(($G$7-H297)/(0.8660254*H297)))))</f>
        <v/>
      </c>
      <c r="O297" s="41">
        <f>IF(OR(M297=0,N297=0), 0, IF(OR($K$6="Square Grid", M297=1), M297*N297*$K$5, (INT((N297+1)/2)*M297 + INT(N297/2)*IF(($G$6-M297*H297)&gt;=0.5*H297, M297, M297-1))*$K$5))</f>
        <v/>
      </c>
      <c r="P297" s="41">
        <f>IF(L297&lt;=0, 0, INT($G$8/L297))</f>
        <v/>
      </c>
      <c r="Q297" s="42">
        <f>MIN(O297, P297)</f>
        <v/>
      </c>
      <c r="R297" s="43">
        <f>ROUND((Q297*L297)/1000, 2)</f>
        <v/>
      </c>
      <c r="S297" s="44">
        <f>IF($C$8&gt;0, R297/$C$8, 0)</f>
        <v/>
      </c>
      <c r="T297" s="44">
        <f>IF(O297&gt;0, Q297/O297, 0)</f>
        <v/>
      </c>
      <c r="U297" s="12">
        <f>IF(Q297=0, "Exceeds Limit", IF(P297&lt;=O297, "Weight Limited", "Volume Limited"))</f>
        <v/>
      </c>
    </row>
    <row r="298" ht="19" customHeight="1">
      <c r="A298" s="45" t="n">
        <v>288</v>
      </c>
      <c r="B298" s="46" t="inlineStr">
        <is>
          <t>Carbon Steel</t>
        </is>
      </c>
      <c r="C298" s="19" t="inlineStr">
        <is>
          <t>ASME B36.10M</t>
        </is>
      </c>
      <c r="D298" s="18" t="inlineStr">
        <is>
          <t>46''</t>
        </is>
      </c>
      <c r="E298" s="45" t="n">
        <v>1150</v>
      </c>
      <c r="F298" s="18" t="inlineStr">
        <is>
          <t>STD</t>
        </is>
      </c>
      <c r="G298" s="20" t="n">
        <v>46</v>
      </c>
      <c r="H298" s="47" t="n">
        <v>1168.4</v>
      </c>
      <c r="I298" s="20" t="n">
        <v>0.375</v>
      </c>
      <c r="J298" s="47" t="n">
        <v>9.52</v>
      </c>
      <c r="K298" s="20">
        <f>ROUND((H298-J298)*J298*IF(B298="Carbon Steel",$K$7,IF(B298="Stainless Steel 304",$K$8,$L$8)), 3)</f>
        <v/>
      </c>
      <c r="L298" s="47">
        <f>ROUND(K298*$G$5, 2)</f>
        <v/>
      </c>
      <c r="M298" s="45">
        <f>INT($G$6/H298)</f>
        <v/>
      </c>
      <c r="N298" s="45">
        <f>IF(M298=0, 0, IF(OR($K$6="Square Grid", M298=1), INT($G$7/H298), IF($G$7&lt;H298, 0, 1+INT(($G$7-H298)/(0.8660254*H298)))))</f>
        <v/>
      </c>
      <c r="O298" s="48">
        <f>IF(OR(M298=0,N298=0), 0, IF(OR($K$6="Square Grid", M298=1), M298*N298*$K$5, (INT((N298+1)/2)*M298 + INT(N298/2)*IF(($G$6-M298*H298)&gt;=0.5*H298, M298, M298-1))*$K$5))</f>
        <v/>
      </c>
      <c r="P298" s="48">
        <f>IF(L298&lt;=0, 0, INT($G$8/L298))</f>
        <v/>
      </c>
      <c r="Q298" s="42">
        <f>MIN(O298, P298)</f>
        <v/>
      </c>
      <c r="R298" s="43">
        <f>ROUND((Q298*L298)/1000, 2)</f>
        <v/>
      </c>
      <c r="S298" s="49">
        <f>IF($C$8&gt;0, R298/$C$8, 0)</f>
        <v/>
      </c>
      <c r="T298" s="49">
        <f>IF(O298&gt;0, Q298/O298, 0)</f>
        <v/>
      </c>
      <c r="U298" s="18">
        <f>IF(Q298=0, "Exceeds Limit", IF(P298&lt;=O298, "Weight Limited", "Volume Limited"))</f>
        <v/>
      </c>
    </row>
    <row r="299" ht="19" customHeight="1">
      <c r="A299" s="38" t="n">
        <v>289</v>
      </c>
      <c r="B299" s="39" t="inlineStr">
        <is>
          <t>Carbon Steel</t>
        </is>
      </c>
      <c r="C299" s="13" t="inlineStr">
        <is>
          <t>ASME B36.10M</t>
        </is>
      </c>
      <c r="D299" s="12" t="inlineStr">
        <is>
          <t>46''</t>
        </is>
      </c>
      <c r="E299" s="38" t="n">
        <v>1150</v>
      </c>
      <c r="F299" s="12" t="inlineStr">
        <is>
          <t>XS</t>
        </is>
      </c>
      <c r="G299" s="14" t="n">
        <v>46</v>
      </c>
      <c r="H299" s="40" t="n">
        <v>1168.4</v>
      </c>
      <c r="I299" s="14" t="n">
        <v>0.5</v>
      </c>
      <c r="J299" s="40" t="n">
        <v>12.7</v>
      </c>
      <c r="K299" s="14">
        <f>ROUND((H299-J299)*J299*IF(B299="Carbon Steel",$K$7,IF(B299="Stainless Steel 304",$K$8,$L$8)), 3)</f>
        <v/>
      </c>
      <c r="L299" s="40">
        <f>ROUND(K299*$G$5, 2)</f>
        <v/>
      </c>
      <c r="M299" s="38">
        <f>INT($G$6/H299)</f>
        <v/>
      </c>
      <c r="N299" s="38">
        <f>IF(M299=0, 0, IF(OR($K$6="Square Grid", M299=1), INT($G$7/H299), IF($G$7&lt;H299, 0, 1+INT(($G$7-H299)/(0.8660254*H299)))))</f>
        <v/>
      </c>
      <c r="O299" s="41">
        <f>IF(OR(M299=0,N299=0), 0, IF(OR($K$6="Square Grid", M299=1), M299*N299*$K$5, (INT((N299+1)/2)*M299 + INT(N299/2)*IF(($G$6-M299*H299)&gt;=0.5*H299, M299, M299-1))*$K$5))</f>
        <v/>
      </c>
      <c r="P299" s="41">
        <f>IF(L299&lt;=0, 0, INT($G$8/L299))</f>
        <v/>
      </c>
      <c r="Q299" s="42">
        <f>MIN(O299, P299)</f>
        <v/>
      </c>
      <c r="R299" s="43">
        <f>ROUND((Q299*L299)/1000, 2)</f>
        <v/>
      </c>
      <c r="S299" s="44">
        <f>IF($C$8&gt;0, R299/$C$8, 0)</f>
        <v/>
      </c>
      <c r="T299" s="44">
        <f>IF(O299&gt;0, Q299/O299, 0)</f>
        <v/>
      </c>
      <c r="U299" s="12">
        <f>IF(Q299=0, "Exceeds Limit", IF(P299&lt;=O299, "Weight Limited", "Volume Limited"))</f>
        <v/>
      </c>
    </row>
    <row r="300" ht="19" customHeight="1">
      <c r="A300" s="45" t="n">
        <v>290</v>
      </c>
      <c r="B300" s="46" t="inlineStr">
        <is>
          <t>Carbon Steel</t>
        </is>
      </c>
      <c r="C300" s="19" t="inlineStr">
        <is>
          <t>ASME B36.10M</t>
        </is>
      </c>
      <c r="D300" s="18" t="inlineStr">
        <is>
          <t>48''</t>
        </is>
      </c>
      <c r="E300" s="45" t="n">
        <v>1200</v>
      </c>
      <c r="F300" s="18" t="inlineStr">
        <is>
          <t>STD</t>
        </is>
      </c>
      <c r="G300" s="20" t="n">
        <v>48</v>
      </c>
      <c r="H300" s="47" t="n">
        <v>1219.2</v>
      </c>
      <c r="I300" s="20" t="n">
        <v>0.375</v>
      </c>
      <c r="J300" s="47" t="n">
        <v>9.52</v>
      </c>
      <c r="K300" s="20">
        <f>ROUND((H300-J300)*J300*IF(B300="Carbon Steel",$K$7,IF(B300="Stainless Steel 304",$K$8,$L$8)), 3)</f>
        <v/>
      </c>
      <c r="L300" s="47">
        <f>ROUND(K300*$G$5, 2)</f>
        <v/>
      </c>
      <c r="M300" s="45">
        <f>INT($G$6/H300)</f>
        <v/>
      </c>
      <c r="N300" s="45">
        <f>IF(M300=0, 0, IF(OR($K$6="Square Grid", M300=1), INT($G$7/H300), IF($G$7&lt;H300, 0, 1+INT(($G$7-H300)/(0.8660254*H300)))))</f>
        <v/>
      </c>
      <c r="O300" s="48">
        <f>IF(OR(M300=0,N300=0), 0, IF(OR($K$6="Square Grid", M300=1), M300*N300*$K$5, (INT((N300+1)/2)*M300 + INT(N300/2)*IF(($G$6-M300*H300)&gt;=0.5*H300, M300, M300-1))*$K$5))</f>
        <v/>
      </c>
      <c r="P300" s="48">
        <f>IF(L300&lt;=0, 0, INT($G$8/L300))</f>
        <v/>
      </c>
      <c r="Q300" s="42">
        <f>MIN(O300, P300)</f>
        <v/>
      </c>
      <c r="R300" s="43">
        <f>ROUND((Q300*L300)/1000, 2)</f>
        <v/>
      </c>
      <c r="S300" s="49">
        <f>IF($C$8&gt;0, R300/$C$8, 0)</f>
        <v/>
      </c>
      <c r="T300" s="49">
        <f>IF(O300&gt;0, Q300/O300, 0)</f>
        <v/>
      </c>
      <c r="U300" s="18">
        <f>IF(Q300=0, "Exceeds Limit", IF(P300&lt;=O300, "Weight Limited", "Volume Limited"))</f>
        <v/>
      </c>
    </row>
    <row r="301" ht="19" customHeight="1">
      <c r="A301" s="38" t="n">
        <v>291</v>
      </c>
      <c r="B301" s="39" t="inlineStr">
        <is>
          <t>Carbon Steel</t>
        </is>
      </c>
      <c r="C301" s="13" t="inlineStr">
        <is>
          <t>ASME B36.10M</t>
        </is>
      </c>
      <c r="D301" s="12" t="inlineStr">
        <is>
          <t>48''</t>
        </is>
      </c>
      <c r="E301" s="38" t="n">
        <v>1200</v>
      </c>
      <c r="F301" s="12" t="inlineStr">
        <is>
          <t>XS</t>
        </is>
      </c>
      <c r="G301" s="14" t="n">
        <v>48</v>
      </c>
      <c r="H301" s="40" t="n">
        <v>1219.2</v>
      </c>
      <c r="I301" s="14" t="n">
        <v>0.5</v>
      </c>
      <c r="J301" s="40" t="n">
        <v>12.7</v>
      </c>
      <c r="K301" s="14">
        <f>ROUND((H301-J301)*J301*IF(B301="Carbon Steel",$K$7,IF(B301="Stainless Steel 304",$K$8,$L$8)), 3)</f>
        <v/>
      </c>
      <c r="L301" s="40">
        <f>ROUND(K301*$G$5, 2)</f>
        <v/>
      </c>
      <c r="M301" s="38">
        <f>INT($G$6/H301)</f>
        <v/>
      </c>
      <c r="N301" s="38">
        <f>IF(M301=0, 0, IF(OR($K$6="Square Grid", M301=1), INT($G$7/H301), IF($G$7&lt;H301, 0, 1+INT(($G$7-H301)/(0.8660254*H301)))))</f>
        <v/>
      </c>
      <c r="O301" s="41">
        <f>IF(OR(M301=0,N301=0), 0, IF(OR($K$6="Square Grid", M301=1), M301*N301*$K$5, (INT((N301+1)/2)*M301 + INT(N301/2)*IF(($G$6-M301*H301)&gt;=0.5*H301, M301, M301-1))*$K$5))</f>
        <v/>
      </c>
      <c r="P301" s="41">
        <f>IF(L301&lt;=0, 0, INT($G$8/L301))</f>
        <v/>
      </c>
      <c r="Q301" s="42">
        <f>MIN(O301, P301)</f>
        <v/>
      </c>
      <c r="R301" s="43">
        <f>ROUND((Q301*L301)/1000, 2)</f>
        <v/>
      </c>
      <c r="S301" s="44">
        <f>IF($C$8&gt;0, R301/$C$8, 0)</f>
        <v/>
      </c>
      <c r="T301" s="44">
        <f>IF(O301&gt;0, Q301/O301, 0)</f>
        <v/>
      </c>
      <c r="U301" s="12">
        <f>IF(Q301=0, "Exceeds Limit", IF(P301&lt;=O301, "Weight Limited", "Volume Limited"))</f>
        <v/>
      </c>
    </row>
    <row r="302" ht="19" customHeight="1">
      <c r="A302" s="45" t="n">
        <v>292</v>
      </c>
      <c r="B302" s="50" t="inlineStr">
        <is>
          <t>Stainless Steel 304</t>
        </is>
      </c>
      <c r="C302" s="19" t="inlineStr">
        <is>
          <t>ASME B36.19M</t>
        </is>
      </c>
      <c r="D302" s="18" t="inlineStr">
        <is>
          <t>1/8''</t>
        </is>
      </c>
      <c r="E302" s="45" t="n">
        <v>6</v>
      </c>
      <c r="F302" s="18" t="inlineStr">
        <is>
          <t>10S</t>
        </is>
      </c>
      <c r="G302" s="20" t="n">
        <v>0.405</v>
      </c>
      <c r="H302" s="47" t="n">
        <v>10.29</v>
      </c>
      <c r="I302" s="20" t="n">
        <v>0.049</v>
      </c>
      <c r="J302" s="47" t="n">
        <v>1.24</v>
      </c>
      <c r="K302" s="20">
        <f>ROUND((H302-J302)*J302*IF(B302="Carbon Steel",$K$7,IF(B302="Stainless Steel 304",$K$8,$L$8)), 3)</f>
        <v/>
      </c>
      <c r="L302" s="47">
        <f>ROUND(K302*$G$5, 2)</f>
        <v/>
      </c>
      <c r="M302" s="45">
        <f>INT($G$6/H302)</f>
        <v/>
      </c>
      <c r="N302" s="45">
        <f>IF(M302=0, 0, IF(OR($K$6="Square Grid", M302=1), INT($G$7/H302), IF($G$7&lt;H302, 0, 1+INT(($G$7-H302)/(0.8660254*H302)))))</f>
        <v/>
      </c>
      <c r="O302" s="48">
        <f>IF(OR(M302=0,N302=0), 0, IF(OR($K$6="Square Grid", M302=1), M302*N302*$K$5, (INT((N302+1)/2)*M302 + INT(N302/2)*IF(($G$6-M302*H302)&gt;=0.5*H302, M302, M302-1))*$K$5))</f>
        <v/>
      </c>
      <c r="P302" s="48">
        <f>IF(L302&lt;=0, 0, INT($G$8/L302))</f>
        <v/>
      </c>
      <c r="Q302" s="42">
        <f>MIN(O302, P302)</f>
        <v/>
      </c>
      <c r="R302" s="43">
        <f>ROUND((Q302*L302)/1000, 2)</f>
        <v/>
      </c>
      <c r="S302" s="49">
        <f>IF($C$8&gt;0, R302/$C$8, 0)</f>
        <v/>
      </c>
      <c r="T302" s="49">
        <f>IF(O302&gt;0, Q302/O302, 0)</f>
        <v/>
      </c>
      <c r="U302" s="18">
        <f>IF(Q302=0, "Exceeds Limit", IF(P302&lt;=O302, "Weight Limited", "Volume Limited"))</f>
        <v/>
      </c>
    </row>
    <row r="303" ht="19" customHeight="1">
      <c r="A303" s="38" t="n">
        <v>293</v>
      </c>
      <c r="B303" s="51" t="inlineStr">
        <is>
          <t>Stainless Steel 304</t>
        </is>
      </c>
      <c r="C303" s="13" t="inlineStr">
        <is>
          <t>ASME B36.19M</t>
        </is>
      </c>
      <c r="D303" s="12" t="inlineStr">
        <is>
          <t>1/8''</t>
        </is>
      </c>
      <c r="E303" s="38" t="n">
        <v>6</v>
      </c>
      <c r="F303" s="12" t="inlineStr">
        <is>
          <t>40S</t>
        </is>
      </c>
      <c r="G303" s="14" t="n">
        <v>0.405</v>
      </c>
      <c r="H303" s="40" t="n">
        <v>10.29</v>
      </c>
      <c r="I303" s="14" t="n">
        <v>0.068</v>
      </c>
      <c r="J303" s="40" t="n">
        <v>1.73</v>
      </c>
      <c r="K303" s="14">
        <f>ROUND((H303-J303)*J303*IF(B303="Carbon Steel",$K$7,IF(B303="Stainless Steel 304",$K$8,$L$8)), 3)</f>
        <v/>
      </c>
      <c r="L303" s="40">
        <f>ROUND(K303*$G$5, 2)</f>
        <v/>
      </c>
      <c r="M303" s="38">
        <f>INT($G$6/H303)</f>
        <v/>
      </c>
      <c r="N303" s="38">
        <f>IF(M303=0, 0, IF(OR($K$6="Square Grid", M303=1), INT($G$7/H303), IF($G$7&lt;H303, 0, 1+INT(($G$7-H303)/(0.8660254*H303)))))</f>
        <v/>
      </c>
      <c r="O303" s="41">
        <f>IF(OR(M303=0,N303=0), 0, IF(OR($K$6="Square Grid", M303=1), M303*N303*$K$5, (INT((N303+1)/2)*M303 + INT(N303/2)*IF(($G$6-M303*H303)&gt;=0.5*H303, M303, M303-1))*$K$5))</f>
        <v/>
      </c>
      <c r="P303" s="41">
        <f>IF(L303&lt;=0, 0, INT($G$8/L303))</f>
        <v/>
      </c>
      <c r="Q303" s="42">
        <f>MIN(O303, P303)</f>
        <v/>
      </c>
      <c r="R303" s="43">
        <f>ROUND((Q303*L303)/1000, 2)</f>
        <v/>
      </c>
      <c r="S303" s="44">
        <f>IF($C$8&gt;0, R303/$C$8, 0)</f>
        <v/>
      </c>
      <c r="T303" s="44">
        <f>IF(O303&gt;0, Q303/O303, 0)</f>
        <v/>
      </c>
      <c r="U303" s="12">
        <f>IF(Q303=0, "Exceeds Limit", IF(P303&lt;=O303, "Weight Limited", "Volume Limited"))</f>
        <v/>
      </c>
    </row>
    <row r="304" ht="19" customHeight="1">
      <c r="A304" s="45" t="n">
        <v>294</v>
      </c>
      <c r="B304" s="50" t="inlineStr">
        <is>
          <t>Stainless Steel 304</t>
        </is>
      </c>
      <c r="C304" s="19" t="inlineStr">
        <is>
          <t>ASME B36.19M</t>
        </is>
      </c>
      <c r="D304" s="18" t="inlineStr">
        <is>
          <t>1/8''</t>
        </is>
      </c>
      <c r="E304" s="45" t="n">
        <v>6</v>
      </c>
      <c r="F304" s="18" t="inlineStr">
        <is>
          <t>80S</t>
        </is>
      </c>
      <c r="G304" s="20" t="n">
        <v>0.405</v>
      </c>
      <c r="H304" s="47" t="n">
        <v>10.29</v>
      </c>
      <c r="I304" s="20" t="n">
        <v>0.095</v>
      </c>
      <c r="J304" s="47" t="n">
        <v>2.41</v>
      </c>
      <c r="K304" s="20">
        <f>ROUND((H304-J304)*J304*IF(B304="Carbon Steel",$K$7,IF(B304="Stainless Steel 304",$K$8,$L$8)), 3)</f>
        <v/>
      </c>
      <c r="L304" s="47">
        <f>ROUND(K304*$G$5, 2)</f>
        <v/>
      </c>
      <c r="M304" s="45">
        <f>INT($G$6/H304)</f>
        <v/>
      </c>
      <c r="N304" s="45">
        <f>IF(M304=0, 0, IF(OR($K$6="Square Grid", M304=1), INT($G$7/H304), IF($G$7&lt;H304, 0, 1+INT(($G$7-H304)/(0.8660254*H304)))))</f>
        <v/>
      </c>
      <c r="O304" s="48">
        <f>IF(OR(M304=0,N304=0), 0, IF(OR($K$6="Square Grid", M304=1), M304*N304*$K$5, (INT((N304+1)/2)*M304 + INT(N304/2)*IF(($G$6-M304*H304)&gt;=0.5*H304, M304, M304-1))*$K$5))</f>
        <v/>
      </c>
      <c r="P304" s="48">
        <f>IF(L304&lt;=0, 0, INT($G$8/L304))</f>
        <v/>
      </c>
      <c r="Q304" s="42">
        <f>MIN(O304, P304)</f>
        <v/>
      </c>
      <c r="R304" s="43">
        <f>ROUND((Q304*L304)/1000, 2)</f>
        <v/>
      </c>
      <c r="S304" s="49">
        <f>IF($C$8&gt;0, R304/$C$8, 0)</f>
        <v/>
      </c>
      <c r="T304" s="49">
        <f>IF(O304&gt;0, Q304/O304, 0)</f>
        <v/>
      </c>
      <c r="U304" s="18">
        <f>IF(Q304=0, "Exceeds Limit", IF(P304&lt;=O304, "Weight Limited", "Volume Limited"))</f>
        <v/>
      </c>
    </row>
    <row r="305" ht="19" customHeight="1">
      <c r="A305" s="38" t="n">
        <v>295</v>
      </c>
      <c r="B305" s="51" t="inlineStr">
        <is>
          <t>Stainless Steel 304</t>
        </is>
      </c>
      <c r="C305" s="13" t="inlineStr">
        <is>
          <t>ASME B36.19M</t>
        </is>
      </c>
      <c r="D305" s="12" t="inlineStr">
        <is>
          <t>1/8''</t>
        </is>
      </c>
      <c r="E305" s="38" t="n">
        <v>6</v>
      </c>
      <c r="F305" s="12" t="inlineStr">
        <is>
          <t>STD</t>
        </is>
      </c>
      <c r="G305" s="14" t="n">
        <v>0.405</v>
      </c>
      <c r="H305" s="40" t="n">
        <v>10.29</v>
      </c>
      <c r="I305" s="14" t="n">
        <v>0.068</v>
      </c>
      <c r="J305" s="40" t="n">
        <v>1.73</v>
      </c>
      <c r="K305" s="14">
        <f>ROUND((H305-J305)*J305*IF(B305="Carbon Steel",$K$7,IF(B305="Stainless Steel 304",$K$8,$L$8)), 3)</f>
        <v/>
      </c>
      <c r="L305" s="40">
        <f>ROUND(K305*$G$5, 2)</f>
        <v/>
      </c>
      <c r="M305" s="38">
        <f>INT($G$6/H305)</f>
        <v/>
      </c>
      <c r="N305" s="38">
        <f>IF(M305=0, 0, IF(OR($K$6="Square Grid", M305=1), INT($G$7/H305), IF($G$7&lt;H305, 0, 1+INT(($G$7-H305)/(0.8660254*H305)))))</f>
        <v/>
      </c>
      <c r="O305" s="41">
        <f>IF(OR(M305=0,N305=0), 0, IF(OR($K$6="Square Grid", M305=1), M305*N305*$K$5, (INT((N305+1)/2)*M305 + INT(N305/2)*IF(($G$6-M305*H305)&gt;=0.5*H305, M305, M305-1))*$K$5))</f>
        <v/>
      </c>
      <c r="P305" s="41">
        <f>IF(L305&lt;=0, 0, INT($G$8/L305))</f>
        <v/>
      </c>
      <c r="Q305" s="42">
        <f>MIN(O305, P305)</f>
        <v/>
      </c>
      <c r="R305" s="43">
        <f>ROUND((Q305*L305)/1000, 2)</f>
        <v/>
      </c>
      <c r="S305" s="44">
        <f>IF($C$8&gt;0, R305/$C$8, 0)</f>
        <v/>
      </c>
      <c r="T305" s="44">
        <f>IF(O305&gt;0, Q305/O305, 0)</f>
        <v/>
      </c>
      <c r="U305" s="12">
        <f>IF(Q305=0, "Exceeds Limit", IF(P305&lt;=O305, "Weight Limited", "Volume Limited"))</f>
        <v/>
      </c>
    </row>
    <row r="306" ht="19" customHeight="1">
      <c r="A306" s="45" t="n">
        <v>296</v>
      </c>
      <c r="B306" s="50" t="inlineStr">
        <is>
          <t>Stainless Steel 304</t>
        </is>
      </c>
      <c r="C306" s="19" t="inlineStr">
        <is>
          <t>ASME B36.19M</t>
        </is>
      </c>
      <c r="D306" s="18" t="inlineStr">
        <is>
          <t>1/8''</t>
        </is>
      </c>
      <c r="E306" s="45" t="n">
        <v>6</v>
      </c>
      <c r="F306" s="18" t="inlineStr">
        <is>
          <t>XS</t>
        </is>
      </c>
      <c r="G306" s="20" t="n">
        <v>0.405</v>
      </c>
      <c r="H306" s="47" t="n">
        <v>10.29</v>
      </c>
      <c r="I306" s="20" t="n">
        <v>0.095</v>
      </c>
      <c r="J306" s="47" t="n">
        <v>2.41</v>
      </c>
      <c r="K306" s="20">
        <f>ROUND((H306-J306)*J306*IF(B306="Carbon Steel",$K$7,IF(B306="Stainless Steel 304",$K$8,$L$8)), 3)</f>
        <v/>
      </c>
      <c r="L306" s="47">
        <f>ROUND(K306*$G$5, 2)</f>
        <v/>
      </c>
      <c r="M306" s="45">
        <f>INT($G$6/H306)</f>
        <v/>
      </c>
      <c r="N306" s="45">
        <f>IF(M306=0, 0, IF(OR($K$6="Square Grid", M306=1), INT($G$7/H306), IF($G$7&lt;H306, 0, 1+INT(($G$7-H306)/(0.8660254*H306)))))</f>
        <v/>
      </c>
      <c r="O306" s="48">
        <f>IF(OR(M306=0,N306=0), 0, IF(OR($K$6="Square Grid", M306=1), M306*N306*$K$5, (INT((N306+1)/2)*M306 + INT(N306/2)*IF(($G$6-M306*H306)&gt;=0.5*H306, M306, M306-1))*$K$5))</f>
        <v/>
      </c>
      <c r="P306" s="48">
        <f>IF(L306&lt;=0, 0, INT($G$8/L306))</f>
        <v/>
      </c>
      <c r="Q306" s="42">
        <f>MIN(O306, P306)</f>
        <v/>
      </c>
      <c r="R306" s="43">
        <f>ROUND((Q306*L306)/1000, 2)</f>
        <v/>
      </c>
      <c r="S306" s="49">
        <f>IF($C$8&gt;0, R306/$C$8, 0)</f>
        <v/>
      </c>
      <c r="T306" s="49">
        <f>IF(O306&gt;0, Q306/O306, 0)</f>
        <v/>
      </c>
      <c r="U306" s="18">
        <f>IF(Q306=0, "Exceeds Limit", IF(P306&lt;=O306, "Weight Limited", "Volume Limited"))</f>
        <v/>
      </c>
    </row>
    <row r="307" ht="19" customHeight="1">
      <c r="A307" s="38" t="n">
        <v>297</v>
      </c>
      <c r="B307" s="51" t="inlineStr">
        <is>
          <t>Stainless Steel 304</t>
        </is>
      </c>
      <c r="C307" s="13" t="inlineStr">
        <is>
          <t>ASME B36.19M</t>
        </is>
      </c>
      <c r="D307" s="12" t="inlineStr">
        <is>
          <t>1/4''</t>
        </is>
      </c>
      <c r="E307" s="38" t="n">
        <v>8</v>
      </c>
      <c r="F307" s="12" t="inlineStr">
        <is>
          <t>10S</t>
        </is>
      </c>
      <c r="G307" s="14" t="n">
        <v>0.54</v>
      </c>
      <c r="H307" s="40" t="n">
        <v>13.72</v>
      </c>
      <c r="I307" s="14" t="n">
        <v>0.065</v>
      </c>
      <c r="J307" s="40" t="n">
        <v>1.65</v>
      </c>
      <c r="K307" s="14">
        <f>ROUND((H307-J307)*J307*IF(B307="Carbon Steel",$K$7,IF(B307="Stainless Steel 304",$K$8,$L$8)), 3)</f>
        <v/>
      </c>
      <c r="L307" s="40">
        <f>ROUND(K307*$G$5, 2)</f>
        <v/>
      </c>
      <c r="M307" s="38">
        <f>INT($G$6/H307)</f>
        <v/>
      </c>
      <c r="N307" s="38">
        <f>IF(M307=0, 0, IF(OR($K$6="Square Grid", M307=1), INT($G$7/H307), IF($G$7&lt;H307, 0, 1+INT(($G$7-H307)/(0.8660254*H307)))))</f>
        <v/>
      </c>
      <c r="O307" s="41">
        <f>IF(OR(M307=0,N307=0), 0, IF(OR($K$6="Square Grid", M307=1), M307*N307*$K$5, (INT((N307+1)/2)*M307 + INT(N307/2)*IF(($G$6-M307*H307)&gt;=0.5*H307, M307, M307-1))*$K$5))</f>
        <v/>
      </c>
      <c r="P307" s="41">
        <f>IF(L307&lt;=0, 0, INT($G$8/L307))</f>
        <v/>
      </c>
      <c r="Q307" s="42">
        <f>MIN(O307, P307)</f>
        <v/>
      </c>
      <c r="R307" s="43">
        <f>ROUND((Q307*L307)/1000, 2)</f>
        <v/>
      </c>
      <c r="S307" s="44">
        <f>IF($C$8&gt;0, R307/$C$8, 0)</f>
        <v/>
      </c>
      <c r="T307" s="44">
        <f>IF(O307&gt;0, Q307/O307, 0)</f>
        <v/>
      </c>
      <c r="U307" s="12">
        <f>IF(Q307=0, "Exceeds Limit", IF(P307&lt;=O307, "Weight Limited", "Volume Limited"))</f>
        <v/>
      </c>
    </row>
    <row r="308" ht="19" customHeight="1">
      <c r="A308" s="45" t="n">
        <v>298</v>
      </c>
      <c r="B308" s="50" t="inlineStr">
        <is>
          <t>Stainless Steel 304</t>
        </is>
      </c>
      <c r="C308" s="19" t="inlineStr">
        <is>
          <t>ASME B36.19M</t>
        </is>
      </c>
      <c r="D308" s="18" t="inlineStr">
        <is>
          <t>1/4''</t>
        </is>
      </c>
      <c r="E308" s="45" t="n">
        <v>8</v>
      </c>
      <c r="F308" s="18" t="inlineStr">
        <is>
          <t>40S</t>
        </is>
      </c>
      <c r="G308" s="20" t="n">
        <v>0.54</v>
      </c>
      <c r="H308" s="47" t="n">
        <v>13.72</v>
      </c>
      <c r="I308" s="20" t="n">
        <v>0.08799999999999999</v>
      </c>
      <c r="J308" s="47" t="n">
        <v>2.24</v>
      </c>
      <c r="K308" s="20">
        <f>ROUND((H308-J308)*J308*IF(B308="Carbon Steel",$K$7,IF(B308="Stainless Steel 304",$K$8,$L$8)), 3)</f>
        <v/>
      </c>
      <c r="L308" s="47">
        <f>ROUND(K308*$G$5, 2)</f>
        <v/>
      </c>
      <c r="M308" s="45">
        <f>INT($G$6/H308)</f>
        <v/>
      </c>
      <c r="N308" s="45">
        <f>IF(M308=0, 0, IF(OR($K$6="Square Grid", M308=1), INT($G$7/H308), IF($G$7&lt;H308, 0, 1+INT(($G$7-H308)/(0.8660254*H308)))))</f>
        <v/>
      </c>
      <c r="O308" s="48">
        <f>IF(OR(M308=0,N308=0), 0, IF(OR($K$6="Square Grid", M308=1), M308*N308*$K$5, (INT((N308+1)/2)*M308 + INT(N308/2)*IF(($G$6-M308*H308)&gt;=0.5*H308, M308, M308-1))*$K$5))</f>
        <v/>
      </c>
      <c r="P308" s="48">
        <f>IF(L308&lt;=0, 0, INT($G$8/L308))</f>
        <v/>
      </c>
      <c r="Q308" s="42">
        <f>MIN(O308, P308)</f>
        <v/>
      </c>
      <c r="R308" s="43">
        <f>ROUND((Q308*L308)/1000, 2)</f>
        <v/>
      </c>
      <c r="S308" s="49">
        <f>IF($C$8&gt;0, R308/$C$8, 0)</f>
        <v/>
      </c>
      <c r="T308" s="49">
        <f>IF(O308&gt;0, Q308/O308, 0)</f>
        <v/>
      </c>
      <c r="U308" s="18">
        <f>IF(Q308=0, "Exceeds Limit", IF(P308&lt;=O308, "Weight Limited", "Volume Limited"))</f>
        <v/>
      </c>
    </row>
    <row r="309" ht="19" customHeight="1">
      <c r="A309" s="38" t="n">
        <v>299</v>
      </c>
      <c r="B309" s="51" t="inlineStr">
        <is>
          <t>Stainless Steel 304</t>
        </is>
      </c>
      <c r="C309" s="13" t="inlineStr">
        <is>
          <t>ASME B36.19M</t>
        </is>
      </c>
      <c r="D309" s="12" t="inlineStr">
        <is>
          <t>1/4''</t>
        </is>
      </c>
      <c r="E309" s="38" t="n">
        <v>8</v>
      </c>
      <c r="F309" s="12" t="inlineStr">
        <is>
          <t>80S</t>
        </is>
      </c>
      <c r="G309" s="14" t="n">
        <v>0.54</v>
      </c>
      <c r="H309" s="40" t="n">
        <v>13.72</v>
      </c>
      <c r="I309" s="14" t="n">
        <v>0.119</v>
      </c>
      <c r="J309" s="40" t="n">
        <v>3.02</v>
      </c>
      <c r="K309" s="14">
        <f>ROUND((H309-J309)*J309*IF(B309="Carbon Steel",$K$7,IF(B309="Stainless Steel 304",$K$8,$L$8)), 3)</f>
        <v/>
      </c>
      <c r="L309" s="40">
        <f>ROUND(K309*$G$5, 2)</f>
        <v/>
      </c>
      <c r="M309" s="38">
        <f>INT($G$6/H309)</f>
        <v/>
      </c>
      <c r="N309" s="38">
        <f>IF(M309=0, 0, IF(OR($K$6="Square Grid", M309=1), INT($G$7/H309), IF($G$7&lt;H309, 0, 1+INT(($G$7-H309)/(0.8660254*H309)))))</f>
        <v/>
      </c>
      <c r="O309" s="41">
        <f>IF(OR(M309=0,N309=0), 0, IF(OR($K$6="Square Grid", M309=1), M309*N309*$K$5, (INT((N309+1)/2)*M309 + INT(N309/2)*IF(($G$6-M309*H309)&gt;=0.5*H309, M309, M309-1))*$K$5))</f>
        <v/>
      </c>
      <c r="P309" s="41">
        <f>IF(L309&lt;=0, 0, INT($G$8/L309))</f>
        <v/>
      </c>
      <c r="Q309" s="42">
        <f>MIN(O309, P309)</f>
        <v/>
      </c>
      <c r="R309" s="43">
        <f>ROUND((Q309*L309)/1000, 2)</f>
        <v/>
      </c>
      <c r="S309" s="44">
        <f>IF($C$8&gt;0, R309/$C$8, 0)</f>
        <v/>
      </c>
      <c r="T309" s="44">
        <f>IF(O309&gt;0, Q309/O309, 0)</f>
        <v/>
      </c>
      <c r="U309" s="12">
        <f>IF(Q309=0, "Exceeds Limit", IF(P309&lt;=O309, "Weight Limited", "Volume Limited"))</f>
        <v/>
      </c>
    </row>
    <row r="310" ht="19" customHeight="1">
      <c r="A310" s="45" t="n">
        <v>300</v>
      </c>
      <c r="B310" s="50" t="inlineStr">
        <is>
          <t>Stainless Steel 304</t>
        </is>
      </c>
      <c r="C310" s="19" t="inlineStr">
        <is>
          <t>ASME B36.19M</t>
        </is>
      </c>
      <c r="D310" s="18" t="inlineStr">
        <is>
          <t>1/4''</t>
        </is>
      </c>
      <c r="E310" s="45" t="n">
        <v>8</v>
      </c>
      <c r="F310" s="18" t="inlineStr">
        <is>
          <t>STD</t>
        </is>
      </c>
      <c r="G310" s="20" t="n">
        <v>0.54</v>
      </c>
      <c r="H310" s="47" t="n">
        <v>13.72</v>
      </c>
      <c r="I310" s="20" t="n">
        <v>0.08799999999999999</v>
      </c>
      <c r="J310" s="47" t="n">
        <v>2.24</v>
      </c>
      <c r="K310" s="20">
        <f>ROUND((H310-J310)*J310*IF(B310="Carbon Steel",$K$7,IF(B310="Stainless Steel 304",$K$8,$L$8)), 3)</f>
        <v/>
      </c>
      <c r="L310" s="47">
        <f>ROUND(K310*$G$5, 2)</f>
        <v/>
      </c>
      <c r="M310" s="45">
        <f>INT($G$6/H310)</f>
        <v/>
      </c>
      <c r="N310" s="45">
        <f>IF(M310=0, 0, IF(OR($K$6="Square Grid", M310=1), INT($G$7/H310), IF($G$7&lt;H310, 0, 1+INT(($G$7-H310)/(0.8660254*H310)))))</f>
        <v/>
      </c>
      <c r="O310" s="48">
        <f>IF(OR(M310=0,N310=0), 0, IF(OR($K$6="Square Grid", M310=1), M310*N310*$K$5, (INT((N310+1)/2)*M310 + INT(N310/2)*IF(($G$6-M310*H310)&gt;=0.5*H310, M310, M310-1))*$K$5))</f>
        <v/>
      </c>
      <c r="P310" s="48">
        <f>IF(L310&lt;=0, 0, INT($G$8/L310))</f>
        <v/>
      </c>
      <c r="Q310" s="42">
        <f>MIN(O310, P310)</f>
        <v/>
      </c>
      <c r="R310" s="43">
        <f>ROUND((Q310*L310)/1000, 2)</f>
        <v/>
      </c>
      <c r="S310" s="49">
        <f>IF($C$8&gt;0, R310/$C$8, 0)</f>
        <v/>
      </c>
      <c r="T310" s="49">
        <f>IF(O310&gt;0, Q310/O310, 0)</f>
        <v/>
      </c>
      <c r="U310" s="18">
        <f>IF(Q310=0, "Exceeds Limit", IF(P310&lt;=O310, "Weight Limited", "Volume Limited"))</f>
        <v/>
      </c>
    </row>
    <row r="311" ht="19" customHeight="1">
      <c r="A311" s="38" t="n">
        <v>301</v>
      </c>
      <c r="B311" s="51" t="inlineStr">
        <is>
          <t>Stainless Steel 304</t>
        </is>
      </c>
      <c r="C311" s="13" t="inlineStr">
        <is>
          <t>ASME B36.19M</t>
        </is>
      </c>
      <c r="D311" s="12" t="inlineStr">
        <is>
          <t>1/4''</t>
        </is>
      </c>
      <c r="E311" s="38" t="n">
        <v>8</v>
      </c>
      <c r="F311" s="12" t="inlineStr">
        <is>
          <t>XS</t>
        </is>
      </c>
      <c r="G311" s="14" t="n">
        <v>0.54</v>
      </c>
      <c r="H311" s="40" t="n">
        <v>13.72</v>
      </c>
      <c r="I311" s="14" t="n">
        <v>0.119</v>
      </c>
      <c r="J311" s="40" t="n">
        <v>3.02</v>
      </c>
      <c r="K311" s="14">
        <f>ROUND((H311-J311)*J311*IF(B311="Carbon Steel",$K$7,IF(B311="Stainless Steel 304",$K$8,$L$8)), 3)</f>
        <v/>
      </c>
      <c r="L311" s="40">
        <f>ROUND(K311*$G$5, 2)</f>
        <v/>
      </c>
      <c r="M311" s="38">
        <f>INT($G$6/H311)</f>
        <v/>
      </c>
      <c r="N311" s="38">
        <f>IF(M311=0, 0, IF(OR($K$6="Square Grid", M311=1), INT($G$7/H311), IF($G$7&lt;H311, 0, 1+INT(($G$7-H311)/(0.8660254*H311)))))</f>
        <v/>
      </c>
      <c r="O311" s="41">
        <f>IF(OR(M311=0,N311=0), 0, IF(OR($K$6="Square Grid", M311=1), M311*N311*$K$5, (INT((N311+1)/2)*M311 + INT(N311/2)*IF(($G$6-M311*H311)&gt;=0.5*H311, M311, M311-1))*$K$5))</f>
        <v/>
      </c>
      <c r="P311" s="41">
        <f>IF(L311&lt;=0, 0, INT($G$8/L311))</f>
        <v/>
      </c>
      <c r="Q311" s="42">
        <f>MIN(O311, P311)</f>
        <v/>
      </c>
      <c r="R311" s="43">
        <f>ROUND((Q311*L311)/1000, 2)</f>
        <v/>
      </c>
      <c r="S311" s="44">
        <f>IF($C$8&gt;0, R311/$C$8, 0)</f>
        <v/>
      </c>
      <c r="T311" s="44">
        <f>IF(O311&gt;0, Q311/O311, 0)</f>
        <v/>
      </c>
      <c r="U311" s="12">
        <f>IF(Q311=0, "Exceeds Limit", IF(P311&lt;=O311, "Weight Limited", "Volume Limited"))</f>
        <v/>
      </c>
    </row>
    <row r="312" ht="19" customHeight="1">
      <c r="A312" s="45" t="n">
        <v>302</v>
      </c>
      <c r="B312" s="50" t="inlineStr">
        <is>
          <t>Stainless Steel 304</t>
        </is>
      </c>
      <c r="C312" s="19" t="inlineStr">
        <is>
          <t>ASME B36.19M</t>
        </is>
      </c>
      <c r="D312" s="18" t="inlineStr">
        <is>
          <t>3/8''</t>
        </is>
      </c>
      <c r="E312" s="45" t="n">
        <v>10</v>
      </c>
      <c r="F312" s="18" t="inlineStr">
        <is>
          <t>10S</t>
        </is>
      </c>
      <c r="G312" s="20" t="n">
        <v>0.675</v>
      </c>
      <c r="H312" s="47" t="n">
        <v>17.14</v>
      </c>
      <c r="I312" s="20" t="n">
        <v>0.065</v>
      </c>
      <c r="J312" s="47" t="n">
        <v>1.65</v>
      </c>
      <c r="K312" s="20">
        <f>ROUND((H312-J312)*J312*IF(B312="Carbon Steel",$K$7,IF(B312="Stainless Steel 304",$K$8,$L$8)), 3)</f>
        <v/>
      </c>
      <c r="L312" s="47">
        <f>ROUND(K312*$G$5, 2)</f>
        <v/>
      </c>
      <c r="M312" s="45">
        <f>INT($G$6/H312)</f>
        <v/>
      </c>
      <c r="N312" s="45">
        <f>IF(M312=0, 0, IF(OR($K$6="Square Grid", M312=1), INT($G$7/H312), IF($G$7&lt;H312, 0, 1+INT(($G$7-H312)/(0.8660254*H312)))))</f>
        <v/>
      </c>
      <c r="O312" s="48">
        <f>IF(OR(M312=0,N312=0), 0, IF(OR($K$6="Square Grid", M312=1), M312*N312*$K$5, (INT((N312+1)/2)*M312 + INT(N312/2)*IF(($G$6-M312*H312)&gt;=0.5*H312, M312, M312-1))*$K$5))</f>
        <v/>
      </c>
      <c r="P312" s="48">
        <f>IF(L312&lt;=0, 0, INT($G$8/L312))</f>
        <v/>
      </c>
      <c r="Q312" s="42">
        <f>MIN(O312, P312)</f>
        <v/>
      </c>
      <c r="R312" s="43">
        <f>ROUND((Q312*L312)/1000, 2)</f>
        <v/>
      </c>
      <c r="S312" s="49">
        <f>IF($C$8&gt;0, R312/$C$8, 0)</f>
        <v/>
      </c>
      <c r="T312" s="49">
        <f>IF(O312&gt;0, Q312/O312, 0)</f>
        <v/>
      </c>
      <c r="U312" s="18">
        <f>IF(Q312=0, "Exceeds Limit", IF(P312&lt;=O312, "Weight Limited", "Volume Limited"))</f>
        <v/>
      </c>
    </row>
    <row r="313" ht="19" customHeight="1">
      <c r="A313" s="38" t="n">
        <v>303</v>
      </c>
      <c r="B313" s="51" t="inlineStr">
        <is>
          <t>Stainless Steel 304</t>
        </is>
      </c>
      <c r="C313" s="13" t="inlineStr">
        <is>
          <t>ASME B36.19M</t>
        </is>
      </c>
      <c r="D313" s="12" t="inlineStr">
        <is>
          <t>3/8''</t>
        </is>
      </c>
      <c r="E313" s="38" t="n">
        <v>10</v>
      </c>
      <c r="F313" s="12" t="inlineStr">
        <is>
          <t>40S</t>
        </is>
      </c>
      <c r="G313" s="14" t="n">
        <v>0.675</v>
      </c>
      <c r="H313" s="40" t="n">
        <v>17.14</v>
      </c>
      <c r="I313" s="14" t="n">
        <v>0.091</v>
      </c>
      <c r="J313" s="40" t="n">
        <v>2.31</v>
      </c>
      <c r="K313" s="14">
        <f>ROUND((H313-J313)*J313*IF(B313="Carbon Steel",$K$7,IF(B313="Stainless Steel 304",$K$8,$L$8)), 3)</f>
        <v/>
      </c>
      <c r="L313" s="40">
        <f>ROUND(K313*$G$5, 2)</f>
        <v/>
      </c>
      <c r="M313" s="38">
        <f>INT($G$6/H313)</f>
        <v/>
      </c>
      <c r="N313" s="38">
        <f>IF(M313=0, 0, IF(OR($K$6="Square Grid", M313=1), INT($G$7/H313), IF($G$7&lt;H313, 0, 1+INT(($G$7-H313)/(0.8660254*H313)))))</f>
        <v/>
      </c>
      <c r="O313" s="41">
        <f>IF(OR(M313=0,N313=0), 0, IF(OR($K$6="Square Grid", M313=1), M313*N313*$K$5, (INT((N313+1)/2)*M313 + INT(N313/2)*IF(($G$6-M313*H313)&gt;=0.5*H313, M313, M313-1))*$K$5))</f>
        <v/>
      </c>
      <c r="P313" s="41">
        <f>IF(L313&lt;=0, 0, INT($G$8/L313))</f>
        <v/>
      </c>
      <c r="Q313" s="42">
        <f>MIN(O313, P313)</f>
        <v/>
      </c>
      <c r="R313" s="43">
        <f>ROUND((Q313*L313)/1000, 2)</f>
        <v/>
      </c>
      <c r="S313" s="44">
        <f>IF($C$8&gt;0, R313/$C$8, 0)</f>
        <v/>
      </c>
      <c r="T313" s="44">
        <f>IF(O313&gt;0, Q313/O313, 0)</f>
        <v/>
      </c>
      <c r="U313" s="12">
        <f>IF(Q313=0, "Exceeds Limit", IF(P313&lt;=O313, "Weight Limited", "Volume Limited"))</f>
        <v/>
      </c>
    </row>
    <row r="314" ht="19" customHeight="1">
      <c r="A314" s="45" t="n">
        <v>304</v>
      </c>
      <c r="B314" s="50" t="inlineStr">
        <is>
          <t>Stainless Steel 304</t>
        </is>
      </c>
      <c r="C314" s="19" t="inlineStr">
        <is>
          <t>ASME B36.19M</t>
        </is>
      </c>
      <c r="D314" s="18" t="inlineStr">
        <is>
          <t>3/8''</t>
        </is>
      </c>
      <c r="E314" s="45" t="n">
        <v>10</v>
      </c>
      <c r="F314" s="18" t="inlineStr">
        <is>
          <t>80S</t>
        </is>
      </c>
      <c r="G314" s="20" t="n">
        <v>0.675</v>
      </c>
      <c r="H314" s="47" t="n">
        <v>17.14</v>
      </c>
      <c r="I314" s="20" t="n">
        <v>0.126</v>
      </c>
      <c r="J314" s="47" t="n">
        <v>3.2</v>
      </c>
      <c r="K314" s="20">
        <f>ROUND((H314-J314)*J314*IF(B314="Carbon Steel",$K$7,IF(B314="Stainless Steel 304",$K$8,$L$8)), 3)</f>
        <v/>
      </c>
      <c r="L314" s="47">
        <f>ROUND(K314*$G$5, 2)</f>
        <v/>
      </c>
      <c r="M314" s="45">
        <f>INT($G$6/H314)</f>
        <v/>
      </c>
      <c r="N314" s="45">
        <f>IF(M314=0, 0, IF(OR($K$6="Square Grid", M314=1), INT($G$7/H314), IF($G$7&lt;H314, 0, 1+INT(($G$7-H314)/(0.8660254*H314)))))</f>
        <v/>
      </c>
      <c r="O314" s="48">
        <f>IF(OR(M314=0,N314=0), 0, IF(OR($K$6="Square Grid", M314=1), M314*N314*$K$5, (INT((N314+1)/2)*M314 + INT(N314/2)*IF(($G$6-M314*H314)&gt;=0.5*H314, M314, M314-1))*$K$5))</f>
        <v/>
      </c>
      <c r="P314" s="48">
        <f>IF(L314&lt;=0, 0, INT($G$8/L314))</f>
        <v/>
      </c>
      <c r="Q314" s="42">
        <f>MIN(O314, P314)</f>
        <v/>
      </c>
      <c r="R314" s="43">
        <f>ROUND((Q314*L314)/1000, 2)</f>
        <v/>
      </c>
      <c r="S314" s="49">
        <f>IF($C$8&gt;0, R314/$C$8, 0)</f>
        <v/>
      </c>
      <c r="T314" s="49">
        <f>IF(O314&gt;0, Q314/O314, 0)</f>
        <v/>
      </c>
      <c r="U314" s="18">
        <f>IF(Q314=0, "Exceeds Limit", IF(P314&lt;=O314, "Weight Limited", "Volume Limited"))</f>
        <v/>
      </c>
    </row>
    <row r="315" ht="19" customHeight="1">
      <c r="A315" s="38" t="n">
        <v>305</v>
      </c>
      <c r="B315" s="51" t="inlineStr">
        <is>
          <t>Stainless Steel 304</t>
        </is>
      </c>
      <c r="C315" s="13" t="inlineStr">
        <is>
          <t>ASME B36.19M</t>
        </is>
      </c>
      <c r="D315" s="12" t="inlineStr">
        <is>
          <t>3/8''</t>
        </is>
      </c>
      <c r="E315" s="38" t="n">
        <v>10</v>
      </c>
      <c r="F315" s="12" t="inlineStr">
        <is>
          <t>STD</t>
        </is>
      </c>
      <c r="G315" s="14" t="n">
        <v>0.675</v>
      </c>
      <c r="H315" s="40" t="n">
        <v>17.14</v>
      </c>
      <c r="I315" s="14" t="n">
        <v>0.091</v>
      </c>
      <c r="J315" s="40" t="n">
        <v>2.31</v>
      </c>
      <c r="K315" s="14">
        <f>ROUND((H315-J315)*J315*IF(B315="Carbon Steel",$K$7,IF(B315="Stainless Steel 304",$K$8,$L$8)), 3)</f>
        <v/>
      </c>
      <c r="L315" s="40">
        <f>ROUND(K315*$G$5, 2)</f>
        <v/>
      </c>
      <c r="M315" s="38">
        <f>INT($G$6/H315)</f>
        <v/>
      </c>
      <c r="N315" s="38">
        <f>IF(M315=0, 0, IF(OR($K$6="Square Grid", M315=1), INT($G$7/H315), IF($G$7&lt;H315, 0, 1+INT(($G$7-H315)/(0.8660254*H315)))))</f>
        <v/>
      </c>
      <c r="O315" s="41">
        <f>IF(OR(M315=0,N315=0), 0, IF(OR($K$6="Square Grid", M315=1), M315*N315*$K$5, (INT((N315+1)/2)*M315 + INT(N315/2)*IF(($G$6-M315*H315)&gt;=0.5*H315, M315, M315-1))*$K$5))</f>
        <v/>
      </c>
      <c r="P315" s="41">
        <f>IF(L315&lt;=0, 0, INT($G$8/L315))</f>
        <v/>
      </c>
      <c r="Q315" s="42">
        <f>MIN(O315, P315)</f>
        <v/>
      </c>
      <c r="R315" s="43">
        <f>ROUND((Q315*L315)/1000, 2)</f>
        <v/>
      </c>
      <c r="S315" s="44">
        <f>IF($C$8&gt;0, R315/$C$8, 0)</f>
        <v/>
      </c>
      <c r="T315" s="44">
        <f>IF(O315&gt;0, Q315/O315, 0)</f>
        <v/>
      </c>
      <c r="U315" s="12">
        <f>IF(Q315=0, "Exceeds Limit", IF(P315&lt;=O315, "Weight Limited", "Volume Limited"))</f>
        <v/>
      </c>
    </row>
    <row r="316" ht="19" customHeight="1">
      <c r="A316" s="45" t="n">
        <v>306</v>
      </c>
      <c r="B316" s="50" t="inlineStr">
        <is>
          <t>Stainless Steel 304</t>
        </is>
      </c>
      <c r="C316" s="19" t="inlineStr">
        <is>
          <t>ASME B36.19M</t>
        </is>
      </c>
      <c r="D316" s="18" t="inlineStr">
        <is>
          <t>3/8''</t>
        </is>
      </c>
      <c r="E316" s="45" t="n">
        <v>10</v>
      </c>
      <c r="F316" s="18" t="inlineStr">
        <is>
          <t>XS</t>
        </is>
      </c>
      <c r="G316" s="20" t="n">
        <v>0.675</v>
      </c>
      <c r="H316" s="47" t="n">
        <v>17.14</v>
      </c>
      <c r="I316" s="20" t="n">
        <v>0.126</v>
      </c>
      <c r="J316" s="47" t="n">
        <v>3.2</v>
      </c>
      <c r="K316" s="20">
        <f>ROUND((H316-J316)*J316*IF(B316="Carbon Steel",$K$7,IF(B316="Stainless Steel 304",$K$8,$L$8)), 3)</f>
        <v/>
      </c>
      <c r="L316" s="47">
        <f>ROUND(K316*$G$5, 2)</f>
        <v/>
      </c>
      <c r="M316" s="45">
        <f>INT($G$6/H316)</f>
        <v/>
      </c>
      <c r="N316" s="45">
        <f>IF(M316=0, 0, IF(OR($K$6="Square Grid", M316=1), INT($G$7/H316), IF($G$7&lt;H316, 0, 1+INT(($G$7-H316)/(0.8660254*H316)))))</f>
        <v/>
      </c>
      <c r="O316" s="48">
        <f>IF(OR(M316=0,N316=0), 0, IF(OR($K$6="Square Grid", M316=1), M316*N316*$K$5, (INT((N316+1)/2)*M316 + INT(N316/2)*IF(($G$6-M316*H316)&gt;=0.5*H316, M316, M316-1))*$K$5))</f>
        <v/>
      </c>
      <c r="P316" s="48">
        <f>IF(L316&lt;=0, 0, INT($G$8/L316))</f>
        <v/>
      </c>
      <c r="Q316" s="42">
        <f>MIN(O316, P316)</f>
        <v/>
      </c>
      <c r="R316" s="43">
        <f>ROUND((Q316*L316)/1000, 2)</f>
        <v/>
      </c>
      <c r="S316" s="49">
        <f>IF($C$8&gt;0, R316/$C$8, 0)</f>
        <v/>
      </c>
      <c r="T316" s="49">
        <f>IF(O316&gt;0, Q316/O316, 0)</f>
        <v/>
      </c>
      <c r="U316" s="18">
        <f>IF(Q316=0, "Exceeds Limit", IF(P316&lt;=O316, "Weight Limited", "Volume Limited"))</f>
        <v/>
      </c>
    </row>
    <row r="317" ht="19" customHeight="1">
      <c r="A317" s="38" t="n">
        <v>307</v>
      </c>
      <c r="B317" s="51" t="inlineStr">
        <is>
          <t>Stainless Steel 304</t>
        </is>
      </c>
      <c r="C317" s="13" t="inlineStr">
        <is>
          <t>ASME B36.19M</t>
        </is>
      </c>
      <c r="D317" s="12" t="inlineStr">
        <is>
          <t>1/2''</t>
        </is>
      </c>
      <c r="E317" s="38" t="n">
        <v>15</v>
      </c>
      <c r="F317" s="12" t="inlineStr">
        <is>
          <t>5S</t>
        </is>
      </c>
      <c r="G317" s="14" t="n">
        <v>0.84</v>
      </c>
      <c r="H317" s="40" t="n">
        <v>21.34</v>
      </c>
      <c r="I317" s="14" t="n">
        <v>0.065</v>
      </c>
      <c r="J317" s="40" t="n">
        <v>1.65</v>
      </c>
      <c r="K317" s="14">
        <f>ROUND((H317-J317)*J317*IF(B317="Carbon Steel",$K$7,IF(B317="Stainless Steel 304",$K$8,$L$8)), 3)</f>
        <v/>
      </c>
      <c r="L317" s="40">
        <f>ROUND(K317*$G$5, 2)</f>
        <v/>
      </c>
      <c r="M317" s="38">
        <f>INT($G$6/H317)</f>
        <v/>
      </c>
      <c r="N317" s="38">
        <f>IF(M317=0, 0, IF(OR($K$6="Square Grid", M317=1), INT($G$7/H317), IF($G$7&lt;H317, 0, 1+INT(($G$7-H317)/(0.8660254*H317)))))</f>
        <v/>
      </c>
      <c r="O317" s="41">
        <f>IF(OR(M317=0,N317=0), 0, IF(OR($K$6="Square Grid", M317=1), M317*N317*$K$5, (INT((N317+1)/2)*M317 + INT(N317/2)*IF(($G$6-M317*H317)&gt;=0.5*H317, M317, M317-1))*$K$5))</f>
        <v/>
      </c>
      <c r="P317" s="41">
        <f>IF(L317&lt;=0, 0, INT($G$8/L317))</f>
        <v/>
      </c>
      <c r="Q317" s="42">
        <f>MIN(O317, P317)</f>
        <v/>
      </c>
      <c r="R317" s="43">
        <f>ROUND((Q317*L317)/1000, 2)</f>
        <v/>
      </c>
      <c r="S317" s="44">
        <f>IF($C$8&gt;0, R317/$C$8, 0)</f>
        <v/>
      </c>
      <c r="T317" s="44">
        <f>IF(O317&gt;0, Q317/O317, 0)</f>
        <v/>
      </c>
      <c r="U317" s="12">
        <f>IF(Q317=0, "Exceeds Limit", IF(P317&lt;=O317, "Weight Limited", "Volume Limited"))</f>
        <v/>
      </c>
    </row>
    <row r="318" ht="19" customHeight="1">
      <c r="A318" s="45" t="n">
        <v>308</v>
      </c>
      <c r="B318" s="50" t="inlineStr">
        <is>
          <t>Stainless Steel 304</t>
        </is>
      </c>
      <c r="C318" s="19" t="inlineStr">
        <is>
          <t>ASME B36.19M</t>
        </is>
      </c>
      <c r="D318" s="18" t="inlineStr">
        <is>
          <t>1/2''</t>
        </is>
      </c>
      <c r="E318" s="45" t="n">
        <v>15</v>
      </c>
      <c r="F318" s="18" t="inlineStr">
        <is>
          <t>10S</t>
        </is>
      </c>
      <c r="G318" s="20" t="n">
        <v>0.84</v>
      </c>
      <c r="H318" s="47" t="n">
        <v>21.34</v>
      </c>
      <c r="I318" s="20" t="n">
        <v>0.083</v>
      </c>
      <c r="J318" s="47" t="n">
        <v>2.11</v>
      </c>
      <c r="K318" s="20">
        <f>ROUND((H318-J318)*J318*IF(B318="Carbon Steel",$K$7,IF(B318="Stainless Steel 304",$K$8,$L$8)), 3)</f>
        <v/>
      </c>
      <c r="L318" s="47">
        <f>ROUND(K318*$G$5, 2)</f>
        <v/>
      </c>
      <c r="M318" s="45">
        <f>INT($G$6/H318)</f>
        <v/>
      </c>
      <c r="N318" s="45">
        <f>IF(M318=0, 0, IF(OR($K$6="Square Grid", M318=1), INT($G$7/H318), IF($G$7&lt;H318, 0, 1+INT(($G$7-H318)/(0.8660254*H318)))))</f>
        <v/>
      </c>
      <c r="O318" s="48">
        <f>IF(OR(M318=0,N318=0), 0, IF(OR($K$6="Square Grid", M318=1), M318*N318*$K$5, (INT((N318+1)/2)*M318 + INT(N318/2)*IF(($G$6-M318*H318)&gt;=0.5*H318, M318, M318-1))*$K$5))</f>
        <v/>
      </c>
      <c r="P318" s="48">
        <f>IF(L318&lt;=0, 0, INT($G$8/L318))</f>
        <v/>
      </c>
      <c r="Q318" s="42">
        <f>MIN(O318, P318)</f>
        <v/>
      </c>
      <c r="R318" s="43">
        <f>ROUND((Q318*L318)/1000, 2)</f>
        <v/>
      </c>
      <c r="S318" s="49">
        <f>IF($C$8&gt;0, R318/$C$8, 0)</f>
        <v/>
      </c>
      <c r="T318" s="49">
        <f>IF(O318&gt;0, Q318/O318, 0)</f>
        <v/>
      </c>
      <c r="U318" s="18">
        <f>IF(Q318=0, "Exceeds Limit", IF(P318&lt;=O318, "Weight Limited", "Volume Limited"))</f>
        <v/>
      </c>
    </row>
    <row r="319" ht="19" customHeight="1">
      <c r="A319" s="38" t="n">
        <v>309</v>
      </c>
      <c r="B319" s="51" t="inlineStr">
        <is>
          <t>Stainless Steel 304</t>
        </is>
      </c>
      <c r="C319" s="13" t="inlineStr">
        <is>
          <t>ASME B36.19M</t>
        </is>
      </c>
      <c r="D319" s="12" t="inlineStr">
        <is>
          <t>1/2''</t>
        </is>
      </c>
      <c r="E319" s="38" t="n">
        <v>15</v>
      </c>
      <c r="F319" s="12" t="inlineStr">
        <is>
          <t>40S</t>
        </is>
      </c>
      <c r="G319" s="14" t="n">
        <v>0.84</v>
      </c>
      <c r="H319" s="40" t="n">
        <v>21.34</v>
      </c>
      <c r="I319" s="14" t="n">
        <v>0.109</v>
      </c>
      <c r="J319" s="40" t="n">
        <v>2.77</v>
      </c>
      <c r="K319" s="14">
        <f>ROUND((H319-J319)*J319*IF(B319="Carbon Steel",$K$7,IF(B319="Stainless Steel 304",$K$8,$L$8)), 3)</f>
        <v/>
      </c>
      <c r="L319" s="40">
        <f>ROUND(K319*$G$5, 2)</f>
        <v/>
      </c>
      <c r="M319" s="38">
        <f>INT($G$6/H319)</f>
        <v/>
      </c>
      <c r="N319" s="38">
        <f>IF(M319=0, 0, IF(OR($K$6="Square Grid", M319=1), INT($G$7/H319), IF($G$7&lt;H319, 0, 1+INT(($G$7-H319)/(0.8660254*H319)))))</f>
        <v/>
      </c>
      <c r="O319" s="41">
        <f>IF(OR(M319=0,N319=0), 0, IF(OR($K$6="Square Grid", M319=1), M319*N319*$K$5, (INT((N319+1)/2)*M319 + INT(N319/2)*IF(($G$6-M319*H319)&gt;=0.5*H319, M319, M319-1))*$K$5))</f>
        <v/>
      </c>
      <c r="P319" s="41">
        <f>IF(L319&lt;=0, 0, INT($G$8/L319))</f>
        <v/>
      </c>
      <c r="Q319" s="42">
        <f>MIN(O319, P319)</f>
        <v/>
      </c>
      <c r="R319" s="43">
        <f>ROUND((Q319*L319)/1000, 2)</f>
        <v/>
      </c>
      <c r="S319" s="44">
        <f>IF($C$8&gt;0, R319/$C$8, 0)</f>
        <v/>
      </c>
      <c r="T319" s="44">
        <f>IF(O319&gt;0, Q319/O319, 0)</f>
        <v/>
      </c>
      <c r="U319" s="12">
        <f>IF(Q319=0, "Exceeds Limit", IF(P319&lt;=O319, "Weight Limited", "Volume Limited"))</f>
        <v/>
      </c>
    </row>
    <row r="320" ht="19" customHeight="1">
      <c r="A320" s="45" t="n">
        <v>310</v>
      </c>
      <c r="B320" s="50" t="inlineStr">
        <is>
          <t>Stainless Steel 304</t>
        </is>
      </c>
      <c r="C320" s="19" t="inlineStr">
        <is>
          <t>ASME B36.19M</t>
        </is>
      </c>
      <c r="D320" s="18" t="inlineStr">
        <is>
          <t>1/2''</t>
        </is>
      </c>
      <c r="E320" s="45" t="n">
        <v>15</v>
      </c>
      <c r="F320" s="18" t="inlineStr">
        <is>
          <t>80S</t>
        </is>
      </c>
      <c r="G320" s="20" t="n">
        <v>0.84</v>
      </c>
      <c r="H320" s="47" t="n">
        <v>21.34</v>
      </c>
      <c r="I320" s="20" t="n">
        <v>0.147</v>
      </c>
      <c r="J320" s="47" t="n">
        <v>3.73</v>
      </c>
      <c r="K320" s="20">
        <f>ROUND((H320-J320)*J320*IF(B320="Carbon Steel",$K$7,IF(B320="Stainless Steel 304",$K$8,$L$8)), 3)</f>
        <v/>
      </c>
      <c r="L320" s="47">
        <f>ROUND(K320*$G$5, 2)</f>
        <v/>
      </c>
      <c r="M320" s="45">
        <f>INT($G$6/H320)</f>
        <v/>
      </c>
      <c r="N320" s="45">
        <f>IF(M320=0, 0, IF(OR($K$6="Square Grid", M320=1), INT($G$7/H320), IF($G$7&lt;H320, 0, 1+INT(($G$7-H320)/(0.8660254*H320)))))</f>
        <v/>
      </c>
      <c r="O320" s="48">
        <f>IF(OR(M320=0,N320=0), 0, IF(OR($K$6="Square Grid", M320=1), M320*N320*$K$5, (INT((N320+1)/2)*M320 + INT(N320/2)*IF(($G$6-M320*H320)&gt;=0.5*H320, M320, M320-1))*$K$5))</f>
        <v/>
      </c>
      <c r="P320" s="48">
        <f>IF(L320&lt;=0, 0, INT($G$8/L320))</f>
        <v/>
      </c>
      <c r="Q320" s="42">
        <f>MIN(O320, P320)</f>
        <v/>
      </c>
      <c r="R320" s="43">
        <f>ROUND((Q320*L320)/1000, 2)</f>
        <v/>
      </c>
      <c r="S320" s="49">
        <f>IF($C$8&gt;0, R320/$C$8, 0)</f>
        <v/>
      </c>
      <c r="T320" s="49">
        <f>IF(O320&gt;0, Q320/O320, 0)</f>
        <v/>
      </c>
      <c r="U320" s="18">
        <f>IF(Q320=0, "Exceeds Limit", IF(P320&lt;=O320, "Weight Limited", "Volume Limited"))</f>
        <v/>
      </c>
    </row>
    <row r="321" ht="19" customHeight="1">
      <c r="A321" s="38" t="n">
        <v>311</v>
      </c>
      <c r="B321" s="51" t="inlineStr">
        <is>
          <t>Stainless Steel 304</t>
        </is>
      </c>
      <c r="C321" s="13" t="inlineStr">
        <is>
          <t>ASME B36.19M</t>
        </is>
      </c>
      <c r="D321" s="12" t="inlineStr">
        <is>
          <t>1/2''</t>
        </is>
      </c>
      <c r="E321" s="38" t="n">
        <v>15</v>
      </c>
      <c r="F321" s="12" t="inlineStr">
        <is>
          <t>STD</t>
        </is>
      </c>
      <c r="G321" s="14" t="n">
        <v>0.84</v>
      </c>
      <c r="H321" s="40" t="n">
        <v>21.34</v>
      </c>
      <c r="I321" s="14" t="n">
        <v>0.109</v>
      </c>
      <c r="J321" s="40" t="n">
        <v>2.77</v>
      </c>
      <c r="K321" s="14">
        <f>ROUND((H321-J321)*J321*IF(B321="Carbon Steel",$K$7,IF(B321="Stainless Steel 304",$K$8,$L$8)), 3)</f>
        <v/>
      </c>
      <c r="L321" s="40">
        <f>ROUND(K321*$G$5, 2)</f>
        <v/>
      </c>
      <c r="M321" s="38">
        <f>INT($G$6/H321)</f>
        <v/>
      </c>
      <c r="N321" s="38">
        <f>IF(M321=0, 0, IF(OR($K$6="Square Grid", M321=1), INT($G$7/H321), IF($G$7&lt;H321, 0, 1+INT(($G$7-H321)/(0.8660254*H321)))))</f>
        <v/>
      </c>
      <c r="O321" s="41">
        <f>IF(OR(M321=0,N321=0), 0, IF(OR($K$6="Square Grid", M321=1), M321*N321*$K$5, (INT((N321+1)/2)*M321 + INT(N321/2)*IF(($G$6-M321*H321)&gt;=0.5*H321, M321, M321-1))*$K$5))</f>
        <v/>
      </c>
      <c r="P321" s="41">
        <f>IF(L321&lt;=0, 0, INT($G$8/L321))</f>
        <v/>
      </c>
      <c r="Q321" s="42">
        <f>MIN(O321, P321)</f>
        <v/>
      </c>
      <c r="R321" s="43">
        <f>ROUND((Q321*L321)/1000, 2)</f>
        <v/>
      </c>
      <c r="S321" s="44">
        <f>IF($C$8&gt;0, R321/$C$8, 0)</f>
        <v/>
      </c>
      <c r="T321" s="44">
        <f>IF(O321&gt;0, Q321/O321, 0)</f>
        <v/>
      </c>
      <c r="U321" s="12">
        <f>IF(Q321=0, "Exceeds Limit", IF(P321&lt;=O321, "Weight Limited", "Volume Limited"))</f>
        <v/>
      </c>
    </row>
    <row r="322" ht="19" customHeight="1">
      <c r="A322" s="45" t="n">
        <v>312</v>
      </c>
      <c r="B322" s="50" t="inlineStr">
        <is>
          <t>Stainless Steel 304</t>
        </is>
      </c>
      <c r="C322" s="19" t="inlineStr">
        <is>
          <t>ASME B36.19M</t>
        </is>
      </c>
      <c r="D322" s="18" t="inlineStr">
        <is>
          <t>1/2''</t>
        </is>
      </c>
      <c r="E322" s="45" t="n">
        <v>15</v>
      </c>
      <c r="F322" s="18" t="inlineStr">
        <is>
          <t>XS</t>
        </is>
      </c>
      <c r="G322" s="20" t="n">
        <v>0.84</v>
      </c>
      <c r="H322" s="47" t="n">
        <v>21.34</v>
      </c>
      <c r="I322" s="20" t="n">
        <v>0.147</v>
      </c>
      <c r="J322" s="47" t="n">
        <v>3.73</v>
      </c>
      <c r="K322" s="20">
        <f>ROUND((H322-J322)*J322*IF(B322="Carbon Steel",$K$7,IF(B322="Stainless Steel 304",$K$8,$L$8)), 3)</f>
        <v/>
      </c>
      <c r="L322" s="47">
        <f>ROUND(K322*$G$5, 2)</f>
        <v/>
      </c>
      <c r="M322" s="45">
        <f>INT($G$6/H322)</f>
        <v/>
      </c>
      <c r="N322" s="45">
        <f>IF(M322=0, 0, IF(OR($K$6="Square Grid", M322=1), INT($G$7/H322), IF($G$7&lt;H322, 0, 1+INT(($G$7-H322)/(0.8660254*H322)))))</f>
        <v/>
      </c>
      <c r="O322" s="48">
        <f>IF(OR(M322=0,N322=0), 0, IF(OR($K$6="Square Grid", M322=1), M322*N322*$K$5, (INT((N322+1)/2)*M322 + INT(N322/2)*IF(($G$6-M322*H322)&gt;=0.5*H322, M322, M322-1))*$K$5))</f>
        <v/>
      </c>
      <c r="P322" s="48">
        <f>IF(L322&lt;=0, 0, INT($G$8/L322))</f>
        <v/>
      </c>
      <c r="Q322" s="42">
        <f>MIN(O322, P322)</f>
        <v/>
      </c>
      <c r="R322" s="43">
        <f>ROUND((Q322*L322)/1000, 2)</f>
        <v/>
      </c>
      <c r="S322" s="49">
        <f>IF($C$8&gt;0, R322/$C$8, 0)</f>
        <v/>
      </c>
      <c r="T322" s="49">
        <f>IF(O322&gt;0, Q322/O322, 0)</f>
        <v/>
      </c>
      <c r="U322" s="18">
        <f>IF(Q322=0, "Exceeds Limit", IF(P322&lt;=O322, "Weight Limited", "Volume Limited"))</f>
        <v/>
      </c>
    </row>
    <row r="323" ht="19" customHeight="1">
      <c r="A323" s="38" t="n">
        <v>313</v>
      </c>
      <c r="B323" s="51" t="inlineStr">
        <is>
          <t>Stainless Steel 304</t>
        </is>
      </c>
      <c r="C323" s="13" t="inlineStr">
        <is>
          <t>ASME B36.19M</t>
        </is>
      </c>
      <c r="D323" s="12" t="inlineStr">
        <is>
          <t>1/2''</t>
        </is>
      </c>
      <c r="E323" s="38" t="n">
        <v>15</v>
      </c>
      <c r="F323" s="12" t="inlineStr">
        <is>
          <t>160</t>
        </is>
      </c>
      <c r="G323" s="14" t="n">
        <v>0.84</v>
      </c>
      <c r="H323" s="40" t="n">
        <v>21.34</v>
      </c>
      <c r="I323" s="14" t="n">
        <v>0.188</v>
      </c>
      <c r="J323" s="40" t="n">
        <v>4.78</v>
      </c>
      <c r="K323" s="14">
        <f>ROUND((H323-J323)*J323*IF(B323="Carbon Steel",$K$7,IF(B323="Stainless Steel 304",$K$8,$L$8)), 3)</f>
        <v/>
      </c>
      <c r="L323" s="40">
        <f>ROUND(K323*$G$5, 2)</f>
        <v/>
      </c>
      <c r="M323" s="38">
        <f>INT($G$6/H323)</f>
        <v/>
      </c>
      <c r="N323" s="38">
        <f>IF(M323=0, 0, IF(OR($K$6="Square Grid", M323=1), INT($G$7/H323), IF($G$7&lt;H323, 0, 1+INT(($G$7-H323)/(0.8660254*H323)))))</f>
        <v/>
      </c>
      <c r="O323" s="41">
        <f>IF(OR(M323=0,N323=0), 0, IF(OR($K$6="Square Grid", M323=1), M323*N323*$K$5, (INT((N323+1)/2)*M323 + INT(N323/2)*IF(($G$6-M323*H323)&gt;=0.5*H323, M323, M323-1))*$K$5))</f>
        <v/>
      </c>
      <c r="P323" s="41">
        <f>IF(L323&lt;=0, 0, INT($G$8/L323))</f>
        <v/>
      </c>
      <c r="Q323" s="42">
        <f>MIN(O323, P323)</f>
        <v/>
      </c>
      <c r="R323" s="43">
        <f>ROUND((Q323*L323)/1000, 2)</f>
        <v/>
      </c>
      <c r="S323" s="44">
        <f>IF($C$8&gt;0, R323/$C$8, 0)</f>
        <v/>
      </c>
      <c r="T323" s="44">
        <f>IF(O323&gt;0, Q323/O323, 0)</f>
        <v/>
      </c>
      <c r="U323" s="12">
        <f>IF(Q323=0, "Exceeds Limit", IF(P323&lt;=O323, "Weight Limited", "Volume Limited"))</f>
        <v/>
      </c>
    </row>
    <row r="324" ht="19" customHeight="1">
      <c r="A324" s="45" t="n">
        <v>314</v>
      </c>
      <c r="B324" s="50" t="inlineStr">
        <is>
          <t>Stainless Steel 304</t>
        </is>
      </c>
      <c r="C324" s="19" t="inlineStr">
        <is>
          <t>ASME B36.19M</t>
        </is>
      </c>
      <c r="D324" s="18" t="inlineStr">
        <is>
          <t>1/2''</t>
        </is>
      </c>
      <c r="E324" s="45" t="n">
        <v>15</v>
      </c>
      <c r="F324" s="18" t="inlineStr">
        <is>
          <t>XXS</t>
        </is>
      </c>
      <c r="G324" s="20" t="n">
        <v>0.84</v>
      </c>
      <c r="H324" s="47" t="n">
        <v>21.34</v>
      </c>
      <c r="I324" s="20" t="n">
        <v>0.294</v>
      </c>
      <c r="J324" s="47" t="n">
        <v>7.47</v>
      </c>
      <c r="K324" s="20">
        <f>ROUND((H324-J324)*J324*IF(B324="Carbon Steel",$K$7,IF(B324="Stainless Steel 304",$K$8,$L$8)), 3)</f>
        <v/>
      </c>
      <c r="L324" s="47">
        <f>ROUND(K324*$G$5, 2)</f>
        <v/>
      </c>
      <c r="M324" s="45">
        <f>INT($G$6/H324)</f>
        <v/>
      </c>
      <c r="N324" s="45">
        <f>IF(M324=0, 0, IF(OR($K$6="Square Grid", M324=1), INT($G$7/H324), IF($G$7&lt;H324, 0, 1+INT(($G$7-H324)/(0.8660254*H324)))))</f>
        <v/>
      </c>
      <c r="O324" s="48">
        <f>IF(OR(M324=0,N324=0), 0, IF(OR($K$6="Square Grid", M324=1), M324*N324*$K$5, (INT((N324+1)/2)*M324 + INT(N324/2)*IF(($G$6-M324*H324)&gt;=0.5*H324, M324, M324-1))*$K$5))</f>
        <v/>
      </c>
      <c r="P324" s="48">
        <f>IF(L324&lt;=0, 0, INT($G$8/L324))</f>
        <v/>
      </c>
      <c r="Q324" s="42">
        <f>MIN(O324, P324)</f>
        <v/>
      </c>
      <c r="R324" s="43">
        <f>ROUND((Q324*L324)/1000, 2)</f>
        <v/>
      </c>
      <c r="S324" s="49">
        <f>IF($C$8&gt;0, R324/$C$8, 0)</f>
        <v/>
      </c>
      <c r="T324" s="49">
        <f>IF(O324&gt;0, Q324/O324, 0)</f>
        <v/>
      </c>
      <c r="U324" s="18">
        <f>IF(Q324=0, "Exceeds Limit", IF(P324&lt;=O324, "Weight Limited", "Volume Limited"))</f>
        <v/>
      </c>
    </row>
    <row r="325" ht="19" customHeight="1">
      <c r="A325" s="38" t="n">
        <v>315</v>
      </c>
      <c r="B325" s="51" t="inlineStr">
        <is>
          <t>Stainless Steel 304</t>
        </is>
      </c>
      <c r="C325" s="13" t="inlineStr">
        <is>
          <t>ASME B36.19M</t>
        </is>
      </c>
      <c r="D325" s="12" t="inlineStr">
        <is>
          <t>3/4''</t>
        </is>
      </c>
      <c r="E325" s="38" t="n">
        <v>20</v>
      </c>
      <c r="F325" s="12" t="inlineStr">
        <is>
          <t>5S</t>
        </is>
      </c>
      <c r="G325" s="14" t="n">
        <v>1.05</v>
      </c>
      <c r="H325" s="40" t="n">
        <v>26.67</v>
      </c>
      <c r="I325" s="14" t="n">
        <v>0.065</v>
      </c>
      <c r="J325" s="40" t="n">
        <v>1.65</v>
      </c>
      <c r="K325" s="14">
        <f>ROUND((H325-J325)*J325*IF(B325="Carbon Steel",$K$7,IF(B325="Stainless Steel 304",$K$8,$L$8)), 3)</f>
        <v/>
      </c>
      <c r="L325" s="40">
        <f>ROUND(K325*$G$5, 2)</f>
        <v/>
      </c>
      <c r="M325" s="38">
        <f>INT($G$6/H325)</f>
        <v/>
      </c>
      <c r="N325" s="38">
        <f>IF(M325=0, 0, IF(OR($K$6="Square Grid", M325=1), INT($G$7/H325), IF($G$7&lt;H325, 0, 1+INT(($G$7-H325)/(0.8660254*H325)))))</f>
        <v/>
      </c>
      <c r="O325" s="41">
        <f>IF(OR(M325=0,N325=0), 0, IF(OR($K$6="Square Grid", M325=1), M325*N325*$K$5, (INT((N325+1)/2)*M325 + INT(N325/2)*IF(($G$6-M325*H325)&gt;=0.5*H325, M325, M325-1))*$K$5))</f>
        <v/>
      </c>
      <c r="P325" s="41">
        <f>IF(L325&lt;=0, 0, INT($G$8/L325))</f>
        <v/>
      </c>
      <c r="Q325" s="42">
        <f>MIN(O325, P325)</f>
        <v/>
      </c>
      <c r="R325" s="43">
        <f>ROUND((Q325*L325)/1000, 2)</f>
        <v/>
      </c>
      <c r="S325" s="44">
        <f>IF($C$8&gt;0, R325/$C$8, 0)</f>
        <v/>
      </c>
      <c r="T325" s="44">
        <f>IF(O325&gt;0, Q325/O325, 0)</f>
        <v/>
      </c>
      <c r="U325" s="12">
        <f>IF(Q325=0, "Exceeds Limit", IF(P325&lt;=O325, "Weight Limited", "Volume Limited"))</f>
        <v/>
      </c>
    </row>
    <row r="326" ht="19" customHeight="1">
      <c r="A326" s="45" t="n">
        <v>316</v>
      </c>
      <c r="B326" s="50" t="inlineStr">
        <is>
          <t>Stainless Steel 304</t>
        </is>
      </c>
      <c r="C326" s="19" t="inlineStr">
        <is>
          <t>ASME B36.19M</t>
        </is>
      </c>
      <c r="D326" s="18" t="inlineStr">
        <is>
          <t>3/4''</t>
        </is>
      </c>
      <c r="E326" s="45" t="n">
        <v>20</v>
      </c>
      <c r="F326" s="18" t="inlineStr">
        <is>
          <t>10S</t>
        </is>
      </c>
      <c r="G326" s="20" t="n">
        <v>1.05</v>
      </c>
      <c r="H326" s="47" t="n">
        <v>26.67</v>
      </c>
      <c r="I326" s="20" t="n">
        <v>0.083</v>
      </c>
      <c r="J326" s="47" t="n">
        <v>2.11</v>
      </c>
      <c r="K326" s="20">
        <f>ROUND((H326-J326)*J326*IF(B326="Carbon Steel",$K$7,IF(B326="Stainless Steel 304",$K$8,$L$8)), 3)</f>
        <v/>
      </c>
      <c r="L326" s="47">
        <f>ROUND(K326*$G$5, 2)</f>
        <v/>
      </c>
      <c r="M326" s="45">
        <f>INT($G$6/H326)</f>
        <v/>
      </c>
      <c r="N326" s="45">
        <f>IF(M326=0, 0, IF(OR($K$6="Square Grid", M326=1), INT($G$7/H326), IF($G$7&lt;H326, 0, 1+INT(($G$7-H326)/(0.8660254*H326)))))</f>
        <v/>
      </c>
      <c r="O326" s="48">
        <f>IF(OR(M326=0,N326=0), 0, IF(OR($K$6="Square Grid", M326=1), M326*N326*$K$5, (INT((N326+1)/2)*M326 + INT(N326/2)*IF(($G$6-M326*H326)&gt;=0.5*H326, M326, M326-1))*$K$5))</f>
        <v/>
      </c>
      <c r="P326" s="48">
        <f>IF(L326&lt;=0, 0, INT($G$8/L326))</f>
        <v/>
      </c>
      <c r="Q326" s="42">
        <f>MIN(O326, P326)</f>
        <v/>
      </c>
      <c r="R326" s="43">
        <f>ROUND((Q326*L326)/1000, 2)</f>
        <v/>
      </c>
      <c r="S326" s="49">
        <f>IF($C$8&gt;0, R326/$C$8, 0)</f>
        <v/>
      </c>
      <c r="T326" s="49">
        <f>IF(O326&gt;0, Q326/O326, 0)</f>
        <v/>
      </c>
      <c r="U326" s="18">
        <f>IF(Q326=0, "Exceeds Limit", IF(P326&lt;=O326, "Weight Limited", "Volume Limited"))</f>
        <v/>
      </c>
    </row>
    <row r="327" ht="19" customHeight="1">
      <c r="A327" s="38" t="n">
        <v>317</v>
      </c>
      <c r="B327" s="51" t="inlineStr">
        <is>
          <t>Stainless Steel 304</t>
        </is>
      </c>
      <c r="C327" s="13" t="inlineStr">
        <is>
          <t>ASME B36.19M</t>
        </is>
      </c>
      <c r="D327" s="12" t="inlineStr">
        <is>
          <t>3/4''</t>
        </is>
      </c>
      <c r="E327" s="38" t="n">
        <v>20</v>
      </c>
      <c r="F327" s="12" t="inlineStr">
        <is>
          <t>40S</t>
        </is>
      </c>
      <c r="G327" s="14" t="n">
        <v>1.05</v>
      </c>
      <c r="H327" s="40" t="n">
        <v>26.67</v>
      </c>
      <c r="I327" s="14" t="n">
        <v>0.113</v>
      </c>
      <c r="J327" s="40" t="n">
        <v>2.87</v>
      </c>
      <c r="K327" s="14">
        <f>ROUND((H327-J327)*J327*IF(B327="Carbon Steel",$K$7,IF(B327="Stainless Steel 304",$K$8,$L$8)), 3)</f>
        <v/>
      </c>
      <c r="L327" s="40">
        <f>ROUND(K327*$G$5, 2)</f>
        <v/>
      </c>
      <c r="M327" s="38">
        <f>INT($G$6/H327)</f>
        <v/>
      </c>
      <c r="N327" s="38">
        <f>IF(M327=0, 0, IF(OR($K$6="Square Grid", M327=1), INT($G$7/H327), IF($G$7&lt;H327, 0, 1+INT(($G$7-H327)/(0.8660254*H327)))))</f>
        <v/>
      </c>
      <c r="O327" s="41">
        <f>IF(OR(M327=0,N327=0), 0, IF(OR($K$6="Square Grid", M327=1), M327*N327*$K$5, (INT((N327+1)/2)*M327 + INT(N327/2)*IF(($G$6-M327*H327)&gt;=0.5*H327, M327, M327-1))*$K$5))</f>
        <v/>
      </c>
      <c r="P327" s="41">
        <f>IF(L327&lt;=0, 0, INT($G$8/L327))</f>
        <v/>
      </c>
      <c r="Q327" s="42">
        <f>MIN(O327, P327)</f>
        <v/>
      </c>
      <c r="R327" s="43">
        <f>ROUND((Q327*L327)/1000, 2)</f>
        <v/>
      </c>
      <c r="S327" s="44">
        <f>IF($C$8&gt;0, R327/$C$8, 0)</f>
        <v/>
      </c>
      <c r="T327" s="44">
        <f>IF(O327&gt;0, Q327/O327, 0)</f>
        <v/>
      </c>
      <c r="U327" s="12">
        <f>IF(Q327=0, "Exceeds Limit", IF(P327&lt;=O327, "Weight Limited", "Volume Limited"))</f>
        <v/>
      </c>
    </row>
    <row r="328" ht="19" customHeight="1">
      <c r="A328" s="45" t="n">
        <v>318</v>
      </c>
      <c r="B328" s="50" t="inlineStr">
        <is>
          <t>Stainless Steel 304</t>
        </is>
      </c>
      <c r="C328" s="19" t="inlineStr">
        <is>
          <t>ASME B36.19M</t>
        </is>
      </c>
      <c r="D328" s="18" t="inlineStr">
        <is>
          <t>3/4''</t>
        </is>
      </c>
      <c r="E328" s="45" t="n">
        <v>20</v>
      </c>
      <c r="F328" s="18" t="inlineStr">
        <is>
          <t>80S</t>
        </is>
      </c>
      <c r="G328" s="20" t="n">
        <v>1.05</v>
      </c>
      <c r="H328" s="47" t="n">
        <v>26.67</v>
      </c>
      <c r="I328" s="20" t="n">
        <v>0.154</v>
      </c>
      <c r="J328" s="47" t="n">
        <v>3.91</v>
      </c>
      <c r="K328" s="20">
        <f>ROUND((H328-J328)*J328*IF(B328="Carbon Steel",$K$7,IF(B328="Stainless Steel 304",$K$8,$L$8)), 3)</f>
        <v/>
      </c>
      <c r="L328" s="47">
        <f>ROUND(K328*$G$5, 2)</f>
        <v/>
      </c>
      <c r="M328" s="45">
        <f>INT($G$6/H328)</f>
        <v/>
      </c>
      <c r="N328" s="45">
        <f>IF(M328=0, 0, IF(OR($K$6="Square Grid", M328=1), INT($G$7/H328), IF($G$7&lt;H328, 0, 1+INT(($G$7-H328)/(0.8660254*H328)))))</f>
        <v/>
      </c>
      <c r="O328" s="48">
        <f>IF(OR(M328=0,N328=0), 0, IF(OR($K$6="Square Grid", M328=1), M328*N328*$K$5, (INT((N328+1)/2)*M328 + INT(N328/2)*IF(($G$6-M328*H328)&gt;=0.5*H328, M328, M328-1))*$K$5))</f>
        <v/>
      </c>
      <c r="P328" s="48">
        <f>IF(L328&lt;=0, 0, INT($G$8/L328))</f>
        <v/>
      </c>
      <c r="Q328" s="42">
        <f>MIN(O328, P328)</f>
        <v/>
      </c>
      <c r="R328" s="43">
        <f>ROUND((Q328*L328)/1000, 2)</f>
        <v/>
      </c>
      <c r="S328" s="49">
        <f>IF($C$8&gt;0, R328/$C$8, 0)</f>
        <v/>
      </c>
      <c r="T328" s="49">
        <f>IF(O328&gt;0, Q328/O328, 0)</f>
        <v/>
      </c>
      <c r="U328" s="18">
        <f>IF(Q328=0, "Exceeds Limit", IF(P328&lt;=O328, "Weight Limited", "Volume Limited"))</f>
        <v/>
      </c>
    </row>
    <row r="329" ht="19" customHeight="1">
      <c r="A329" s="38" t="n">
        <v>319</v>
      </c>
      <c r="B329" s="51" t="inlineStr">
        <is>
          <t>Stainless Steel 304</t>
        </is>
      </c>
      <c r="C329" s="13" t="inlineStr">
        <is>
          <t>ASME B36.19M</t>
        </is>
      </c>
      <c r="D329" s="12" t="inlineStr">
        <is>
          <t>3/4''</t>
        </is>
      </c>
      <c r="E329" s="38" t="n">
        <v>20</v>
      </c>
      <c r="F329" s="12" t="inlineStr">
        <is>
          <t>STD</t>
        </is>
      </c>
      <c r="G329" s="14" t="n">
        <v>1.05</v>
      </c>
      <c r="H329" s="40" t="n">
        <v>26.67</v>
      </c>
      <c r="I329" s="14" t="n">
        <v>0.113</v>
      </c>
      <c r="J329" s="40" t="n">
        <v>2.87</v>
      </c>
      <c r="K329" s="14">
        <f>ROUND((H329-J329)*J329*IF(B329="Carbon Steel",$K$7,IF(B329="Stainless Steel 304",$K$8,$L$8)), 3)</f>
        <v/>
      </c>
      <c r="L329" s="40">
        <f>ROUND(K329*$G$5, 2)</f>
        <v/>
      </c>
      <c r="M329" s="38">
        <f>INT($G$6/H329)</f>
        <v/>
      </c>
      <c r="N329" s="38">
        <f>IF(M329=0, 0, IF(OR($K$6="Square Grid", M329=1), INT($G$7/H329), IF($G$7&lt;H329, 0, 1+INT(($G$7-H329)/(0.8660254*H329)))))</f>
        <v/>
      </c>
      <c r="O329" s="41">
        <f>IF(OR(M329=0,N329=0), 0, IF(OR($K$6="Square Grid", M329=1), M329*N329*$K$5, (INT((N329+1)/2)*M329 + INT(N329/2)*IF(($G$6-M329*H329)&gt;=0.5*H329, M329, M329-1))*$K$5))</f>
        <v/>
      </c>
      <c r="P329" s="41">
        <f>IF(L329&lt;=0, 0, INT($G$8/L329))</f>
        <v/>
      </c>
      <c r="Q329" s="42">
        <f>MIN(O329, P329)</f>
        <v/>
      </c>
      <c r="R329" s="43">
        <f>ROUND((Q329*L329)/1000, 2)</f>
        <v/>
      </c>
      <c r="S329" s="44">
        <f>IF($C$8&gt;0, R329/$C$8, 0)</f>
        <v/>
      </c>
      <c r="T329" s="44">
        <f>IF(O329&gt;0, Q329/O329, 0)</f>
        <v/>
      </c>
      <c r="U329" s="12">
        <f>IF(Q329=0, "Exceeds Limit", IF(P329&lt;=O329, "Weight Limited", "Volume Limited"))</f>
        <v/>
      </c>
    </row>
    <row r="330" ht="19" customHeight="1">
      <c r="A330" s="45" t="n">
        <v>320</v>
      </c>
      <c r="B330" s="50" t="inlineStr">
        <is>
          <t>Stainless Steel 304</t>
        </is>
      </c>
      <c r="C330" s="19" t="inlineStr">
        <is>
          <t>ASME B36.19M</t>
        </is>
      </c>
      <c r="D330" s="18" t="inlineStr">
        <is>
          <t>3/4''</t>
        </is>
      </c>
      <c r="E330" s="45" t="n">
        <v>20</v>
      </c>
      <c r="F330" s="18" t="inlineStr">
        <is>
          <t>XS</t>
        </is>
      </c>
      <c r="G330" s="20" t="n">
        <v>1.05</v>
      </c>
      <c r="H330" s="47" t="n">
        <v>26.67</v>
      </c>
      <c r="I330" s="20" t="n">
        <v>0.154</v>
      </c>
      <c r="J330" s="47" t="n">
        <v>3.91</v>
      </c>
      <c r="K330" s="20">
        <f>ROUND((H330-J330)*J330*IF(B330="Carbon Steel",$K$7,IF(B330="Stainless Steel 304",$K$8,$L$8)), 3)</f>
        <v/>
      </c>
      <c r="L330" s="47">
        <f>ROUND(K330*$G$5, 2)</f>
        <v/>
      </c>
      <c r="M330" s="45">
        <f>INT($G$6/H330)</f>
        <v/>
      </c>
      <c r="N330" s="45">
        <f>IF(M330=0, 0, IF(OR($K$6="Square Grid", M330=1), INT($G$7/H330), IF($G$7&lt;H330, 0, 1+INT(($G$7-H330)/(0.8660254*H330)))))</f>
        <v/>
      </c>
      <c r="O330" s="48">
        <f>IF(OR(M330=0,N330=0), 0, IF(OR($K$6="Square Grid", M330=1), M330*N330*$K$5, (INT((N330+1)/2)*M330 + INT(N330/2)*IF(($G$6-M330*H330)&gt;=0.5*H330, M330, M330-1))*$K$5))</f>
        <v/>
      </c>
      <c r="P330" s="48">
        <f>IF(L330&lt;=0, 0, INT($G$8/L330))</f>
        <v/>
      </c>
      <c r="Q330" s="42">
        <f>MIN(O330, P330)</f>
        <v/>
      </c>
      <c r="R330" s="43">
        <f>ROUND((Q330*L330)/1000, 2)</f>
        <v/>
      </c>
      <c r="S330" s="49">
        <f>IF($C$8&gt;0, R330/$C$8, 0)</f>
        <v/>
      </c>
      <c r="T330" s="49">
        <f>IF(O330&gt;0, Q330/O330, 0)</f>
        <v/>
      </c>
      <c r="U330" s="18">
        <f>IF(Q330=0, "Exceeds Limit", IF(P330&lt;=O330, "Weight Limited", "Volume Limited"))</f>
        <v/>
      </c>
    </row>
    <row r="331" ht="19" customHeight="1">
      <c r="A331" s="38" t="n">
        <v>321</v>
      </c>
      <c r="B331" s="51" t="inlineStr">
        <is>
          <t>Stainless Steel 304</t>
        </is>
      </c>
      <c r="C331" s="13" t="inlineStr">
        <is>
          <t>ASME B36.19M</t>
        </is>
      </c>
      <c r="D331" s="12" t="inlineStr">
        <is>
          <t>3/4''</t>
        </is>
      </c>
      <c r="E331" s="38" t="n">
        <v>20</v>
      </c>
      <c r="F331" s="12" t="inlineStr">
        <is>
          <t>160</t>
        </is>
      </c>
      <c r="G331" s="14" t="n">
        <v>1.05</v>
      </c>
      <c r="H331" s="40" t="n">
        <v>26.67</v>
      </c>
      <c r="I331" s="14" t="n">
        <v>0.219</v>
      </c>
      <c r="J331" s="40" t="n">
        <v>5.56</v>
      </c>
      <c r="K331" s="14">
        <f>ROUND((H331-J331)*J331*IF(B331="Carbon Steel",$K$7,IF(B331="Stainless Steel 304",$K$8,$L$8)), 3)</f>
        <v/>
      </c>
      <c r="L331" s="40">
        <f>ROUND(K331*$G$5, 2)</f>
        <v/>
      </c>
      <c r="M331" s="38">
        <f>INT($G$6/H331)</f>
        <v/>
      </c>
      <c r="N331" s="38">
        <f>IF(M331=0, 0, IF(OR($K$6="Square Grid", M331=1), INT($G$7/H331), IF($G$7&lt;H331, 0, 1+INT(($G$7-H331)/(0.8660254*H331)))))</f>
        <v/>
      </c>
      <c r="O331" s="41">
        <f>IF(OR(M331=0,N331=0), 0, IF(OR($K$6="Square Grid", M331=1), M331*N331*$K$5, (INT((N331+1)/2)*M331 + INT(N331/2)*IF(($G$6-M331*H331)&gt;=0.5*H331, M331, M331-1))*$K$5))</f>
        <v/>
      </c>
      <c r="P331" s="41">
        <f>IF(L331&lt;=0, 0, INT($G$8/L331))</f>
        <v/>
      </c>
      <c r="Q331" s="42">
        <f>MIN(O331, P331)</f>
        <v/>
      </c>
      <c r="R331" s="43">
        <f>ROUND((Q331*L331)/1000, 2)</f>
        <v/>
      </c>
      <c r="S331" s="44">
        <f>IF($C$8&gt;0, R331/$C$8, 0)</f>
        <v/>
      </c>
      <c r="T331" s="44">
        <f>IF(O331&gt;0, Q331/O331, 0)</f>
        <v/>
      </c>
      <c r="U331" s="12">
        <f>IF(Q331=0, "Exceeds Limit", IF(P331&lt;=O331, "Weight Limited", "Volume Limited"))</f>
        <v/>
      </c>
    </row>
    <row r="332" ht="19" customHeight="1">
      <c r="A332" s="45" t="n">
        <v>322</v>
      </c>
      <c r="B332" s="50" t="inlineStr">
        <is>
          <t>Stainless Steel 304</t>
        </is>
      </c>
      <c r="C332" s="19" t="inlineStr">
        <is>
          <t>ASME B36.19M</t>
        </is>
      </c>
      <c r="D332" s="18" t="inlineStr">
        <is>
          <t>3/4''</t>
        </is>
      </c>
      <c r="E332" s="45" t="n">
        <v>20</v>
      </c>
      <c r="F332" s="18" t="inlineStr">
        <is>
          <t>XXS</t>
        </is>
      </c>
      <c r="G332" s="20" t="n">
        <v>1.05</v>
      </c>
      <c r="H332" s="47" t="n">
        <v>26.67</v>
      </c>
      <c r="I332" s="20" t="n">
        <v>0.308</v>
      </c>
      <c r="J332" s="47" t="n">
        <v>7.82</v>
      </c>
      <c r="K332" s="20">
        <f>ROUND((H332-J332)*J332*IF(B332="Carbon Steel",$K$7,IF(B332="Stainless Steel 304",$K$8,$L$8)), 3)</f>
        <v/>
      </c>
      <c r="L332" s="47">
        <f>ROUND(K332*$G$5, 2)</f>
        <v/>
      </c>
      <c r="M332" s="45">
        <f>INT($G$6/H332)</f>
        <v/>
      </c>
      <c r="N332" s="45">
        <f>IF(M332=0, 0, IF(OR($K$6="Square Grid", M332=1), INT($G$7/H332), IF($G$7&lt;H332, 0, 1+INT(($G$7-H332)/(0.8660254*H332)))))</f>
        <v/>
      </c>
      <c r="O332" s="48">
        <f>IF(OR(M332=0,N332=0), 0, IF(OR($K$6="Square Grid", M332=1), M332*N332*$K$5, (INT((N332+1)/2)*M332 + INT(N332/2)*IF(($G$6-M332*H332)&gt;=0.5*H332, M332, M332-1))*$K$5))</f>
        <v/>
      </c>
      <c r="P332" s="48">
        <f>IF(L332&lt;=0, 0, INT($G$8/L332))</f>
        <v/>
      </c>
      <c r="Q332" s="42">
        <f>MIN(O332, P332)</f>
        <v/>
      </c>
      <c r="R332" s="43">
        <f>ROUND((Q332*L332)/1000, 2)</f>
        <v/>
      </c>
      <c r="S332" s="49">
        <f>IF($C$8&gt;0, R332/$C$8, 0)</f>
        <v/>
      </c>
      <c r="T332" s="49">
        <f>IF(O332&gt;0, Q332/O332, 0)</f>
        <v/>
      </c>
      <c r="U332" s="18">
        <f>IF(Q332=0, "Exceeds Limit", IF(P332&lt;=O332, "Weight Limited", "Volume Limited"))</f>
        <v/>
      </c>
    </row>
    <row r="333" ht="19" customHeight="1">
      <c r="A333" s="38" t="n">
        <v>323</v>
      </c>
      <c r="B333" s="51" t="inlineStr">
        <is>
          <t>Stainless Steel 304</t>
        </is>
      </c>
      <c r="C333" s="13" t="inlineStr">
        <is>
          <t>ASME B36.19M</t>
        </is>
      </c>
      <c r="D333" s="12" t="inlineStr">
        <is>
          <t>1''</t>
        </is>
      </c>
      <c r="E333" s="38" t="n">
        <v>25</v>
      </c>
      <c r="F333" s="12" t="inlineStr">
        <is>
          <t>5S</t>
        </is>
      </c>
      <c r="G333" s="14" t="n">
        <v>1.315</v>
      </c>
      <c r="H333" s="40" t="n">
        <v>33.4</v>
      </c>
      <c r="I333" s="14" t="n">
        <v>0.065</v>
      </c>
      <c r="J333" s="40" t="n">
        <v>1.65</v>
      </c>
      <c r="K333" s="14">
        <f>ROUND((H333-J333)*J333*IF(B333="Carbon Steel",$K$7,IF(B333="Stainless Steel 304",$K$8,$L$8)), 3)</f>
        <v/>
      </c>
      <c r="L333" s="40">
        <f>ROUND(K333*$G$5, 2)</f>
        <v/>
      </c>
      <c r="M333" s="38">
        <f>INT($G$6/H333)</f>
        <v/>
      </c>
      <c r="N333" s="38">
        <f>IF(M333=0, 0, IF(OR($K$6="Square Grid", M333=1), INT($G$7/H333), IF($G$7&lt;H333, 0, 1+INT(($G$7-H333)/(0.8660254*H333)))))</f>
        <v/>
      </c>
      <c r="O333" s="41">
        <f>IF(OR(M333=0,N333=0), 0, IF(OR($K$6="Square Grid", M333=1), M333*N333*$K$5, (INT((N333+1)/2)*M333 + INT(N333/2)*IF(($G$6-M333*H333)&gt;=0.5*H333, M333, M333-1))*$K$5))</f>
        <v/>
      </c>
      <c r="P333" s="41">
        <f>IF(L333&lt;=0, 0, INT($G$8/L333))</f>
        <v/>
      </c>
      <c r="Q333" s="42">
        <f>MIN(O333, P333)</f>
        <v/>
      </c>
      <c r="R333" s="43">
        <f>ROUND((Q333*L333)/1000, 2)</f>
        <v/>
      </c>
      <c r="S333" s="44">
        <f>IF($C$8&gt;0, R333/$C$8, 0)</f>
        <v/>
      </c>
      <c r="T333" s="44">
        <f>IF(O333&gt;0, Q333/O333, 0)</f>
        <v/>
      </c>
      <c r="U333" s="12">
        <f>IF(Q333=0, "Exceeds Limit", IF(P333&lt;=O333, "Weight Limited", "Volume Limited"))</f>
        <v/>
      </c>
    </row>
    <row r="334" ht="19" customHeight="1">
      <c r="A334" s="45" t="n">
        <v>324</v>
      </c>
      <c r="B334" s="50" t="inlineStr">
        <is>
          <t>Stainless Steel 304</t>
        </is>
      </c>
      <c r="C334" s="19" t="inlineStr">
        <is>
          <t>ASME B36.19M</t>
        </is>
      </c>
      <c r="D334" s="18" t="inlineStr">
        <is>
          <t>1''</t>
        </is>
      </c>
      <c r="E334" s="45" t="n">
        <v>25</v>
      </c>
      <c r="F334" s="18" t="inlineStr">
        <is>
          <t>10S</t>
        </is>
      </c>
      <c r="G334" s="20" t="n">
        <v>1.315</v>
      </c>
      <c r="H334" s="47" t="n">
        <v>33.4</v>
      </c>
      <c r="I334" s="20" t="n">
        <v>0.109</v>
      </c>
      <c r="J334" s="47" t="n">
        <v>2.77</v>
      </c>
      <c r="K334" s="20">
        <f>ROUND((H334-J334)*J334*IF(B334="Carbon Steel",$K$7,IF(B334="Stainless Steel 304",$K$8,$L$8)), 3)</f>
        <v/>
      </c>
      <c r="L334" s="47">
        <f>ROUND(K334*$G$5, 2)</f>
        <v/>
      </c>
      <c r="M334" s="45">
        <f>INT($G$6/H334)</f>
        <v/>
      </c>
      <c r="N334" s="45">
        <f>IF(M334=0, 0, IF(OR($K$6="Square Grid", M334=1), INT($G$7/H334), IF($G$7&lt;H334, 0, 1+INT(($G$7-H334)/(0.8660254*H334)))))</f>
        <v/>
      </c>
      <c r="O334" s="48">
        <f>IF(OR(M334=0,N334=0), 0, IF(OR($K$6="Square Grid", M334=1), M334*N334*$K$5, (INT((N334+1)/2)*M334 + INT(N334/2)*IF(($G$6-M334*H334)&gt;=0.5*H334, M334, M334-1))*$K$5))</f>
        <v/>
      </c>
      <c r="P334" s="48">
        <f>IF(L334&lt;=0, 0, INT($G$8/L334))</f>
        <v/>
      </c>
      <c r="Q334" s="42">
        <f>MIN(O334, P334)</f>
        <v/>
      </c>
      <c r="R334" s="43">
        <f>ROUND((Q334*L334)/1000, 2)</f>
        <v/>
      </c>
      <c r="S334" s="49">
        <f>IF($C$8&gt;0, R334/$C$8, 0)</f>
        <v/>
      </c>
      <c r="T334" s="49">
        <f>IF(O334&gt;0, Q334/O334, 0)</f>
        <v/>
      </c>
      <c r="U334" s="18">
        <f>IF(Q334=0, "Exceeds Limit", IF(P334&lt;=O334, "Weight Limited", "Volume Limited"))</f>
        <v/>
      </c>
    </row>
    <row r="335" ht="19" customHeight="1">
      <c r="A335" s="38" t="n">
        <v>325</v>
      </c>
      <c r="B335" s="51" t="inlineStr">
        <is>
          <t>Stainless Steel 304</t>
        </is>
      </c>
      <c r="C335" s="13" t="inlineStr">
        <is>
          <t>ASME B36.19M</t>
        </is>
      </c>
      <c r="D335" s="12" t="inlineStr">
        <is>
          <t>1''</t>
        </is>
      </c>
      <c r="E335" s="38" t="n">
        <v>25</v>
      </c>
      <c r="F335" s="12" t="inlineStr">
        <is>
          <t>40S</t>
        </is>
      </c>
      <c r="G335" s="14" t="n">
        <v>1.315</v>
      </c>
      <c r="H335" s="40" t="n">
        <v>33.4</v>
      </c>
      <c r="I335" s="14" t="n">
        <v>0.133</v>
      </c>
      <c r="J335" s="40" t="n">
        <v>3.38</v>
      </c>
      <c r="K335" s="14">
        <f>ROUND((H335-J335)*J335*IF(B335="Carbon Steel",$K$7,IF(B335="Stainless Steel 304",$K$8,$L$8)), 3)</f>
        <v/>
      </c>
      <c r="L335" s="40">
        <f>ROUND(K335*$G$5, 2)</f>
        <v/>
      </c>
      <c r="M335" s="38">
        <f>INT($G$6/H335)</f>
        <v/>
      </c>
      <c r="N335" s="38">
        <f>IF(M335=0, 0, IF(OR($K$6="Square Grid", M335=1), INT($G$7/H335), IF($G$7&lt;H335, 0, 1+INT(($G$7-H335)/(0.8660254*H335)))))</f>
        <v/>
      </c>
      <c r="O335" s="41">
        <f>IF(OR(M335=0,N335=0), 0, IF(OR($K$6="Square Grid", M335=1), M335*N335*$K$5, (INT((N335+1)/2)*M335 + INT(N335/2)*IF(($G$6-M335*H335)&gt;=0.5*H335, M335, M335-1))*$K$5))</f>
        <v/>
      </c>
      <c r="P335" s="41">
        <f>IF(L335&lt;=0, 0, INT($G$8/L335))</f>
        <v/>
      </c>
      <c r="Q335" s="42">
        <f>MIN(O335, P335)</f>
        <v/>
      </c>
      <c r="R335" s="43">
        <f>ROUND((Q335*L335)/1000, 2)</f>
        <v/>
      </c>
      <c r="S335" s="44">
        <f>IF($C$8&gt;0, R335/$C$8, 0)</f>
        <v/>
      </c>
      <c r="T335" s="44">
        <f>IF(O335&gt;0, Q335/O335, 0)</f>
        <v/>
      </c>
      <c r="U335" s="12">
        <f>IF(Q335=0, "Exceeds Limit", IF(P335&lt;=O335, "Weight Limited", "Volume Limited"))</f>
        <v/>
      </c>
    </row>
    <row r="336" ht="19" customHeight="1">
      <c r="A336" s="45" t="n">
        <v>326</v>
      </c>
      <c r="B336" s="50" t="inlineStr">
        <is>
          <t>Stainless Steel 304</t>
        </is>
      </c>
      <c r="C336" s="19" t="inlineStr">
        <is>
          <t>ASME B36.19M</t>
        </is>
      </c>
      <c r="D336" s="18" t="inlineStr">
        <is>
          <t>1''</t>
        </is>
      </c>
      <c r="E336" s="45" t="n">
        <v>25</v>
      </c>
      <c r="F336" s="18" t="inlineStr">
        <is>
          <t>80S</t>
        </is>
      </c>
      <c r="G336" s="20" t="n">
        <v>1.315</v>
      </c>
      <c r="H336" s="47" t="n">
        <v>33.4</v>
      </c>
      <c r="I336" s="20" t="n">
        <v>0.179</v>
      </c>
      <c r="J336" s="47" t="n">
        <v>4.55</v>
      </c>
      <c r="K336" s="20">
        <f>ROUND((H336-J336)*J336*IF(B336="Carbon Steel",$K$7,IF(B336="Stainless Steel 304",$K$8,$L$8)), 3)</f>
        <v/>
      </c>
      <c r="L336" s="47">
        <f>ROUND(K336*$G$5, 2)</f>
        <v/>
      </c>
      <c r="M336" s="45">
        <f>INT($G$6/H336)</f>
        <v/>
      </c>
      <c r="N336" s="45">
        <f>IF(M336=0, 0, IF(OR($K$6="Square Grid", M336=1), INT($G$7/H336), IF($G$7&lt;H336, 0, 1+INT(($G$7-H336)/(0.8660254*H336)))))</f>
        <v/>
      </c>
      <c r="O336" s="48">
        <f>IF(OR(M336=0,N336=0), 0, IF(OR($K$6="Square Grid", M336=1), M336*N336*$K$5, (INT((N336+1)/2)*M336 + INT(N336/2)*IF(($G$6-M336*H336)&gt;=0.5*H336, M336, M336-1))*$K$5))</f>
        <v/>
      </c>
      <c r="P336" s="48">
        <f>IF(L336&lt;=0, 0, INT($G$8/L336))</f>
        <v/>
      </c>
      <c r="Q336" s="42">
        <f>MIN(O336, P336)</f>
        <v/>
      </c>
      <c r="R336" s="43">
        <f>ROUND((Q336*L336)/1000, 2)</f>
        <v/>
      </c>
      <c r="S336" s="49">
        <f>IF($C$8&gt;0, R336/$C$8, 0)</f>
        <v/>
      </c>
      <c r="T336" s="49">
        <f>IF(O336&gt;0, Q336/O336, 0)</f>
        <v/>
      </c>
      <c r="U336" s="18">
        <f>IF(Q336=0, "Exceeds Limit", IF(P336&lt;=O336, "Weight Limited", "Volume Limited"))</f>
        <v/>
      </c>
    </row>
    <row r="337" ht="19" customHeight="1">
      <c r="A337" s="38" t="n">
        <v>327</v>
      </c>
      <c r="B337" s="51" t="inlineStr">
        <is>
          <t>Stainless Steel 304</t>
        </is>
      </c>
      <c r="C337" s="13" t="inlineStr">
        <is>
          <t>ASME B36.19M</t>
        </is>
      </c>
      <c r="D337" s="12" t="inlineStr">
        <is>
          <t>1''</t>
        </is>
      </c>
      <c r="E337" s="38" t="n">
        <v>25</v>
      </c>
      <c r="F337" s="12" t="inlineStr">
        <is>
          <t>STD</t>
        </is>
      </c>
      <c r="G337" s="14" t="n">
        <v>1.315</v>
      </c>
      <c r="H337" s="40" t="n">
        <v>33.4</v>
      </c>
      <c r="I337" s="14" t="n">
        <v>0.133</v>
      </c>
      <c r="J337" s="40" t="n">
        <v>3.38</v>
      </c>
      <c r="K337" s="14">
        <f>ROUND((H337-J337)*J337*IF(B337="Carbon Steel",$K$7,IF(B337="Stainless Steel 304",$K$8,$L$8)), 3)</f>
        <v/>
      </c>
      <c r="L337" s="40">
        <f>ROUND(K337*$G$5, 2)</f>
        <v/>
      </c>
      <c r="M337" s="38">
        <f>INT($G$6/H337)</f>
        <v/>
      </c>
      <c r="N337" s="38">
        <f>IF(M337=0, 0, IF(OR($K$6="Square Grid", M337=1), INT($G$7/H337), IF($G$7&lt;H337, 0, 1+INT(($G$7-H337)/(0.8660254*H337)))))</f>
        <v/>
      </c>
      <c r="O337" s="41">
        <f>IF(OR(M337=0,N337=0), 0, IF(OR($K$6="Square Grid", M337=1), M337*N337*$K$5, (INT((N337+1)/2)*M337 + INT(N337/2)*IF(($G$6-M337*H337)&gt;=0.5*H337, M337, M337-1))*$K$5))</f>
        <v/>
      </c>
      <c r="P337" s="41">
        <f>IF(L337&lt;=0, 0, INT($G$8/L337))</f>
        <v/>
      </c>
      <c r="Q337" s="42">
        <f>MIN(O337, P337)</f>
        <v/>
      </c>
      <c r="R337" s="43">
        <f>ROUND((Q337*L337)/1000, 2)</f>
        <v/>
      </c>
      <c r="S337" s="44">
        <f>IF($C$8&gt;0, R337/$C$8, 0)</f>
        <v/>
      </c>
      <c r="T337" s="44">
        <f>IF(O337&gt;0, Q337/O337, 0)</f>
        <v/>
      </c>
      <c r="U337" s="12">
        <f>IF(Q337=0, "Exceeds Limit", IF(P337&lt;=O337, "Weight Limited", "Volume Limited"))</f>
        <v/>
      </c>
    </row>
    <row r="338" ht="19" customHeight="1">
      <c r="A338" s="45" t="n">
        <v>328</v>
      </c>
      <c r="B338" s="50" t="inlineStr">
        <is>
          <t>Stainless Steel 304</t>
        </is>
      </c>
      <c r="C338" s="19" t="inlineStr">
        <is>
          <t>ASME B36.19M</t>
        </is>
      </c>
      <c r="D338" s="18" t="inlineStr">
        <is>
          <t>1''</t>
        </is>
      </c>
      <c r="E338" s="45" t="n">
        <v>25</v>
      </c>
      <c r="F338" s="18" t="inlineStr">
        <is>
          <t>XS</t>
        </is>
      </c>
      <c r="G338" s="20" t="n">
        <v>1.315</v>
      </c>
      <c r="H338" s="47" t="n">
        <v>33.4</v>
      </c>
      <c r="I338" s="20" t="n">
        <v>0.179</v>
      </c>
      <c r="J338" s="47" t="n">
        <v>4.55</v>
      </c>
      <c r="K338" s="20">
        <f>ROUND((H338-J338)*J338*IF(B338="Carbon Steel",$K$7,IF(B338="Stainless Steel 304",$K$8,$L$8)), 3)</f>
        <v/>
      </c>
      <c r="L338" s="47">
        <f>ROUND(K338*$G$5, 2)</f>
        <v/>
      </c>
      <c r="M338" s="45">
        <f>INT($G$6/H338)</f>
        <v/>
      </c>
      <c r="N338" s="45">
        <f>IF(M338=0, 0, IF(OR($K$6="Square Grid", M338=1), INT($G$7/H338), IF($G$7&lt;H338, 0, 1+INT(($G$7-H338)/(0.8660254*H338)))))</f>
        <v/>
      </c>
      <c r="O338" s="48">
        <f>IF(OR(M338=0,N338=0), 0, IF(OR($K$6="Square Grid", M338=1), M338*N338*$K$5, (INT((N338+1)/2)*M338 + INT(N338/2)*IF(($G$6-M338*H338)&gt;=0.5*H338, M338, M338-1))*$K$5))</f>
        <v/>
      </c>
      <c r="P338" s="48">
        <f>IF(L338&lt;=0, 0, INT($G$8/L338))</f>
        <v/>
      </c>
      <c r="Q338" s="42">
        <f>MIN(O338, P338)</f>
        <v/>
      </c>
      <c r="R338" s="43">
        <f>ROUND((Q338*L338)/1000, 2)</f>
        <v/>
      </c>
      <c r="S338" s="49">
        <f>IF($C$8&gt;0, R338/$C$8, 0)</f>
        <v/>
      </c>
      <c r="T338" s="49">
        <f>IF(O338&gt;0, Q338/O338, 0)</f>
        <v/>
      </c>
      <c r="U338" s="18">
        <f>IF(Q338=0, "Exceeds Limit", IF(P338&lt;=O338, "Weight Limited", "Volume Limited"))</f>
        <v/>
      </c>
    </row>
    <row r="339" ht="19" customHeight="1">
      <c r="A339" s="38" t="n">
        <v>329</v>
      </c>
      <c r="B339" s="51" t="inlineStr">
        <is>
          <t>Stainless Steel 304</t>
        </is>
      </c>
      <c r="C339" s="13" t="inlineStr">
        <is>
          <t>ASME B36.19M</t>
        </is>
      </c>
      <c r="D339" s="12" t="inlineStr">
        <is>
          <t>1''</t>
        </is>
      </c>
      <c r="E339" s="38" t="n">
        <v>25</v>
      </c>
      <c r="F339" s="12" t="inlineStr">
        <is>
          <t>160</t>
        </is>
      </c>
      <c r="G339" s="14" t="n">
        <v>1.315</v>
      </c>
      <c r="H339" s="40" t="n">
        <v>33.4</v>
      </c>
      <c r="I339" s="14" t="n">
        <v>0.25</v>
      </c>
      <c r="J339" s="40" t="n">
        <v>6.35</v>
      </c>
      <c r="K339" s="14">
        <f>ROUND((H339-J339)*J339*IF(B339="Carbon Steel",$K$7,IF(B339="Stainless Steel 304",$K$8,$L$8)), 3)</f>
        <v/>
      </c>
      <c r="L339" s="40">
        <f>ROUND(K339*$G$5, 2)</f>
        <v/>
      </c>
      <c r="M339" s="38">
        <f>INT($G$6/H339)</f>
        <v/>
      </c>
      <c r="N339" s="38">
        <f>IF(M339=0, 0, IF(OR($K$6="Square Grid", M339=1), INT($G$7/H339), IF($G$7&lt;H339, 0, 1+INT(($G$7-H339)/(0.8660254*H339)))))</f>
        <v/>
      </c>
      <c r="O339" s="41">
        <f>IF(OR(M339=0,N339=0), 0, IF(OR($K$6="Square Grid", M339=1), M339*N339*$K$5, (INT((N339+1)/2)*M339 + INT(N339/2)*IF(($G$6-M339*H339)&gt;=0.5*H339, M339, M339-1))*$K$5))</f>
        <v/>
      </c>
      <c r="P339" s="41">
        <f>IF(L339&lt;=0, 0, INT($G$8/L339))</f>
        <v/>
      </c>
      <c r="Q339" s="42">
        <f>MIN(O339, P339)</f>
        <v/>
      </c>
      <c r="R339" s="43">
        <f>ROUND((Q339*L339)/1000, 2)</f>
        <v/>
      </c>
      <c r="S339" s="44">
        <f>IF($C$8&gt;0, R339/$C$8, 0)</f>
        <v/>
      </c>
      <c r="T339" s="44">
        <f>IF(O339&gt;0, Q339/O339, 0)</f>
        <v/>
      </c>
      <c r="U339" s="12">
        <f>IF(Q339=0, "Exceeds Limit", IF(P339&lt;=O339, "Weight Limited", "Volume Limited"))</f>
        <v/>
      </c>
    </row>
    <row r="340" ht="19" customHeight="1">
      <c r="A340" s="45" t="n">
        <v>330</v>
      </c>
      <c r="B340" s="50" t="inlineStr">
        <is>
          <t>Stainless Steel 304</t>
        </is>
      </c>
      <c r="C340" s="19" t="inlineStr">
        <is>
          <t>ASME B36.19M</t>
        </is>
      </c>
      <c r="D340" s="18" t="inlineStr">
        <is>
          <t>1''</t>
        </is>
      </c>
      <c r="E340" s="45" t="n">
        <v>25</v>
      </c>
      <c r="F340" s="18" t="inlineStr">
        <is>
          <t>XXS</t>
        </is>
      </c>
      <c r="G340" s="20" t="n">
        <v>1.315</v>
      </c>
      <c r="H340" s="47" t="n">
        <v>33.4</v>
      </c>
      <c r="I340" s="20" t="n">
        <v>0.358</v>
      </c>
      <c r="J340" s="47" t="n">
        <v>9.09</v>
      </c>
      <c r="K340" s="20">
        <f>ROUND((H340-J340)*J340*IF(B340="Carbon Steel",$K$7,IF(B340="Stainless Steel 304",$K$8,$L$8)), 3)</f>
        <v/>
      </c>
      <c r="L340" s="47">
        <f>ROUND(K340*$G$5, 2)</f>
        <v/>
      </c>
      <c r="M340" s="45">
        <f>INT($G$6/H340)</f>
        <v/>
      </c>
      <c r="N340" s="45">
        <f>IF(M340=0, 0, IF(OR($K$6="Square Grid", M340=1), INT($G$7/H340), IF($G$7&lt;H340, 0, 1+INT(($G$7-H340)/(0.8660254*H340)))))</f>
        <v/>
      </c>
      <c r="O340" s="48">
        <f>IF(OR(M340=0,N340=0), 0, IF(OR($K$6="Square Grid", M340=1), M340*N340*$K$5, (INT((N340+1)/2)*M340 + INT(N340/2)*IF(($G$6-M340*H340)&gt;=0.5*H340, M340, M340-1))*$K$5))</f>
        <v/>
      </c>
      <c r="P340" s="48">
        <f>IF(L340&lt;=0, 0, INT($G$8/L340))</f>
        <v/>
      </c>
      <c r="Q340" s="42">
        <f>MIN(O340, P340)</f>
        <v/>
      </c>
      <c r="R340" s="43">
        <f>ROUND((Q340*L340)/1000, 2)</f>
        <v/>
      </c>
      <c r="S340" s="49">
        <f>IF($C$8&gt;0, R340/$C$8, 0)</f>
        <v/>
      </c>
      <c r="T340" s="49">
        <f>IF(O340&gt;0, Q340/O340, 0)</f>
        <v/>
      </c>
      <c r="U340" s="18">
        <f>IF(Q340=0, "Exceeds Limit", IF(P340&lt;=O340, "Weight Limited", "Volume Limited"))</f>
        <v/>
      </c>
    </row>
    <row r="341" ht="19" customHeight="1">
      <c r="A341" s="38" t="n">
        <v>331</v>
      </c>
      <c r="B341" s="51" t="inlineStr">
        <is>
          <t>Stainless Steel 304</t>
        </is>
      </c>
      <c r="C341" s="13" t="inlineStr">
        <is>
          <t>ASME B36.19M</t>
        </is>
      </c>
      <c r="D341" s="12" t="inlineStr">
        <is>
          <t>1-1/4''</t>
        </is>
      </c>
      <c r="E341" s="38" t="n">
        <v>32</v>
      </c>
      <c r="F341" s="12" t="inlineStr">
        <is>
          <t>5S</t>
        </is>
      </c>
      <c r="G341" s="14" t="n">
        <v>1.66</v>
      </c>
      <c r="H341" s="40" t="n">
        <v>42.16</v>
      </c>
      <c r="I341" s="14" t="n">
        <v>0.065</v>
      </c>
      <c r="J341" s="40" t="n">
        <v>1.65</v>
      </c>
      <c r="K341" s="14">
        <f>ROUND((H341-J341)*J341*IF(B341="Carbon Steel",$K$7,IF(B341="Stainless Steel 304",$K$8,$L$8)), 3)</f>
        <v/>
      </c>
      <c r="L341" s="40">
        <f>ROUND(K341*$G$5, 2)</f>
        <v/>
      </c>
      <c r="M341" s="38">
        <f>INT($G$6/H341)</f>
        <v/>
      </c>
      <c r="N341" s="38">
        <f>IF(M341=0, 0, IF(OR($K$6="Square Grid", M341=1), INT($G$7/H341), IF($G$7&lt;H341, 0, 1+INT(($G$7-H341)/(0.8660254*H341)))))</f>
        <v/>
      </c>
      <c r="O341" s="41">
        <f>IF(OR(M341=0,N341=0), 0, IF(OR($K$6="Square Grid", M341=1), M341*N341*$K$5, (INT((N341+1)/2)*M341 + INT(N341/2)*IF(($G$6-M341*H341)&gt;=0.5*H341, M341, M341-1))*$K$5))</f>
        <v/>
      </c>
      <c r="P341" s="41">
        <f>IF(L341&lt;=0, 0, INT($G$8/L341))</f>
        <v/>
      </c>
      <c r="Q341" s="42">
        <f>MIN(O341, P341)</f>
        <v/>
      </c>
      <c r="R341" s="43">
        <f>ROUND((Q341*L341)/1000, 2)</f>
        <v/>
      </c>
      <c r="S341" s="44">
        <f>IF($C$8&gt;0, R341/$C$8, 0)</f>
        <v/>
      </c>
      <c r="T341" s="44">
        <f>IF(O341&gt;0, Q341/O341, 0)</f>
        <v/>
      </c>
      <c r="U341" s="12">
        <f>IF(Q341=0, "Exceeds Limit", IF(P341&lt;=O341, "Weight Limited", "Volume Limited"))</f>
        <v/>
      </c>
    </row>
    <row r="342" ht="19" customHeight="1">
      <c r="A342" s="45" t="n">
        <v>332</v>
      </c>
      <c r="B342" s="50" t="inlineStr">
        <is>
          <t>Stainless Steel 304</t>
        </is>
      </c>
      <c r="C342" s="19" t="inlineStr">
        <is>
          <t>ASME B36.19M</t>
        </is>
      </c>
      <c r="D342" s="18" t="inlineStr">
        <is>
          <t>1-1/4''</t>
        </is>
      </c>
      <c r="E342" s="45" t="n">
        <v>32</v>
      </c>
      <c r="F342" s="18" t="inlineStr">
        <is>
          <t>10S</t>
        </is>
      </c>
      <c r="G342" s="20" t="n">
        <v>1.66</v>
      </c>
      <c r="H342" s="47" t="n">
        <v>42.16</v>
      </c>
      <c r="I342" s="20" t="n">
        <v>0.109</v>
      </c>
      <c r="J342" s="47" t="n">
        <v>2.77</v>
      </c>
      <c r="K342" s="20">
        <f>ROUND((H342-J342)*J342*IF(B342="Carbon Steel",$K$7,IF(B342="Stainless Steel 304",$K$8,$L$8)), 3)</f>
        <v/>
      </c>
      <c r="L342" s="47">
        <f>ROUND(K342*$G$5, 2)</f>
        <v/>
      </c>
      <c r="M342" s="45">
        <f>INT($G$6/H342)</f>
        <v/>
      </c>
      <c r="N342" s="45">
        <f>IF(M342=0, 0, IF(OR($K$6="Square Grid", M342=1), INT($G$7/H342), IF($G$7&lt;H342, 0, 1+INT(($G$7-H342)/(0.8660254*H342)))))</f>
        <v/>
      </c>
      <c r="O342" s="48">
        <f>IF(OR(M342=0,N342=0), 0, IF(OR($K$6="Square Grid", M342=1), M342*N342*$K$5, (INT((N342+1)/2)*M342 + INT(N342/2)*IF(($G$6-M342*H342)&gt;=0.5*H342, M342, M342-1))*$K$5))</f>
        <v/>
      </c>
      <c r="P342" s="48">
        <f>IF(L342&lt;=0, 0, INT($G$8/L342))</f>
        <v/>
      </c>
      <c r="Q342" s="42">
        <f>MIN(O342, P342)</f>
        <v/>
      </c>
      <c r="R342" s="43">
        <f>ROUND((Q342*L342)/1000, 2)</f>
        <v/>
      </c>
      <c r="S342" s="49">
        <f>IF($C$8&gt;0, R342/$C$8, 0)</f>
        <v/>
      </c>
      <c r="T342" s="49">
        <f>IF(O342&gt;0, Q342/O342, 0)</f>
        <v/>
      </c>
      <c r="U342" s="18">
        <f>IF(Q342=0, "Exceeds Limit", IF(P342&lt;=O342, "Weight Limited", "Volume Limited"))</f>
        <v/>
      </c>
    </row>
    <row r="343" ht="19" customHeight="1">
      <c r="A343" s="38" t="n">
        <v>333</v>
      </c>
      <c r="B343" s="51" t="inlineStr">
        <is>
          <t>Stainless Steel 304</t>
        </is>
      </c>
      <c r="C343" s="13" t="inlineStr">
        <is>
          <t>ASME B36.19M</t>
        </is>
      </c>
      <c r="D343" s="12" t="inlineStr">
        <is>
          <t>1-1/4''</t>
        </is>
      </c>
      <c r="E343" s="38" t="n">
        <v>32</v>
      </c>
      <c r="F343" s="12" t="inlineStr">
        <is>
          <t>40S</t>
        </is>
      </c>
      <c r="G343" s="14" t="n">
        <v>1.66</v>
      </c>
      <c r="H343" s="40" t="n">
        <v>42.16</v>
      </c>
      <c r="I343" s="14" t="n">
        <v>0.14</v>
      </c>
      <c r="J343" s="40" t="n">
        <v>3.56</v>
      </c>
      <c r="K343" s="14">
        <f>ROUND((H343-J343)*J343*IF(B343="Carbon Steel",$K$7,IF(B343="Stainless Steel 304",$K$8,$L$8)), 3)</f>
        <v/>
      </c>
      <c r="L343" s="40">
        <f>ROUND(K343*$G$5, 2)</f>
        <v/>
      </c>
      <c r="M343" s="38">
        <f>INT($G$6/H343)</f>
        <v/>
      </c>
      <c r="N343" s="38">
        <f>IF(M343=0, 0, IF(OR($K$6="Square Grid", M343=1), INT($G$7/H343), IF($G$7&lt;H343, 0, 1+INT(($G$7-H343)/(0.8660254*H343)))))</f>
        <v/>
      </c>
      <c r="O343" s="41">
        <f>IF(OR(M343=0,N343=0), 0, IF(OR($K$6="Square Grid", M343=1), M343*N343*$K$5, (INT((N343+1)/2)*M343 + INT(N343/2)*IF(($G$6-M343*H343)&gt;=0.5*H343, M343, M343-1))*$K$5))</f>
        <v/>
      </c>
      <c r="P343" s="41">
        <f>IF(L343&lt;=0, 0, INT($G$8/L343))</f>
        <v/>
      </c>
      <c r="Q343" s="42">
        <f>MIN(O343, P343)</f>
        <v/>
      </c>
      <c r="R343" s="43">
        <f>ROUND((Q343*L343)/1000, 2)</f>
        <v/>
      </c>
      <c r="S343" s="44">
        <f>IF($C$8&gt;0, R343/$C$8, 0)</f>
        <v/>
      </c>
      <c r="T343" s="44">
        <f>IF(O343&gt;0, Q343/O343, 0)</f>
        <v/>
      </c>
      <c r="U343" s="12">
        <f>IF(Q343=0, "Exceeds Limit", IF(P343&lt;=O343, "Weight Limited", "Volume Limited"))</f>
        <v/>
      </c>
    </row>
    <row r="344" ht="19" customHeight="1">
      <c r="A344" s="45" t="n">
        <v>334</v>
      </c>
      <c r="B344" s="50" t="inlineStr">
        <is>
          <t>Stainless Steel 304</t>
        </is>
      </c>
      <c r="C344" s="19" t="inlineStr">
        <is>
          <t>ASME B36.19M</t>
        </is>
      </c>
      <c r="D344" s="18" t="inlineStr">
        <is>
          <t>1-1/4''</t>
        </is>
      </c>
      <c r="E344" s="45" t="n">
        <v>32</v>
      </c>
      <c r="F344" s="18" t="inlineStr">
        <is>
          <t>80S</t>
        </is>
      </c>
      <c r="G344" s="20" t="n">
        <v>1.66</v>
      </c>
      <c r="H344" s="47" t="n">
        <v>42.16</v>
      </c>
      <c r="I344" s="20" t="n">
        <v>0.191</v>
      </c>
      <c r="J344" s="47" t="n">
        <v>4.85</v>
      </c>
      <c r="K344" s="20">
        <f>ROUND((H344-J344)*J344*IF(B344="Carbon Steel",$K$7,IF(B344="Stainless Steel 304",$K$8,$L$8)), 3)</f>
        <v/>
      </c>
      <c r="L344" s="47">
        <f>ROUND(K344*$G$5, 2)</f>
        <v/>
      </c>
      <c r="M344" s="45">
        <f>INT($G$6/H344)</f>
        <v/>
      </c>
      <c r="N344" s="45">
        <f>IF(M344=0, 0, IF(OR($K$6="Square Grid", M344=1), INT($G$7/H344), IF($G$7&lt;H344, 0, 1+INT(($G$7-H344)/(0.8660254*H344)))))</f>
        <v/>
      </c>
      <c r="O344" s="48">
        <f>IF(OR(M344=0,N344=0), 0, IF(OR($K$6="Square Grid", M344=1), M344*N344*$K$5, (INT((N344+1)/2)*M344 + INT(N344/2)*IF(($G$6-M344*H344)&gt;=0.5*H344, M344, M344-1))*$K$5))</f>
        <v/>
      </c>
      <c r="P344" s="48">
        <f>IF(L344&lt;=0, 0, INT($G$8/L344))</f>
        <v/>
      </c>
      <c r="Q344" s="42">
        <f>MIN(O344, P344)</f>
        <v/>
      </c>
      <c r="R344" s="43">
        <f>ROUND((Q344*L344)/1000, 2)</f>
        <v/>
      </c>
      <c r="S344" s="49">
        <f>IF($C$8&gt;0, R344/$C$8, 0)</f>
        <v/>
      </c>
      <c r="T344" s="49">
        <f>IF(O344&gt;0, Q344/O344, 0)</f>
        <v/>
      </c>
      <c r="U344" s="18">
        <f>IF(Q344=0, "Exceeds Limit", IF(P344&lt;=O344, "Weight Limited", "Volume Limited"))</f>
        <v/>
      </c>
    </row>
    <row r="345" ht="19" customHeight="1">
      <c r="A345" s="38" t="n">
        <v>335</v>
      </c>
      <c r="B345" s="51" t="inlineStr">
        <is>
          <t>Stainless Steel 304</t>
        </is>
      </c>
      <c r="C345" s="13" t="inlineStr">
        <is>
          <t>ASME B36.19M</t>
        </is>
      </c>
      <c r="D345" s="12" t="inlineStr">
        <is>
          <t>1-1/4''</t>
        </is>
      </c>
      <c r="E345" s="38" t="n">
        <v>32</v>
      </c>
      <c r="F345" s="12" t="inlineStr">
        <is>
          <t>STD</t>
        </is>
      </c>
      <c r="G345" s="14" t="n">
        <v>1.66</v>
      </c>
      <c r="H345" s="40" t="n">
        <v>42.16</v>
      </c>
      <c r="I345" s="14" t="n">
        <v>0.14</v>
      </c>
      <c r="J345" s="40" t="n">
        <v>3.56</v>
      </c>
      <c r="K345" s="14">
        <f>ROUND((H345-J345)*J345*IF(B345="Carbon Steel",$K$7,IF(B345="Stainless Steel 304",$K$8,$L$8)), 3)</f>
        <v/>
      </c>
      <c r="L345" s="40">
        <f>ROUND(K345*$G$5, 2)</f>
        <v/>
      </c>
      <c r="M345" s="38">
        <f>INT($G$6/H345)</f>
        <v/>
      </c>
      <c r="N345" s="38">
        <f>IF(M345=0, 0, IF(OR($K$6="Square Grid", M345=1), INT($G$7/H345), IF($G$7&lt;H345, 0, 1+INT(($G$7-H345)/(0.8660254*H345)))))</f>
        <v/>
      </c>
      <c r="O345" s="41">
        <f>IF(OR(M345=0,N345=0), 0, IF(OR($K$6="Square Grid", M345=1), M345*N345*$K$5, (INT((N345+1)/2)*M345 + INT(N345/2)*IF(($G$6-M345*H345)&gt;=0.5*H345, M345, M345-1))*$K$5))</f>
        <v/>
      </c>
      <c r="P345" s="41">
        <f>IF(L345&lt;=0, 0, INT($G$8/L345))</f>
        <v/>
      </c>
      <c r="Q345" s="42">
        <f>MIN(O345, P345)</f>
        <v/>
      </c>
      <c r="R345" s="43">
        <f>ROUND((Q345*L345)/1000, 2)</f>
        <v/>
      </c>
      <c r="S345" s="44">
        <f>IF($C$8&gt;0, R345/$C$8, 0)</f>
        <v/>
      </c>
      <c r="T345" s="44">
        <f>IF(O345&gt;0, Q345/O345, 0)</f>
        <v/>
      </c>
      <c r="U345" s="12">
        <f>IF(Q345=0, "Exceeds Limit", IF(P345&lt;=O345, "Weight Limited", "Volume Limited"))</f>
        <v/>
      </c>
    </row>
    <row r="346" ht="19" customHeight="1">
      <c r="A346" s="45" t="n">
        <v>336</v>
      </c>
      <c r="B346" s="50" t="inlineStr">
        <is>
          <t>Stainless Steel 304</t>
        </is>
      </c>
      <c r="C346" s="19" t="inlineStr">
        <is>
          <t>ASME B36.19M</t>
        </is>
      </c>
      <c r="D346" s="18" t="inlineStr">
        <is>
          <t>1-1/4''</t>
        </is>
      </c>
      <c r="E346" s="45" t="n">
        <v>32</v>
      </c>
      <c r="F346" s="18" t="inlineStr">
        <is>
          <t>XS</t>
        </is>
      </c>
      <c r="G346" s="20" t="n">
        <v>1.66</v>
      </c>
      <c r="H346" s="47" t="n">
        <v>42.16</v>
      </c>
      <c r="I346" s="20" t="n">
        <v>0.191</v>
      </c>
      <c r="J346" s="47" t="n">
        <v>4.85</v>
      </c>
      <c r="K346" s="20">
        <f>ROUND((H346-J346)*J346*IF(B346="Carbon Steel",$K$7,IF(B346="Stainless Steel 304",$K$8,$L$8)), 3)</f>
        <v/>
      </c>
      <c r="L346" s="47">
        <f>ROUND(K346*$G$5, 2)</f>
        <v/>
      </c>
      <c r="M346" s="45">
        <f>INT($G$6/H346)</f>
        <v/>
      </c>
      <c r="N346" s="45">
        <f>IF(M346=0, 0, IF(OR($K$6="Square Grid", M346=1), INT($G$7/H346), IF($G$7&lt;H346, 0, 1+INT(($G$7-H346)/(0.8660254*H346)))))</f>
        <v/>
      </c>
      <c r="O346" s="48">
        <f>IF(OR(M346=0,N346=0), 0, IF(OR($K$6="Square Grid", M346=1), M346*N346*$K$5, (INT((N346+1)/2)*M346 + INT(N346/2)*IF(($G$6-M346*H346)&gt;=0.5*H346, M346, M346-1))*$K$5))</f>
        <v/>
      </c>
      <c r="P346" s="48">
        <f>IF(L346&lt;=0, 0, INT($G$8/L346))</f>
        <v/>
      </c>
      <c r="Q346" s="42">
        <f>MIN(O346, P346)</f>
        <v/>
      </c>
      <c r="R346" s="43">
        <f>ROUND((Q346*L346)/1000, 2)</f>
        <v/>
      </c>
      <c r="S346" s="49">
        <f>IF($C$8&gt;0, R346/$C$8, 0)</f>
        <v/>
      </c>
      <c r="T346" s="49">
        <f>IF(O346&gt;0, Q346/O346, 0)</f>
        <v/>
      </c>
      <c r="U346" s="18">
        <f>IF(Q346=0, "Exceeds Limit", IF(P346&lt;=O346, "Weight Limited", "Volume Limited"))</f>
        <v/>
      </c>
    </row>
    <row r="347" ht="19" customHeight="1">
      <c r="A347" s="38" t="n">
        <v>337</v>
      </c>
      <c r="B347" s="51" t="inlineStr">
        <is>
          <t>Stainless Steel 304</t>
        </is>
      </c>
      <c r="C347" s="13" t="inlineStr">
        <is>
          <t>ASME B36.19M</t>
        </is>
      </c>
      <c r="D347" s="12" t="inlineStr">
        <is>
          <t>1-1/4''</t>
        </is>
      </c>
      <c r="E347" s="38" t="n">
        <v>32</v>
      </c>
      <c r="F347" s="12" t="inlineStr">
        <is>
          <t>160</t>
        </is>
      </c>
      <c r="G347" s="14" t="n">
        <v>1.66</v>
      </c>
      <c r="H347" s="40" t="n">
        <v>42.16</v>
      </c>
      <c r="I347" s="14" t="n">
        <v>0.25</v>
      </c>
      <c r="J347" s="40" t="n">
        <v>6.35</v>
      </c>
      <c r="K347" s="14">
        <f>ROUND((H347-J347)*J347*IF(B347="Carbon Steel",$K$7,IF(B347="Stainless Steel 304",$K$8,$L$8)), 3)</f>
        <v/>
      </c>
      <c r="L347" s="40">
        <f>ROUND(K347*$G$5, 2)</f>
        <v/>
      </c>
      <c r="M347" s="38">
        <f>INT($G$6/H347)</f>
        <v/>
      </c>
      <c r="N347" s="38">
        <f>IF(M347=0, 0, IF(OR($K$6="Square Grid", M347=1), INT($G$7/H347), IF($G$7&lt;H347, 0, 1+INT(($G$7-H347)/(0.8660254*H347)))))</f>
        <v/>
      </c>
      <c r="O347" s="41">
        <f>IF(OR(M347=0,N347=0), 0, IF(OR($K$6="Square Grid", M347=1), M347*N347*$K$5, (INT((N347+1)/2)*M347 + INT(N347/2)*IF(($G$6-M347*H347)&gt;=0.5*H347, M347, M347-1))*$K$5))</f>
        <v/>
      </c>
      <c r="P347" s="41">
        <f>IF(L347&lt;=0, 0, INT($G$8/L347))</f>
        <v/>
      </c>
      <c r="Q347" s="42">
        <f>MIN(O347, P347)</f>
        <v/>
      </c>
      <c r="R347" s="43">
        <f>ROUND((Q347*L347)/1000, 2)</f>
        <v/>
      </c>
      <c r="S347" s="44">
        <f>IF($C$8&gt;0, R347/$C$8, 0)</f>
        <v/>
      </c>
      <c r="T347" s="44">
        <f>IF(O347&gt;0, Q347/O347, 0)</f>
        <v/>
      </c>
      <c r="U347" s="12">
        <f>IF(Q347=0, "Exceeds Limit", IF(P347&lt;=O347, "Weight Limited", "Volume Limited"))</f>
        <v/>
      </c>
    </row>
    <row r="348" ht="19" customHeight="1">
      <c r="A348" s="45" t="n">
        <v>338</v>
      </c>
      <c r="B348" s="50" t="inlineStr">
        <is>
          <t>Stainless Steel 304</t>
        </is>
      </c>
      <c r="C348" s="19" t="inlineStr">
        <is>
          <t>ASME B36.19M</t>
        </is>
      </c>
      <c r="D348" s="18" t="inlineStr">
        <is>
          <t>1-1/4''</t>
        </is>
      </c>
      <c r="E348" s="45" t="n">
        <v>32</v>
      </c>
      <c r="F348" s="18" t="inlineStr">
        <is>
          <t>XXS</t>
        </is>
      </c>
      <c r="G348" s="20" t="n">
        <v>1.66</v>
      </c>
      <c r="H348" s="47" t="n">
        <v>42.16</v>
      </c>
      <c r="I348" s="20" t="n">
        <v>0.382</v>
      </c>
      <c r="J348" s="47" t="n">
        <v>9.699999999999999</v>
      </c>
      <c r="K348" s="20">
        <f>ROUND((H348-J348)*J348*IF(B348="Carbon Steel",$K$7,IF(B348="Stainless Steel 304",$K$8,$L$8)), 3)</f>
        <v/>
      </c>
      <c r="L348" s="47">
        <f>ROUND(K348*$G$5, 2)</f>
        <v/>
      </c>
      <c r="M348" s="45">
        <f>INT($G$6/H348)</f>
        <v/>
      </c>
      <c r="N348" s="45">
        <f>IF(M348=0, 0, IF(OR($K$6="Square Grid", M348=1), INT($G$7/H348), IF($G$7&lt;H348, 0, 1+INT(($G$7-H348)/(0.8660254*H348)))))</f>
        <v/>
      </c>
      <c r="O348" s="48">
        <f>IF(OR(M348=0,N348=0), 0, IF(OR($K$6="Square Grid", M348=1), M348*N348*$K$5, (INT((N348+1)/2)*M348 + INT(N348/2)*IF(($G$6-M348*H348)&gt;=0.5*H348, M348, M348-1))*$K$5))</f>
        <v/>
      </c>
      <c r="P348" s="48">
        <f>IF(L348&lt;=0, 0, INT($G$8/L348))</f>
        <v/>
      </c>
      <c r="Q348" s="42">
        <f>MIN(O348, P348)</f>
        <v/>
      </c>
      <c r="R348" s="43">
        <f>ROUND((Q348*L348)/1000, 2)</f>
        <v/>
      </c>
      <c r="S348" s="49">
        <f>IF($C$8&gt;0, R348/$C$8, 0)</f>
        <v/>
      </c>
      <c r="T348" s="49">
        <f>IF(O348&gt;0, Q348/O348, 0)</f>
        <v/>
      </c>
      <c r="U348" s="18">
        <f>IF(Q348=0, "Exceeds Limit", IF(P348&lt;=O348, "Weight Limited", "Volume Limited"))</f>
        <v/>
      </c>
    </row>
    <row r="349" ht="19" customHeight="1">
      <c r="A349" s="38" t="n">
        <v>339</v>
      </c>
      <c r="B349" s="51" t="inlineStr">
        <is>
          <t>Stainless Steel 304</t>
        </is>
      </c>
      <c r="C349" s="13" t="inlineStr">
        <is>
          <t>ASME B36.19M</t>
        </is>
      </c>
      <c r="D349" s="12" t="inlineStr">
        <is>
          <t>1-1/2''</t>
        </is>
      </c>
      <c r="E349" s="38" t="n">
        <v>40</v>
      </c>
      <c r="F349" s="12" t="inlineStr">
        <is>
          <t>5S</t>
        </is>
      </c>
      <c r="G349" s="14" t="n">
        <v>1.9</v>
      </c>
      <c r="H349" s="40" t="n">
        <v>48.26</v>
      </c>
      <c r="I349" s="14" t="n">
        <v>0.065</v>
      </c>
      <c r="J349" s="40" t="n">
        <v>1.65</v>
      </c>
      <c r="K349" s="14">
        <f>ROUND((H349-J349)*J349*IF(B349="Carbon Steel",$K$7,IF(B349="Stainless Steel 304",$K$8,$L$8)), 3)</f>
        <v/>
      </c>
      <c r="L349" s="40">
        <f>ROUND(K349*$G$5, 2)</f>
        <v/>
      </c>
      <c r="M349" s="38">
        <f>INT($G$6/H349)</f>
        <v/>
      </c>
      <c r="N349" s="38">
        <f>IF(M349=0, 0, IF(OR($K$6="Square Grid", M349=1), INT($G$7/H349), IF($G$7&lt;H349, 0, 1+INT(($G$7-H349)/(0.8660254*H349)))))</f>
        <v/>
      </c>
      <c r="O349" s="41">
        <f>IF(OR(M349=0,N349=0), 0, IF(OR($K$6="Square Grid", M349=1), M349*N349*$K$5, (INT((N349+1)/2)*M349 + INT(N349/2)*IF(($G$6-M349*H349)&gt;=0.5*H349, M349, M349-1))*$K$5))</f>
        <v/>
      </c>
      <c r="P349" s="41">
        <f>IF(L349&lt;=0, 0, INT($G$8/L349))</f>
        <v/>
      </c>
      <c r="Q349" s="42">
        <f>MIN(O349, P349)</f>
        <v/>
      </c>
      <c r="R349" s="43">
        <f>ROUND((Q349*L349)/1000, 2)</f>
        <v/>
      </c>
      <c r="S349" s="44">
        <f>IF($C$8&gt;0, R349/$C$8, 0)</f>
        <v/>
      </c>
      <c r="T349" s="44">
        <f>IF(O349&gt;0, Q349/O349, 0)</f>
        <v/>
      </c>
      <c r="U349" s="12">
        <f>IF(Q349=0, "Exceeds Limit", IF(P349&lt;=O349, "Weight Limited", "Volume Limited"))</f>
        <v/>
      </c>
    </row>
    <row r="350" ht="19" customHeight="1">
      <c r="A350" s="45" t="n">
        <v>340</v>
      </c>
      <c r="B350" s="50" t="inlineStr">
        <is>
          <t>Stainless Steel 304</t>
        </is>
      </c>
      <c r="C350" s="19" t="inlineStr">
        <is>
          <t>ASME B36.19M</t>
        </is>
      </c>
      <c r="D350" s="18" t="inlineStr">
        <is>
          <t>1-1/2''</t>
        </is>
      </c>
      <c r="E350" s="45" t="n">
        <v>40</v>
      </c>
      <c r="F350" s="18" t="inlineStr">
        <is>
          <t>10S</t>
        </is>
      </c>
      <c r="G350" s="20" t="n">
        <v>1.9</v>
      </c>
      <c r="H350" s="47" t="n">
        <v>48.26</v>
      </c>
      <c r="I350" s="20" t="n">
        <v>0.109</v>
      </c>
      <c r="J350" s="47" t="n">
        <v>2.77</v>
      </c>
      <c r="K350" s="20">
        <f>ROUND((H350-J350)*J350*IF(B350="Carbon Steel",$K$7,IF(B350="Stainless Steel 304",$K$8,$L$8)), 3)</f>
        <v/>
      </c>
      <c r="L350" s="47">
        <f>ROUND(K350*$G$5, 2)</f>
        <v/>
      </c>
      <c r="M350" s="45">
        <f>INT($G$6/H350)</f>
        <v/>
      </c>
      <c r="N350" s="45">
        <f>IF(M350=0, 0, IF(OR($K$6="Square Grid", M350=1), INT($G$7/H350), IF($G$7&lt;H350, 0, 1+INT(($G$7-H350)/(0.8660254*H350)))))</f>
        <v/>
      </c>
      <c r="O350" s="48">
        <f>IF(OR(M350=0,N350=0), 0, IF(OR($K$6="Square Grid", M350=1), M350*N350*$K$5, (INT((N350+1)/2)*M350 + INT(N350/2)*IF(($G$6-M350*H350)&gt;=0.5*H350, M350, M350-1))*$K$5))</f>
        <v/>
      </c>
      <c r="P350" s="48">
        <f>IF(L350&lt;=0, 0, INT($G$8/L350))</f>
        <v/>
      </c>
      <c r="Q350" s="42">
        <f>MIN(O350, P350)</f>
        <v/>
      </c>
      <c r="R350" s="43">
        <f>ROUND((Q350*L350)/1000, 2)</f>
        <v/>
      </c>
      <c r="S350" s="49">
        <f>IF($C$8&gt;0, R350/$C$8, 0)</f>
        <v/>
      </c>
      <c r="T350" s="49">
        <f>IF(O350&gt;0, Q350/O350, 0)</f>
        <v/>
      </c>
      <c r="U350" s="18">
        <f>IF(Q350=0, "Exceeds Limit", IF(P350&lt;=O350, "Weight Limited", "Volume Limited"))</f>
        <v/>
      </c>
    </row>
    <row r="351" ht="19" customHeight="1">
      <c r="A351" s="38" t="n">
        <v>341</v>
      </c>
      <c r="B351" s="51" t="inlineStr">
        <is>
          <t>Stainless Steel 304</t>
        </is>
      </c>
      <c r="C351" s="13" t="inlineStr">
        <is>
          <t>ASME B36.19M</t>
        </is>
      </c>
      <c r="D351" s="12" t="inlineStr">
        <is>
          <t>1-1/2''</t>
        </is>
      </c>
      <c r="E351" s="38" t="n">
        <v>40</v>
      </c>
      <c r="F351" s="12" t="inlineStr">
        <is>
          <t>40S</t>
        </is>
      </c>
      <c r="G351" s="14" t="n">
        <v>1.9</v>
      </c>
      <c r="H351" s="40" t="n">
        <v>48.26</v>
      </c>
      <c r="I351" s="14" t="n">
        <v>0.145</v>
      </c>
      <c r="J351" s="40" t="n">
        <v>3.68</v>
      </c>
      <c r="K351" s="14">
        <f>ROUND((H351-J351)*J351*IF(B351="Carbon Steel",$K$7,IF(B351="Stainless Steel 304",$K$8,$L$8)), 3)</f>
        <v/>
      </c>
      <c r="L351" s="40">
        <f>ROUND(K351*$G$5, 2)</f>
        <v/>
      </c>
      <c r="M351" s="38">
        <f>INT($G$6/H351)</f>
        <v/>
      </c>
      <c r="N351" s="38">
        <f>IF(M351=0, 0, IF(OR($K$6="Square Grid", M351=1), INT($G$7/H351), IF($G$7&lt;H351, 0, 1+INT(($G$7-H351)/(0.8660254*H351)))))</f>
        <v/>
      </c>
      <c r="O351" s="41">
        <f>IF(OR(M351=0,N351=0), 0, IF(OR($K$6="Square Grid", M351=1), M351*N351*$K$5, (INT((N351+1)/2)*M351 + INT(N351/2)*IF(($G$6-M351*H351)&gt;=0.5*H351, M351, M351-1))*$K$5))</f>
        <v/>
      </c>
      <c r="P351" s="41">
        <f>IF(L351&lt;=0, 0, INT($G$8/L351))</f>
        <v/>
      </c>
      <c r="Q351" s="42">
        <f>MIN(O351, P351)</f>
        <v/>
      </c>
      <c r="R351" s="43">
        <f>ROUND((Q351*L351)/1000, 2)</f>
        <v/>
      </c>
      <c r="S351" s="44">
        <f>IF($C$8&gt;0, R351/$C$8, 0)</f>
        <v/>
      </c>
      <c r="T351" s="44">
        <f>IF(O351&gt;0, Q351/O351, 0)</f>
        <v/>
      </c>
      <c r="U351" s="12">
        <f>IF(Q351=0, "Exceeds Limit", IF(P351&lt;=O351, "Weight Limited", "Volume Limited"))</f>
        <v/>
      </c>
    </row>
    <row r="352" ht="19" customHeight="1">
      <c r="A352" s="45" t="n">
        <v>342</v>
      </c>
      <c r="B352" s="50" t="inlineStr">
        <is>
          <t>Stainless Steel 304</t>
        </is>
      </c>
      <c r="C352" s="19" t="inlineStr">
        <is>
          <t>ASME B36.19M</t>
        </is>
      </c>
      <c r="D352" s="18" t="inlineStr">
        <is>
          <t>1-1/2''</t>
        </is>
      </c>
      <c r="E352" s="45" t="n">
        <v>40</v>
      </c>
      <c r="F352" s="18" t="inlineStr">
        <is>
          <t>80S</t>
        </is>
      </c>
      <c r="G352" s="20" t="n">
        <v>1.9</v>
      </c>
      <c r="H352" s="47" t="n">
        <v>48.26</v>
      </c>
      <c r="I352" s="20" t="n">
        <v>0.2</v>
      </c>
      <c r="J352" s="47" t="n">
        <v>5.08</v>
      </c>
      <c r="K352" s="20">
        <f>ROUND((H352-J352)*J352*IF(B352="Carbon Steel",$K$7,IF(B352="Stainless Steel 304",$K$8,$L$8)), 3)</f>
        <v/>
      </c>
      <c r="L352" s="47">
        <f>ROUND(K352*$G$5, 2)</f>
        <v/>
      </c>
      <c r="M352" s="45">
        <f>INT($G$6/H352)</f>
        <v/>
      </c>
      <c r="N352" s="45">
        <f>IF(M352=0, 0, IF(OR($K$6="Square Grid", M352=1), INT($G$7/H352), IF($G$7&lt;H352, 0, 1+INT(($G$7-H352)/(0.8660254*H352)))))</f>
        <v/>
      </c>
      <c r="O352" s="48">
        <f>IF(OR(M352=0,N352=0), 0, IF(OR($K$6="Square Grid", M352=1), M352*N352*$K$5, (INT((N352+1)/2)*M352 + INT(N352/2)*IF(($G$6-M352*H352)&gt;=0.5*H352, M352, M352-1))*$K$5))</f>
        <v/>
      </c>
      <c r="P352" s="48">
        <f>IF(L352&lt;=0, 0, INT($G$8/L352))</f>
        <v/>
      </c>
      <c r="Q352" s="42">
        <f>MIN(O352, P352)</f>
        <v/>
      </c>
      <c r="R352" s="43">
        <f>ROUND((Q352*L352)/1000, 2)</f>
        <v/>
      </c>
      <c r="S352" s="49">
        <f>IF($C$8&gt;0, R352/$C$8, 0)</f>
        <v/>
      </c>
      <c r="T352" s="49">
        <f>IF(O352&gt;0, Q352/O352, 0)</f>
        <v/>
      </c>
      <c r="U352" s="18">
        <f>IF(Q352=0, "Exceeds Limit", IF(P352&lt;=O352, "Weight Limited", "Volume Limited"))</f>
        <v/>
      </c>
    </row>
    <row r="353" ht="19" customHeight="1">
      <c r="A353" s="38" t="n">
        <v>343</v>
      </c>
      <c r="B353" s="51" t="inlineStr">
        <is>
          <t>Stainless Steel 304</t>
        </is>
      </c>
      <c r="C353" s="13" t="inlineStr">
        <is>
          <t>ASME B36.19M</t>
        </is>
      </c>
      <c r="D353" s="12" t="inlineStr">
        <is>
          <t>1-1/2''</t>
        </is>
      </c>
      <c r="E353" s="38" t="n">
        <v>40</v>
      </c>
      <c r="F353" s="12" t="inlineStr">
        <is>
          <t>STD</t>
        </is>
      </c>
      <c r="G353" s="14" t="n">
        <v>1.9</v>
      </c>
      <c r="H353" s="40" t="n">
        <v>48.26</v>
      </c>
      <c r="I353" s="14" t="n">
        <v>0.145</v>
      </c>
      <c r="J353" s="40" t="n">
        <v>3.68</v>
      </c>
      <c r="K353" s="14">
        <f>ROUND((H353-J353)*J353*IF(B353="Carbon Steel",$K$7,IF(B353="Stainless Steel 304",$K$8,$L$8)), 3)</f>
        <v/>
      </c>
      <c r="L353" s="40">
        <f>ROUND(K353*$G$5, 2)</f>
        <v/>
      </c>
      <c r="M353" s="38">
        <f>INT($G$6/H353)</f>
        <v/>
      </c>
      <c r="N353" s="38">
        <f>IF(M353=0, 0, IF(OR($K$6="Square Grid", M353=1), INT($G$7/H353), IF($G$7&lt;H353, 0, 1+INT(($G$7-H353)/(0.8660254*H353)))))</f>
        <v/>
      </c>
      <c r="O353" s="41">
        <f>IF(OR(M353=0,N353=0), 0, IF(OR($K$6="Square Grid", M353=1), M353*N353*$K$5, (INT((N353+1)/2)*M353 + INT(N353/2)*IF(($G$6-M353*H353)&gt;=0.5*H353, M353, M353-1))*$K$5))</f>
        <v/>
      </c>
      <c r="P353" s="41">
        <f>IF(L353&lt;=0, 0, INT($G$8/L353))</f>
        <v/>
      </c>
      <c r="Q353" s="42">
        <f>MIN(O353, P353)</f>
        <v/>
      </c>
      <c r="R353" s="43">
        <f>ROUND((Q353*L353)/1000, 2)</f>
        <v/>
      </c>
      <c r="S353" s="44">
        <f>IF($C$8&gt;0, R353/$C$8, 0)</f>
        <v/>
      </c>
      <c r="T353" s="44">
        <f>IF(O353&gt;0, Q353/O353, 0)</f>
        <v/>
      </c>
      <c r="U353" s="12">
        <f>IF(Q353=0, "Exceeds Limit", IF(P353&lt;=O353, "Weight Limited", "Volume Limited"))</f>
        <v/>
      </c>
    </row>
    <row r="354" ht="19" customHeight="1">
      <c r="A354" s="45" t="n">
        <v>344</v>
      </c>
      <c r="B354" s="50" t="inlineStr">
        <is>
          <t>Stainless Steel 304</t>
        </is>
      </c>
      <c r="C354" s="19" t="inlineStr">
        <is>
          <t>ASME B36.19M</t>
        </is>
      </c>
      <c r="D354" s="18" t="inlineStr">
        <is>
          <t>1-1/2''</t>
        </is>
      </c>
      <c r="E354" s="45" t="n">
        <v>40</v>
      </c>
      <c r="F354" s="18" t="inlineStr">
        <is>
          <t>XS</t>
        </is>
      </c>
      <c r="G354" s="20" t="n">
        <v>1.9</v>
      </c>
      <c r="H354" s="47" t="n">
        <v>48.26</v>
      </c>
      <c r="I354" s="20" t="n">
        <v>0.2</v>
      </c>
      <c r="J354" s="47" t="n">
        <v>5.08</v>
      </c>
      <c r="K354" s="20">
        <f>ROUND((H354-J354)*J354*IF(B354="Carbon Steel",$K$7,IF(B354="Stainless Steel 304",$K$8,$L$8)), 3)</f>
        <v/>
      </c>
      <c r="L354" s="47">
        <f>ROUND(K354*$G$5, 2)</f>
        <v/>
      </c>
      <c r="M354" s="45">
        <f>INT($G$6/H354)</f>
        <v/>
      </c>
      <c r="N354" s="45">
        <f>IF(M354=0, 0, IF(OR($K$6="Square Grid", M354=1), INT($G$7/H354), IF($G$7&lt;H354, 0, 1+INT(($G$7-H354)/(0.8660254*H354)))))</f>
        <v/>
      </c>
      <c r="O354" s="48">
        <f>IF(OR(M354=0,N354=0), 0, IF(OR($K$6="Square Grid", M354=1), M354*N354*$K$5, (INT((N354+1)/2)*M354 + INT(N354/2)*IF(($G$6-M354*H354)&gt;=0.5*H354, M354, M354-1))*$K$5))</f>
        <v/>
      </c>
      <c r="P354" s="48">
        <f>IF(L354&lt;=0, 0, INT($G$8/L354))</f>
        <v/>
      </c>
      <c r="Q354" s="42">
        <f>MIN(O354, P354)</f>
        <v/>
      </c>
      <c r="R354" s="43">
        <f>ROUND((Q354*L354)/1000, 2)</f>
        <v/>
      </c>
      <c r="S354" s="49">
        <f>IF($C$8&gt;0, R354/$C$8, 0)</f>
        <v/>
      </c>
      <c r="T354" s="49">
        <f>IF(O354&gt;0, Q354/O354, 0)</f>
        <v/>
      </c>
      <c r="U354" s="18">
        <f>IF(Q354=0, "Exceeds Limit", IF(P354&lt;=O354, "Weight Limited", "Volume Limited"))</f>
        <v/>
      </c>
    </row>
    <row r="355" ht="19" customHeight="1">
      <c r="A355" s="38" t="n">
        <v>345</v>
      </c>
      <c r="B355" s="51" t="inlineStr">
        <is>
          <t>Stainless Steel 304</t>
        </is>
      </c>
      <c r="C355" s="13" t="inlineStr">
        <is>
          <t>ASME B36.19M</t>
        </is>
      </c>
      <c r="D355" s="12" t="inlineStr">
        <is>
          <t>1-1/2''</t>
        </is>
      </c>
      <c r="E355" s="38" t="n">
        <v>40</v>
      </c>
      <c r="F355" s="12" t="inlineStr">
        <is>
          <t>160</t>
        </is>
      </c>
      <c r="G355" s="14" t="n">
        <v>1.9</v>
      </c>
      <c r="H355" s="40" t="n">
        <v>48.26</v>
      </c>
      <c r="I355" s="14" t="n">
        <v>0.281</v>
      </c>
      <c r="J355" s="40" t="n">
        <v>7.14</v>
      </c>
      <c r="K355" s="14">
        <f>ROUND((H355-J355)*J355*IF(B355="Carbon Steel",$K$7,IF(B355="Stainless Steel 304",$K$8,$L$8)), 3)</f>
        <v/>
      </c>
      <c r="L355" s="40">
        <f>ROUND(K355*$G$5, 2)</f>
        <v/>
      </c>
      <c r="M355" s="38">
        <f>INT($G$6/H355)</f>
        <v/>
      </c>
      <c r="N355" s="38">
        <f>IF(M355=0, 0, IF(OR($K$6="Square Grid", M355=1), INT($G$7/H355), IF($G$7&lt;H355, 0, 1+INT(($G$7-H355)/(0.8660254*H355)))))</f>
        <v/>
      </c>
      <c r="O355" s="41">
        <f>IF(OR(M355=0,N355=0), 0, IF(OR($K$6="Square Grid", M355=1), M355*N355*$K$5, (INT((N355+1)/2)*M355 + INT(N355/2)*IF(($G$6-M355*H355)&gt;=0.5*H355, M355, M355-1))*$K$5))</f>
        <v/>
      </c>
      <c r="P355" s="41">
        <f>IF(L355&lt;=0, 0, INT($G$8/L355))</f>
        <v/>
      </c>
      <c r="Q355" s="42">
        <f>MIN(O355, P355)</f>
        <v/>
      </c>
      <c r="R355" s="43">
        <f>ROUND((Q355*L355)/1000, 2)</f>
        <v/>
      </c>
      <c r="S355" s="44">
        <f>IF($C$8&gt;0, R355/$C$8, 0)</f>
        <v/>
      </c>
      <c r="T355" s="44">
        <f>IF(O355&gt;0, Q355/O355, 0)</f>
        <v/>
      </c>
      <c r="U355" s="12">
        <f>IF(Q355=0, "Exceeds Limit", IF(P355&lt;=O355, "Weight Limited", "Volume Limited"))</f>
        <v/>
      </c>
    </row>
    <row r="356" ht="19" customHeight="1">
      <c r="A356" s="45" t="n">
        <v>346</v>
      </c>
      <c r="B356" s="50" t="inlineStr">
        <is>
          <t>Stainless Steel 304</t>
        </is>
      </c>
      <c r="C356" s="19" t="inlineStr">
        <is>
          <t>ASME B36.19M</t>
        </is>
      </c>
      <c r="D356" s="18" t="inlineStr">
        <is>
          <t>1-1/2''</t>
        </is>
      </c>
      <c r="E356" s="45" t="n">
        <v>40</v>
      </c>
      <c r="F356" s="18" t="inlineStr">
        <is>
          <t>XXS</t>
        </is>
      </c>
      <c r="G356" s="20" t="n">
        <v>1.9</v>
      </c>
      <c r="H356" s="47" t="n">
        <v>48.26</v>
      </c>
      <c r="I356" s="20" t="n">
        <v>0.4</v>
      </c>
      <c r="J356" s="47" t="n">
        <v>10.16</v>
      </c>
      <c r="K356" s="20">
        <f>ROUND((H356-J356)*J356*IF(B356="Carbon Steel",$K$7,IF(B356="Stainless Steel 304",$K$8,$L$8)), 3)</f>
        <v/>
      </c>
      <c r="L356" s="47">
        <f>ROUND(K356*$G$5, 2)</f>
        <v/>
      </c>
      <c r="M356" s="45">
        <f>INT($G$6/H356)</f>
        <v/>
      </c>
      <c r="N356" s="45">
        <f>IF(M356=0, 0, IF(OR($K$6="Square Grid", M356=1), INT($G$7/H356), IF($G$7&lt;H356, 0, 1+INT(($G$7-H356)/(0.8660254*H356)))))</f>
        <v/>
      </c>
      <c r="O356" s="48">
        <f>IF(OR(M356=0,N356=0), 0, IF(OR($K$6="Square Grid", M356=1), M356*N356*$K$5, (INT((N356+1)/2)*M356 + INT(N356/2)*IF(($G$6-M356*H356)&gt;=0.5*H356, M356, M356-1))*$K$5))</f>
        <v/>
      </c>
      <c r="P356" s="48">
        <f>IF(L356&lt;=0, 0, INT($G$8/L356))</f>
        <v/>
      </c>
      <c r="Q356" s="42">
        <f>MIN(O356, P356)</f>
        <v/>
      </c>
      <c r="R356" s="43">
        <f>ROUND((Q356*L356)/1000, 2)</f>
        <v/>
      </c>
      <c r="S356" s="49">
        <f>IF($C$8&gt;0, R356/$C$8, 0)</f>
        <v/>
      </c>
      <c r="T356" s="49">
        <f>IF(O356&gt;0, Q356/O356, 0)</f>
        <v/>
      </c>
      <c r="U356" s="18">
        <f>IF(Q356=0, "Exceeds Limit", IF(P356&lt;=O356, "Weight Limited", "Volume Limited"))</f>
        <v/>
      </c>
    </row>
    <row r="357" ht="19" customHeight="1">
      <c r="A357" s="38" t="n">
        <v>347</v>
      </c>
      <c r="B357" s="51" t="inlineStr">
        <is>
          <t>Stainless Steel 304</t>
        </is>
      </c>
      <c r="C357" s="13" t="inlineStr">
        <is>
          <t>ASME B36.19M</t>
        </is>
      </c>
      <c r="D357" s="12" t="inlineStr">
        <is>
          <t>2''</t>
        </is>
      </c>
      <c r="E357" s="38" t="n">
        <v>50</v>
      </c>
      <c r="F357" s="12" t="inlineStr">
        <is>
          <t>5S</t>
        </is>
      </c>
      <c r="G357" s="14" t="n">
        <v>2.375</v>
      </c>
      <c r="H357" s="40" t="n">
        <v>60.32</v>
      </c>
      <c r="I357" s="14" t="n">
        <v>0.065</v>
      </c>
      <c r="J357" s="40" t="n">
        <v>1.65</v>
      </c>
      <c r="K357" s="14">
        <f>ROUND((H357-J357)*J357*IF(B357="Carbon Steel",$K$7,IF(B357="Stainless Steel 304",$K$8,$L$8)), 3)</f>
        <v/>
      </c>
      <c r="L357" s="40">
        <f>ROUND(K357*$G$5, 2)</f>
        <v/>
      </c>
      <c r="M357" s="38">
        <f>INT($G$6/H357)</f>
        <v/>
      </c>
      <c r="N357" s="38">
        <f>IF(M357=0, 0, IF(OR($K$6="Square Grid", M357=1), INT($G$7/H357), IF($G$7&lt;H357, 0, 1+INT(($G$7-H357)/(0.8660254*H357)))))</f>
        <v/>
      </c>
      <c r="O357" s="41">
        <f>IF(OR(M357=0,N357=0), 0, IF(OR($K$6="Square Grid", M357=1), M357*N357*$K$5, (INT((N357+1)/2)*M357 + INT(N357/2)*IF(($G$6-M357*H357)&gt;=0.5*H357, M357, M357-1))*$K$5))</f>
        <v/>
      </c>
      <c r="P357" s="41">
        <f>IF(L357&lt;=0, 0, INT($G$8/L357))</f>
        <v/>
      </c>
      <c r="Q357" s="42">
        <f>MIN(O357, P357)</f>
        <v/>
      </c>
      <c r="R357" s="43">
        <f>ROUND((Q357*L357)/1000, 2)</f>
        <v/>
      </c>
      <c r="S357" s="44">
        <f>IF($C$8&gt;0, R357/$C$8, 0)</f>
        <v/>
      </c>
      <c r="T357" s="44">
        <f>IF(O357&gt;0, Q357/O357, 0)</f>
        <v/>
      </c>
      <c r="U357" s="12">
        <f>IF(Q357=0, "Exceeds Limit", IF(P357&lt;=O357, "Weight Limited", "Volume Limited"))</f>
        <v/>
      </c>
    </row>
    <row r="358" ht="19" customHeight="1">
      <c r="A358" s="45" t="n">
        <v>348</v>
      </c>
      <c r="B358" s="50" t="inlineStr">
        <is>
          <t>Stainless Steel 304</t>
        </is>
      </c>
      <c r="C358" s="19" t="inlineStr">
        <is>
          <t>ASME B36.19M</t>
        </is>
      </c>
      <c r="D358" s="18" t="inlineStr">
        <is>
          <t>2''</t>
        </is>
      </c>
      <c r="E358" s="45" t="n">
        <v>50</v>
      </c>
      <c r="F358" s="18" t="inlineStr">
        <is>
          <t>10S</t>
        </is>
      </c>
      <c r="G358" s="20" t="n">
        <v>2.375</v>
      </c>
      <c r="H358" s="47" t="n">
        <v>60.32</v>
      </c>
      <c r="I358" s="20" t="n">
        <v>0.109</v>
      </c>
      <c r="J358" s="47" t="n">
        <v>2.77</v>
      </c>
      <c r="K358" s="20">
        <f>ROUND((H358-J358)*J358*IF(B358="Carbon Steel",$K$7,IF(B358="Stainless Steel 304",$K$8,$L$8)), 3)</f>
        <v/>
      </c>
      <c r="L358" s="47">
        <f>ROUND(K358*$G$5, 2)</f>
        <v/>
      </c>
      <c r="M358" s="45">
        <f>INT($G$6/H358)</f>
        <v/>
      </c>
      <c r="N358" s="45">
        <f>IF(M358=0, 0, IF(OR($K$6="Square Grid", M358=1), INT($G$7/H358), IF($G$7&lt;H358, 0, 1+INT(($G$7-H358)/(0.8660254*H358)))))</f>
        <v/>
      </c>
      <c r="O358" s="48">
        <f>IF(OR(M358=0,N358=0), 0, IF(OR($K$6="Square Grid", M358=1), M358*N358*$K$5, (INT((N358+1)/2)*M358 + INT(N358/2)*IF(($G$6-M358*H358)&gt;=0.5*H358, M358, M358-1))*$K$5))</f>
        <v/>
      </c>
      <c r="P358" s="48">
        <f>IF(L358&lt;=0, 0, INT($G$8/L358))</f>
        <v/>
      </c>
      <c r="Q358" s="42">
        <f>MIN(O358, P358)</f>
        <v/>
      </c>
      <c r="R358" s="43">
        <f>ROUND((Q358*L358)/1000, 2)</f>
        <v/>
      </c>
      <c r="S358" s="49">
        <f>IF($C$8&gt;0, R358/$C$8, 0)</f>
        <v/>
      </c>
      <c r="T358" s="49">
        <f>IF(O358&gt;0, Q358/O358, 0)</f>
        <v/>
      </c>
      <c r="U358" s="18">
        <f>IF(Q358=0, "Exceeds Limit", IF(P358&lt;=O358, "Weight Limited", "Volume Limited"))</f>
        <v/>
      </c>
    </row>
    <row r="359" ht="19" customHeight="1">
      <c r="A359" s="38" t="n">
        <v>349</v>
      </c>
      <c r="B359" s="51" t="inlineStr">
        <is>
          <t>Stainless Steel 304</t>
        </is>
      </c>
      <c r="C359" s="13" t="inlineStr">
        <is>
          <t>ASME B36.19M</t>
        </is>
      </c>
      <c r="D359" s="12" t="inlineStr">
        <is>
          <t>2''</t>
        </is>
      </c>
      <c r="E359" s="38" t="n">
        <v>50</v>
      </c>
      <c r="F359" s="12" t="inlineStr">
        <is>
          <t>40S</t>
        </is>
      </c>
      <c r="G359" s="14" t="n">
        <v>2.375</v>
      </c>
      <c r="H359" s="40" t="n">
        <v>60.32</v>
      </c>
      <c r="I359" s="14" t="n">
        <v>0.154</v>
      </c>
      <c r="J359" s="40" t="n">
        <v>3.91</v>
      </c>
      <c r="K359" s="14">
        <f>ROUND((H359-J359)*J359*IF(B359="Carbon Steel",$K$7,IF(B359="Stainless Steel 304",$K$8,$L$8)), 3)</f>
        <v/>
      </c>
      <c r="L359" s="40">
        <f>ROUND(K359*$G$5, 2)</f>
        <v/>
      </c>
      <c r="M359" s="38">
        <f>INT($G$6/H359)</f>
        <v/>
      </c>
      <c r="N359" s="38">
        <f>IF(M359=0, 0, IF(OR($K$6="Square Grid", M359=1), INT($G$7/H359), IF($G$7&lt;H359, 0, 1+INT(($G$7-H359)/(0.8660254*H359)))))</f>
        <v/>
      </c>
      <c r="O359" s="41">
        <f>IF(OR(M359=0,N359=0), 0, IF(OR($K$6="Square Grid", M359=1), M359*N359*$K$5, (INT((N359+1)/2)*M359 + INT(N359/2)*IF(($G$6-M359*H359)&gt;=0.5*H359, M359, M359-1))*$K$5))</f>
        <v/>
      </c>
      <c r="P359" s="41">
        <f>IF(L359&lt;=0, 0, INT($G$8/L359))</f>
        <v/>
      </c>
      <c r="Q359" s="42">
        <f>MIN(O359, P359)</f>
        <v/>
      </c>
      <c r="R359" s="43">
        <f>ROUND((Q359*L359)/1000, 2)</f>
        <v/>
      </c>
      <c r="S359" s="44">
        <f>IF($C$8&gt;0, R359/$C$8, 0)</f>
        <v/>
      </c>
      <c r="T359" s="44">
        <f>IF(O359&gt;0, Q359/O359, 0)</f>
        <v/>
      </c>
      <c r="U359" s="12">
        <f>IF(Q359=0, "Exceeds Limit", IF(P359&lt;=O359, "Weight Limited", "Volume Limited"))</f>
        <v/>
      </c>
    </row>
    <row r="360" ht="19" customHeight="1">
      <c r="A360" s="45" t="n">
        <v>350</v>
      </c>
      <c r="B360" s="50" t="inlineStr">
        <is>
          <t>Stainless Steel 304</t>
        </is>
      </c>
      <c r="C360" s="19" t="inlineStr">
        <is>
          <t>ASME B36.19M</t>
        </is>
      </c>
      <c r="D360" s="18" t="inlineStr">
        <is>
          <t>2''</t>
        </is>
      </c>
      <c r="E360" s="45" t="n">
        <v>50</v>
      </c>
      <c r="F360" s="18" t="inlineStr">
        <is>
          <t>80S</t>
        </is>
      </c>
      <c r="G360" s="20" t="n">
        <v>2.375</v>
      </c>
      <c r="H360" s="47" t="n">
        <v>60.32</v>
      </c>
      <c r="I360" s="20" t="n">
        <v>0.218</v>
      </c>
      <c r="J360" s="47" t="n">
        <v>5.54</v>
      </c>
      <c r="K360" s="20">
        <f>ROUND((H360-J360)*J360*IF(B360="Carbon Steel",$K$7,IF(B360="Stainless Steel 304",$K$8,$L$8)), 3)</f>
        <v/>
      </c>
      <c r="L360" s="47">
        <f>ROUND(K360*$G$5, 2)</f>
        <v/>
      </c>
      <c r="M360" s="45">
        <f>INT($G$6/H360)</f>
        <v/>
      </c>
      <c r="N360" s="45">
        <f>IF(M360=0, 0, IF(OR($K$6="Square Grid", M360=1), INT($G$7/H360), IF($G$7&lt;H360, 0, 1+INT(($G$7-H360)/(0.8660254*H360)))))</f>
        <v/>
      </c>
      <c r="O360" s="48">
        <f>IF(OR(M360=0,N360=0), 0, IF(OR($K$6="Square Grid", M360=1), M360*N360*$K$5, (INT((N360+1)/2)*M360 + INT(N360/2)*IF(($G$6-M360*H360)&gt;=0.5*H360, M360, M360-1))*$K$5))</f>
        <v/>
      </c>
      <c r="P360" s="48">
        <f>IF(L360&lt;=0, 0, INT($G$8/L360))</f>
        <v/>
      </c>
      <c r="Q360" s="42">
        <f>MIN(O360, P360)</f>
        <v/>
      </c>
      <c r="R360" s="43">
        <f>ROUND((Q360*L360)/1000, 2)</f>
        <v/>
      </c>
      <c r="S360" s="49">
        <f>IF($C$8&gt;0, R360/$C$8, 0)</f>
        <v/>
      </c>
      <c r="T360" s="49">
        <f>IF(O360&gt;0, Q360/O360, 0)</f>
        <v/>
      </c>
      <c r="U360" s="18">
        <f>IF(Q360=0, "Exceeds Limit", IF(P360&lt;=O360, "Weight Limited", "Volume Limited"))</f>
        <v/>
      </c>
    </row>
    <row r="361" ht="19" customHeight="1">
      <c r="A361" s="38" t="n">
        <v>351</v>
      </c>
      <c r="B361" s="51" t="inlineStr">
        <is>
          <t>Stainless Steel 304</t>
        </is>
      </c>
      <c r="C361" s="13" t="inlineStr">
        <is>
          <t>ASME B36.19M</t>
        </is>
      </c>
      <c r="D361" s="12" t="inlineStr">
        <is>
          <t>2''</t>
        </is>
      </c>
      <c r="E361" s="38" t="n">
        <v>50</v>
      </c>
      <c r="F361" s="12" t="inlineStr">
        <is>
          <t>STD</t>
        </is>
      </c>
      <c r="G361" s="14" t="n">
        <v>2.375</v>
      </c>
      <c r="H361" s="40" t="n">
        <v>60.32</v>
      </c>
      <c r="I361" s="14" t="n">
        <v>0.154</v>
      </c>
      <c r="J361" s="40" t="n">
        <v>3.91</v>
      </c>
      <c r="K361" s="14">
        <f>ROUND((H361-J361)*J361*IF(B361="Carbon Steel",$K$7,IF(B361="Stainless Steel 304",$K$8,$L$8)), 3)</f>
        <v/>
      </c>
      <c r="L361" s="40">
        <f>ROUND(K361*$G$5, 2)</f>
        <v/>
      </c>
      <c r="M361" s="38">
        <f>INT($G$6/H361)</f>
        <v/>
      </c>
      <c r="N361" s="38">
        <f>IF(M361=0, 0, IF(OR($K$6="Square Grid", M361=1), INT($G$7/H361), IF($G$7&lt;H361, 0, 1+INT(($G$7-H361)/(0.8660254*H361)))))</f>
        <v/>
      </c>
      <c r="O361" s="41">
        <f>IF(OR(M361=0,N361=0), 0, IF(OR($K$6="Square Grid", M361=1), M361*N361*$K$5, (INT((N361+1)/2)*M361 + INT(N361/2)*IF(($G$6-M361*H361)&gt;=0.5*H361, M361, M361-1))*$K$5))</f>
        <v/>
      </c>
      <c r="P361" s="41">
        <f>IF(L361&lt;=0, 0, INT($G$8/L361))</f>
        <v/>
      </c>
      <c r="Q361" s="42">
        <f>MIN(O361, P361)</f>
        <v/>
      </c>
      <c r="R361" s="43">
        <f>ROUND((Q361*L361)/1000, 2)</f>
        <v/>
      </c>
      <c r="S361" s="44">
        <f>IF($C$8&gt;0, R361/$C$8, 0)</f>
        <v/>
      </c>
      <c r="T361" s="44">
        <f>IF(O361&gt;0, Q361/O361, 0)</f>
        <v/>
      </c>
      <c r="U361" s="12">
        <f>IF(Q361=0, "Exceeds Limit", IF(P361&lt;=O361, "Weight Limited", "Volume Limited"))</f>
        <v/>
      </c>
    </row>
    <row r="362" ht="19" customHeight="1">
      <c r="A362" s="45" t="n">
        <v>352</v>
      </c>
      <c r="B362" s="50" t="inlineStr">
        <is>
          <t>Stainless Steel 304</t>
        </is>
      </c>
      <c r="C362" s="19" t="inlineStr">
        <is>
          <t>ASME B36.19M</t>
        </is>
      </c>
      <c r="D362" s="18" t="inlineStr">
        <is>
          <t>2''</t>
        </is>
      </c>
      <c r="E362" s="45" t="n">
        <v>50</v>
      </c>
      <c r="F362" s="18" t="inlineStr">
        <is>
          <t>XS</t>
        </is>
      </c>
      <c r="G362" s="20" t="n">
        <v>2.375</v>
      </c>
      <c r="H362" s="47" t="n">
        <v>60.32</v>
      </c>
      <c r="I362" s="20" t="n">
        <v>0.218</v>
      </c>
      <c r="J362" s="47" t="n">
        <v>5.54</v>
      </c>
      <c r="K362" s="20">
        <f>ROUND((H362-J362)*J362*IF(B362="Carbon Steel",$K$7,IF(B362="Stainless Steel 304",$K$8,$L$8)), 3)</f>
        <v/>
      </c>
      <c r="L362" s="47">
        <f>ROUND(K362*$G$5, 2)</f>
        <v/>
      </c>
      <c r="M362" s="45">
        <f>INT($G$6/H362)</f>
        <v/>
      </c>
      <c r="N362" s="45">
        <f>IF(M362=0, 0, IF(OR($K$6="Square Grid", M362=1), INT($G$7/H362), IF($G$7&lt;H362, 0, 1+INT(($G$7-H362)/(0.8660254*H362)))))</f>
        <v/>
      </c>
      <c r="O362" s="48">
        <f>IF(OR(M362=0,N362=0), 0, IF(OR($K$6="Square Grid", M362=1), M362*N362*$K$5, (INT((N362+1)/2)*M362 + INT(N362/2)*IF(($G$6-M362*H362)&gt;=0.5*H362, M362, M362-1))*$K$5))</f>
        <v/>
      </c>
      <c r="P362" s="48">
        <f>IF(L362&lt;=0, 0, INT($G$8/L362))</f>
        <v/>
      </c>
      <c r="Q362" s="42">
        <f>MIN(O362, P362)</f>
        <v/>
      </c>
      <c r="R362" s="43">
        <f>ROUND((Q362*L362)/1000, 2)</f>
        <v/>
      </c>
      <c r="S362" s="49">
        <f>IF($C$8&gt;0, R362/$C$8, 0)</f>
        <v/>
      </c>
      <c r="T362" s="49">
        <f>IF(O362&gt;0, Q362/O362, 0)</f>
        <v/>
      </c>
      <c r="U362" s="18">
        <f>IF(Q362=0, "Exceeds Limit", IF(P362&lt;=O362, "Weight Limited", "Volume Limited"))</f>
        <v/>
      </c>
    </row>
    <row r="363" ht="19" customHeight="1">
      <c r="A363" s="38" t="n">
        <v>353</v>
      </c>
      <c r="B363" s="51" t="inlineStr">
        <is>
          <t>Stainless Steel 304</t>
        </is>
      </c>
      <c r="C363" s="13" t="inlineStr">
        <is>
          <t>ASME B36.19M</t>
        </is>
      </c>
      <c r="D363" s="12" t="inlineStr">
        <is>
          <t>2''</t>
        </is>
      </c>
      <c r="E363" s="38" t="n">
        <v>50</v>
      </c>
      <c r="F363" s="12" t="inlineStr">
        <is>
          <t>160</t>
        </is>
      </c>
      <c r="G363" s="14" t="n">
        <v>2.375</v>
      </c>
      <c r="H363" s="40" t="n">
        <v>60.32</v>
      </c>
      <c r="I363" s="14" t="n">
        <v>0.344</v>
      </c>
      <c r="J363" s="40" t="n">
        <v>8.74</v>
      </c>
      <c r="K363" s="14">
        <f>ROUND((H363-J363)*J363*IF(B363="Carbon Steel",$K$7,IF(B363="Stainless Steel 304",$K$8,$L$8)), 3)</f>
        <v/>
      </c>
      <c r="L363" s="40">
        <f>ROUND(K363*$G$5, 2)</f>
        <v/>
      </c>
      <c r="M363" s="38">
        <f>INT($G$6/H363)</f>
        <v/>
      </c>
      <c r="N363" s="38">
        <f>IF(M363=0, 0, IF(OR($K$6="Square Grid", M363=1), INT($G$7/H363), IF($G$7&lt;H363, 0, 1+INT(($G$7-H363)/(0.8660254*H363)))))</f>
        <v/>
      </c>
      <c r="O363" s="41">
        <f>IF(OR(M363=0,N363=0), 0, IF(OR($K$6="Square Grid", M363=1), M363*N363*$K$5, (INT((N363+1)/2)*M363 + INT(N363/2)*IF(($G$6-M363*H363)&gt;=0.5*H363, M363, M363-1))*$K$5))</f>
        <v/>
      </c>
      <c r="P363" s="41">
        <f>IF(L363&lt;=0, 0, INT($G$8/L363))</f>
        <v/>
      </c>
      <c r="Q363" s="42">
        <f>MIN(O363, P363)</f>
        <v/>
      </c>
      <c r="R363" s="43">
        <f>ROUND((Q363*L363)/1000, 2)</f>
        <v/>
      </c>
      <c r="S363" s="44">
        <f>IF($C$8&gt;0, R363/$C$8, 0)</f>
        <v/>
      </c>
      <c r="T363" s="44">
        <f>IF(O363&gt;0, Q363/O363, 0)</f>
        <v/>
      </c>
      <c r="U363" s="12">
        <f>IF(Q363=0, "Exceeds Limit", IF(P363&lt;=O363, "Weight Limited", "Volume Limited"))</f>
        <v/>
      </c>
    </row>
    <row r="364" ht="19" customHeight="1">
      <c r="A364" s="45" t="n">
        <v>354</v>
      </c>
      <c r="B364" s="50" t="inlineStr">
        <is>
          <t>Stainless Steel 304</t>
        </is>
      </c>
      <c r="C364" s="19" t="inlineStr">
        <is>
          <t>ASME B36.19M</t>
        </is>
      </c>
      <c r="D364" s="18" t="inlineStr">
        <is>
          <t>2''</t>
        </is>
      </c>
      <c r="E364" s="45" t="n">
        <v>50</v>
      </c>
      <c r="F364" s="18" t="inlineStr">
        <is>
          <t>XXS</t>
        </is>
      </c>
      <c r="G364" s="20" t="n">
        <v>2.375</v>
      </c>
      <c r="H364" s="47" t="n">
        <v>60.32</v>
      </c>
      <c r="I364" s="20" t="n">
        <v>0.436</v>
      </c>
      <c r="J364" s="47" t="n">
        <v>11.07</v>
      </c>
      <c r="K364" s="20">
        <f>ROUND((H364-J364)*J364*IF(B364="Carbon Steel",$K$7,IF(B364="Stainless Steel 304",$K$8,$L$8)), 3)</f>
        <v/>
      </c>
      <c r="L364" s="47">
        <f>ROUND(K364*$G$5, 2)</f>
        <v/>
      </c>
      <c r="M364" s="45">
        <f>INT($G$6/H364)</f>
        <v/>
      </c>
      <c r="N364" s="45">
        <f>IF(M364=0, 0, IF(OR($K$6="Square Grid", M364=1), INT($G$7/H364), IF($G$7&lt;H364, 0, 1+INT(($G$7-H364)/(0.8660254*H364)))))</f>
        <v/>
      </c>
      <c r="O364" s="48">
        <f>IF(OR(M364=0,N364=0), 0, IF(OR($K$6="Square Grid", M364=1), M364*N364*$K$5, (INT((N364+1)/2)*M364 + INT(N364/2)*IF(($G$6-M364*H364)&gt;=0.5*H364, M364, M364-1))*$K$5))</f>
        <v/>
      </c>
      <c r="P364" s="48">
        <f>IF(L364&lt;=0, 0, INT($G$8/L364))</f>
        <v/>
      </c>
      <c r="Q364" s="42">
        <f>MIN(O364, P364)</f>
        <v/>
      </c>
      <c r="R364" s="43">
        <f>ROUND((Q364*L364)/1000, 2)</f>
        <v/>
      </c>
      <c r="S364" s="49">
        <f>IF($C$8&gt;0, R364/$C$8, 0)</f>
        <v/>
      </c>
      <c r="T364" s="49">
        <f>IF(O364&gt;0, Q364/O364, 0)</f>
        <v/>
      </c>
      <c r="U364" s="18">
        <f>IF(Q364=0, "Exceeds Limit", IF(P364&lt;=O364, "Weight Limited", "Volume Limited"))</f>
        <v/>
      </c>
    </row>
    <row r="365" ht="19" customHeight="1">
      <c r="A365" s="38" t="n">
        <v>355</v>
      </c>
      <c r="B365" s="51" t="inlineStr">
        <is>
          <t>Stainless Steel 304</t>
        </is>
      </c>
      <c r="C365" s="13" t="inlineStr">
        <is>
          <t>ASME B36.19M</t>
        </is>
      </c>
      <c r="D365" s="12" t="inlineStr">
        <is>
          <t>2-1/2''</t>
        </is>
      </c>
      <c r="E365" s="38" t="n">
        <v>65</v>
      </c>
      <c r="F365" s="12" t="inlineStr">
        <is>
          <t>5S</t>
        </is>
      </c>
      <c r="G365" s="14" t="n">
        <v>2.875</v>
      </c>
      <c r="H365" s="40" t="n">
        <v>73.02</v>
      </c>
      <c r="I365" s="14" t="n">
        <v>0.083</v>
      </c>
      <c r="J365" s="40" t="n">
        <v>2.11</v>
      </c>
      <c r="K365" s="14">
        <f>ROUND((H365-J365)*J365*IF(B365="Carbon Steel",$K$7,IF(B365="Stainless Steel 304",$K$8,$L$8)), 3)</f>
        <v/>
      </c>
      <c r="L365" s="40">
        <f>ROUND(K365*$G$5, 2)</f>
        <v/>
      </c>
      <c r="M365" s="38">
        <f>INT($G$6/H365)</f>
        <v/>
      </c>
      <c r="N365" s="38">
        <f>IF(M365=0, 0, IF(OR($K$6="Square Grid", M365=1), INT($G$7/H365), IF($G$7&lt;H365, 0, 1+INT(($G$7-H365)/(0.8660254*H365)))))</f>
        <v/>
      </c>
      <c r="O365" s="41">
        <f>IF(OR(M365=0,N365=0), 0, IF(OR($K$6="Square Grid", M365=1), M365*N365*$K$5, (INT((N365+1)/2)*M365 + INT(N365/2)*IF(($G$6-M365*H365)&gt;=0.5*H365, M365, M365-1))*$K$5))</f>
        <v/>
      </c>
      <c r="P365" s="41">
        <f>IF(L365&lt;=0, 0, INT($G$8/L365))</f>
        <v/>
      </c>
      <c r="Q365" s="42">
        <f>MIN(O365, P365)</f>
        <v/>
      </c>
      <c r="R365" s="43">
        <f>ROUND((Q365*L365)/1000, 2)</f>
        <v/>
      </c>
      <c r="S365" s="44">
        <f>IF($C$8&gt;0, R365/$C$8, 0)</f>
        <v/>
      </c>
      <c r="T365" s="44">
        <f>IF(O365&gt;0, Q365/O365, 0)</f>
        <v/>
      </c>
      <c r="U365" s="12">
        <f>IF(Q365=0, "Exceeds Limit", IF(P365&lt;=O365, "Weight Limited", "Volume Limited"))</f>
        <v/>
      </c>
    </row>
    <row r="366" ht="19" customHeight="1">
      <c r="A366" s="45" t="n">
        <v>356</v>
      </c>
      <c r="B366" s="50" t="inlineStr">
        <is>
          <t>Stainless Steel 304</t>
        </is>
      </c>
      <c r="C366" s="19" t="inlineStr">
        <is>
          <t>ASME B36.19M</t>
        </is>
      </c>
      <c r="D366" s="18" t="inlineStr">
        <is>
          <t>2-1/2''</t>
        </is>
      </c>
      <c r="E366" s="45" t="n">
        <v>65</v>
      </c>
      <c r="F366" s="18" t="inlineStr">
        <is>
          <t>10S</t>
        </is>
      </c>
      <c r="G366" s="20" t="n">
        <v>2.875</v>
      </c>
      <c r="H366" s="47" t="n">
        <v>73.02</v>
      </c>
      <c r="I366" s="20" t="n">
        <v>0.12</v>
      </c>
      <c r="J366" s="47" t="n">
        <v>3.05</v>
      </c>
      <c r="K366" s="20">
        <f>ROUND((H366-J366)*J366*IF(B366="Carbon Steel",$K$7,IF(B366="Stainless Steel 304",$K$8,$L$8)), 3)</f>
        <v/>
      </c>
      <c r="L366" s="47">
        <f>ROUND(K366*$G$5, 2)</f>
        <v/>
      </c>
      <c r="M366" s="45">
        <f>INT($G$6/H366)</f>
        <v/>
      </c>
      <c r="N366" s="45">
        <f>IF(M366=0, 0, IF(OR($K$6="Square Grid", M366=1), INT($G$7/H366), IF($G$7&lt;H366, 0, 1+INT(($G$7-H366)/(0.8660254*H366)))))</f>
        <v/>
      </c>
      <c r="O366" s="48">
        <f>IF(OR(M366=0,N366=0), 0, IF(OR($K$6="Square Grid", M366=1), M366*N366*$K$5, (INT((N366+1)/2)*M366 + INT(N366/2)*IF(($G$6-M366*H366)&gt;=0.5*H366, M366, M366-1))*$K$5))</f>
        <v/>
      </c>
      <c r="P366" s="48">
        <f>IF(L366&lt;=0, 0, INT($G$8/L366))</f>
        <v/>
      </c>
      <c r="Q366" s="42">
        <f>MIN(O366, P366)</f>
        <v/>
      </c>
      <c r="R366" s="43">
        <f>ROUND((Q366*L366)/1000, 2)</f>
        <v/>
      </c>
      <c r="S366" s="49">
        <f>IF($C$8&gt;0, R366/$C$8, 0)</f>
        <v/>
      </c>
      <c r="T366" s="49">
        <f>IF(O366&gt;0, Q366/O366, 0)</f>
        <v/>
      </c>
      <c r="U366" s="18">
        <f>IF(Q366=0, "Exceeds Limit", IF(P366&lt;=O366, "Weight Limited", "Volume Limited"))</f>
        <v/>
      </c>
    </row>
    <row r="367" ht="19" customHeight="1">
      <c r="A367" s="38" t="n">
        <v>357</v>
      </c>
      <c r="B367" s="51" t="inlineStr">
        <is>
          <t>Stainless Steel 304</t>
        </is>
      </c>
      <c r="C367" s="13" t="inlineStr">
        <is>
          <t>ASME B36.19M</t>
        </is>
      </c>
      <c r="D367" s="12" t="inlineStr">
        <is>
          <t>2-1/2''</t>
        </is>
      </c>
      <c r="E367" s="38" t="n">
        <v>65</v>
      </c>
      <c r="F367" s="12" t="inlineStr">
        <is>
          <t>40S</t>
        </is>
      </c>
      <c r="G367" s="14" t="n">
        <v>2.875</v>
      </c>
      <c r="H367" s="40" t="n">
        <v>73.02</v>
      </c>
      <c r="I367" s="14" t="n">
        <v>0.203</v>
      </c>
      <c r="J367" s="40" t="n">
        <v>5.16</v>
      </c>
      <c r="K367" s="14">
        <f>ROUND((H367-J367)*J367*IF(B367="Carbon Steel",$K$7,IF(B367="Stainless Steel 304",$K$8,$L$8)), 3)</f>
        <v/>
      </c>
      <c r="L367" s="40">
        <f>ROUND(K367*$G$5, 2)</f>
        <v/>
      </c>
      <c r="M367" s="38">
        <f>INT($G$6/H367)</f>
        <v/>
      </c>
      <c r="N367" s="38">
        <f>IF(M367=0, 0, IF(OR($K$6="Square Grid", M367=1), INT($G$7/H367), IF($G$7&lt;H367, 0, 1+INT(($G$7-H367)/(0.8660254*H367)))))</f>
        <v/>
      </c>
      <c r="O367" s="41">
        <f>IF(OR(M367=0,N367=0), 0, IF(OR($K$6="Square Grid", M367=1), M367*N367*$K$5, (INT((N367+1)/2)*M367 + INT(N367/2)*IF(($G$6-M367*H367)&gt;=0.5*H367, M367, M367-1))*$K$5))</f>
        <v/>
      </c>
      <c r="P367" s="41">
        <f>IF(L367&lt;=0, 0, INT($G$8/L367))</f>
        <v/>
      </c>
      <c r="Q367" s="42">
        <f>MIN(O367, P367)</f>
        <v/>
      </c>
      <c r="R367" s="43">
        <f>ROUND((Q367*L367)/1000, 2)</f>
        <v/>
      </c>
      <c r="S367" s="44">
        <f>IF($C$8&gt;0, R367/$C$8, 0)</f>
        <v/>
      </c>
      <c r="T367" s="44">
        <f>IF(O367&gt;0, Q367/O367, 0)</f>
        <v/>
      </c>
      <c r="U367" s="12">
        <f>IF(Q367=0, "Exceeds Limit", IF(P367&lt;=O367, "Weight Limited", "Volume Limited"))</f>
        <v/>
      </c>
    </row>
    <row r="368" ht="19" customHeight="1">
      <c r="A368" s="45" t="n">
        <v>358</v>
      </c>
      <c r="B368" s="50" t="inlineStr">
        <is>
          <t>Stainless Steel 304</t>
        </is>
      </c>
      <c r="C368" s="19" t="inlineStr">
        <is>
          <t>ASME B36.19M</t>
        </is>
      </c>
      <c r="D368" s="18" t="inlineStr">
        <is>
          <t>2-1/2''</t>
        </is>
      </c>
      <c r="E368" s="45" t="n">
        <v>65</v>
      </c>
      <c r="F368" s="18" t="inlineStr">
        <is>
          <t>80S</t>
        </is>
      </c>
      <c r="G368" s="20" t="n">
        <v>2.875</v>
      </c>
      <c r="H368" s="47" t="n">
        <v>73.02</v>
      </c>
      <c r="I368" s="20" t="n">
        <v>0.276</v>
      </c>
      <c r="J368" s="47" t="n">
        <v>7.01</v>
      </c>
      <c r="K368" s="20">
        <f>ROUND((H368-J368)*J368*IF(B368="Carbon Steel",$K$7,IF(B368="Stainless Steel 304",$K$8,$L$8)), 3)</f>
        <v/>
      </c>
      <c r="L368" s="47">
        <f>ROUND(K368*$G$5, 2)</f>
        <v/>
      </c>
      <c r="M368" s="45">
        <f>INT($G$6/H368)</f>
        <v/>
      </c>
      <c r="N368" s="45">
        <f>IF(M368=0, 0, IF(OR($K$6="Square Grid", M368=1), INT($G$7/H368), IF($G$7&lt;H368, 0, 1+INT(($G$7-H368)/(0.8660254*H368)))))</f>
        <v/>
      </c>
      <c r="O368" s="48">
        <f>IF(OR(M368=0,N368=0), 0, IF(OR($K$6="Square Grid", M368=1), M368*N368*$K$5, (INT((N368+1)/2)*M368 + INT(N368/2)*IF(($G$6-M368*H368)&gt;=0.5*H368, M368, M368-1))*$K$5))</f>
        <v/>
      </c>
      <c r="P368" s="48">
        <f>IF(L368&lt;=0, 0, INT($G$8/L368))</f>
        <v/>
      </c>
      <c r="Q368" s="42">
        <f>MIN(O368, P368)</f>
        <v/>
      </c>
      <c r="R368" s="43">
        <f>ROUND((Q368*L368)/1000, 2)</f>
        <v/>
      </c>
      <c r="S368" s="49">
        <f>IF($C$8&gt;0, R368/$C$8, 0)</f>
        <v/>
      </c>
      <c r="T368" s="49">
        <f>IF(O368&gt;0, Q368/O368, 0)</f>
        <v/>
      </c>
      <c r="U368" s="18">
        <f>IF(Q368=0, "Exceeds Limit", IF(P368&lt;=O368, "Weight Limited", "Volume Limited"))</f>
        <v/>
      </c>
    </row>
    <row r="369" ht="19" customHeight="1">
      <c r="A369" s="38" t="n">
        <v>359</v>
      </c>
      <c r="B369" s="51" t="inlineStr">
        <is>
          <t>Stainless Steel 304</t>
        </is>
      </c>
      <c r="C369" s="13" t="inlineStr">
        <is>
          <t>ASME B36.19M</t>
        </is>
      </c>
      <c r="D369" s="12" t="inlineStr">
        <is>
          <t>2-1/2''</t>
        </is>
      </c>
      <c r="E369" s="38" t="n">
        <v>65</v>
      </c>
      <c r="F369" s="12" t="inlineStr">
        <is>
          <t>STD</t>
        </is>
      </c>
      <c r="G369" s="14" t="n">
        <v>2.875</v>
      </c>
      <c r="H369" s="40" t="n">
        <v>73.02</v>
      </c>
      <c r="I369" s="14" t="n">
        <v>0.203</v>
      </c>
      <c r="J369" s="40" t="n">
        <v>5.16</v>
      </c>
      <c r="K369" s="14">
        <f>ROUND((H369-J369)*J369*IF(B369="Carbon Steel",$K$7,IF(B369="Stainless Steel 304",$K$8,$L$8)), 3)</f>
        <v/>
      </c>
      <c r="L369" s="40">
        <f>ROUND(K369*$G$5, 2)</f>
        <v/>
      </c>
      <c r="M369" s="38">
        <f>INT($G$6/H369)</f>
        <v/>
      </c>
      <c r="N369" s="38">
        <f>IF(M369=0, 0, IF(OR($K$6="Square Grid", M369=1), INT($G$7/H369), IF($G$7&lt;H369, 0, 1+INT(($G$7-H369)/(0.8660254*H369)))))</f>
        <v/>
      </c>
      <c r="O369" s="41">
        <f>IF(OR(M369=0,N369=0), 0, IF(OR($K$6="Square Grid", M369=1), M369*N369*$K$5, (INT((N369+1)/2)*M369 + INT(N369/2)*IF(($G$6-M369*H369)&gt;=0.5*H369, M369, M369-1))*$K$5))</f>
        <v/>
      </c>
      <c r="P369" s="41">
        <f>IF(L369&lt;=0, 0, INT($G$8/L369))</f>
        <v/>
      </c>
      <c r="Q369" s="42">
        <f>MIN(O369, P369)</f>
        <v/>
      </c>
      <c r="R369" s="43">
        <f>ROUND((Q369*L369)/1000, 2)</f>
        <v/>
      </c>
      <c r="S369" s="44">
        <f>IF($C$8&gt;0, R369/$C$8, 0)</f>
        <v/>
      </c>
      <c r="T369" s="44">
        <f>IF(O369&gt;0, Q369/O369, 0)</f>
        <v/>
      </c>
      <c r="U369" s="12">
        <f>IF(Q369=0, "Exceeds Limit", IF(P369&lt;=O369, "Weight Limited", "Volume Limited"))</f>
        <v/>
      </c>
    </row>
    <row r="370" ht="19" customHeight="1">
      <c r="A370" s="45" t="n">
        <v>360</v>
      </c>
      <c r="B370" s="50" t="inlineStr">
        <is>
          <t>Stainless Steel 304</t>
        </is>
      </c>
      <c r="C370" s="19" t="inlineStr">
        <is>
          <t>ASME B36.19M</t>
        </is>
      </c>
      <c r="D370" s="18" t="inlineStr">
        <is>
          <t>2-1/2''</t>
        </is>
      </c>
      <c r="E370" s="45" t="n">
        <v>65</v>
      </c>
      <c r="F370" s="18" t="inlineStr">
        <is>
          <t>XS</t>
        </is>
      </c>
      <c r="G370" s="20" t="n">
        <v>2.875</v>
      </c>
      <c r="H370" s="47" t="n">
        <v>73.02</v>
      </c>
      <c r="I370" s="20" t="n">
        <v>0.276</v>
      </c>
      <c r="J370" s="47" t="n">
        <v>7.01</v>
      </c>
      <c r="K370" s="20">
        <f>ROUND((H370-J370)*J370*IF(B370="Carbon Steel",$K$7,IF(B370="Stainless Steel 304",$K$8,$L$8)), 3)</f>
        <v/>
      </c>
      <c r="L370" s="47">
        <f>ROUND(K370*$G$5, 2)</f>
        <v/>
      </c>
      <c r="M370" s="45">
        <f>INT($G$6/H370)</f>
        <v/>
      </c>
      <c r="N370" s="45">
        <f>IF(M370=0, 0, IF(OR($K$6="Square Grid", M370=1), INT($G$7/H370), IF($G$7&lt;H370, 0, 1+INT(($G$7-H370)/(0.8660254*H370)))))</f>
        <v/>
      </c>
      <c r="O370" s="48">
        <f>IF(OR(M370=0,N370=0), 0, IF(OR($K$6="Square Grid", M370=1), M370*N370*$K$5, (INT((N370+1)/2)*M370 + INT(N370/2)*IF(($G$6-M370*H370)&gt;=0.5*H370, M370, M370-1))*$K$5))</f>
        <v/>
      </c>
      <c r="P370" s="48">
        <f>IF(L370&lt;=0, 0, INT($G$8/L370))</f>
        <v/>
      </c>
      <c r="Q370" s="42">
        <f>MIN(O370, P370)</f>
        <v/>
      </c>
      <c r="R370" s="43">
        <f>ROUND((Q370*L370)/1000, 2)</f>
        <v/>
      </c>
      <c r="S370" s="49">
        <f>IF($C$8&gt;0, R370/$C$8, 0)</f>
        <v/>
      </c>
      <c r="T370" s="49">
        <f>IF(O370&gt;0, Q370/O370, 0)</f>
        <v/>
      </c>
      <c r="U370" s="18">
        <f>IF(Q370=0, "Exceeds Limit", IF(P370&lt;=O370, "Weight Limited", "Volume Limited"))</f>
        <v/>
      </c>
    </row>
    <row r="371" ht="19" customHeight="1">
      <c r="A371" s="38" t="n">
        <v>361</v>
      </c>
      <c r="B371" s="51" t="inlineStr">
        <is>
          <t>Stainless Steel 304</t>
        </is>
      </c>
      <c r="C371" s="13" t="inlineStr">
        <is>
          <t>ASME B36.19M</t>
        </is>
      </c>
      <c r="D371" s="12" t="inlineStr">
        <is>
          <t>2-1/2''</t>
        </is>
      </c>
      <c r="E371" s="38" t="n">
        <v>65</v>
      </c>
      <c r="F371" s="12" t="inlineStr">
        <is>
          <t>160</t>
        </is>
      </c>
      <c r="G371" s="14" t="n">
        <v>2.875</v>
      </c>
      <c r="H371" s="40" t="n">
        <v>73.02</v>
      </c>
      <c r="I371" s="14" t="n">
        <v>0.375</v>
      </c>
      <c r="J371" s="40" t="n">
        <v>9.52</v>
      </c>
      <c r="K371" s="14">
        <f>ROUND((H371-J371)*J371*IF(B371="Carbon Steel",$K$7,IF(B371="Stainless Steel 304",$K$8,$L$8)), 3)</f>
        <v/>
      </c>
      <c r="L371" s="40">
        <f>ROUND(K371*$G$5, 2)</f>
        <v/>
      </c>
      <c r="M371" s="38">
        <f>INT($G$6/H371)</f>
        <v/>
      </c>
      <c r="N371" s="38">
        <f>IF(M371=0, 0, IF(OR($K$6="Square Grid", M371=1), INT($G$7/H371), IF($G$7&lt;H371, 0, 1+INT(($G$7-H371)/(0.8660254*H371)))))</f>
        <v/>
      </c>
      <c r="O371" s="41">
        <f>IF(OR(M371=0,N371=0), 0, IF(OR($K$6="Square Grid", M371=1), M371*N371*$K$5, (INT((N371+1)/2)*M371 + INT(N371/2)*IF(($G$6-M371*H371)&gt;=0.5*H371, M371, M371-1))*$K$5))</f>
        <v/>
      </c>
      <c r="P371" s="41">
        <f>IF(L371&lt;=0, 0, INT($G$8/L371))</f>
        <v/>
      </c>
      <c r="Q371" s="42">
        <f>MIN(O371, P371)</f>
        <v/>
      </c>
      <c r="R371" s="43">
        <f>ROUND((Q371*L371)/1000, 2)</f>
        <v/>
      </c>
      <c r="S371" s="44">
        <f>IF($C$8&gt;0, R371/$C$8, 0)</f>
        <v/>
      </c>
      <c r="T371" s="44">
        <f>IF(O371&gt;0, Q371/O371, 0)</f>
        <v/>
      </c>
      <c r="U371" s="12">
        <f>IF(Q371=0, "Exceeds Limit", IF(P371&lt;=O371, "Weight Limited", "Volume Limited"))</f>
        <v/>
      </c>
    </row>
    <row r="372" ht="19" customHeight="1">
      <c r="A372" s="45" t="n">
        <v>362</v>
      </c>
      <c r="B372" s="50" t="inlineStr">
        <is>
          <t>Stainless Steel 304</t>
        </is>
      </c>
      <c r="C372" s="19" t="inlineStr">
        <is>
          <t>ASME B36.19M</t>
        </is>
      </c>
      <c r="D372" s="18" t="inlineStr">
        <is>
          <t>2-1/2''</t>
        </is>
      </c>
      <c r="E372" s="45" t="n">
        <v>65</v>
      </c>
      <c r="F372" s="18" t="inlineStr">
        <is>
          <t>XXS</t>
        </is>
      </c>
      <c r="G372" s="20" t="n">
        <v>2.875</v>
      </c>
      <c r="H372" s="47" t="n">
        <v>73.02</v>
      </c>
      <c r="I372" s="20" t="n">
        <v>0.552</v>
      </c>
      <c r="J372" s="47" t="n">
        <v>14.02</v>
      </c>
      <c r="K372" s="20">
        <f>ROUND((H372-J372)*J372*IF(B372="Carbon Steel",$K$7,IF(B372="Stainless Steel 304",$K$8,$L$8)), 3)</f>
        <v/>
      </c>
      <c r="L372" s="47">
        <f>ROUND(K372*$G$5, 2)</f>
        <v/>
      </c>
      <c r="M372" s="45">
        <f>INT($G$6/H372)</f>
        <v/>
      </c>
      <c r="N372" s="45">
        <f>IF(M372=0, 0, IF(OR($K$6="Square Grid", M372=1), INT($G$7/H372), IF($G$7&lt;H372, 0, 1+INT(($G$7-H372)/(0.8660254*H372)))))</f>
        <v/>
      </c>
      <c r="O372" s="48">
        <f>IF(OR(M372=0,N372=0), 0, IF(OR($K$6="Square Grid", M372=1), M372*N372*$K$5, (INT((N372+1)/2)*M372 + INT(N372/2)*IF(($G$6-M372*H372)&gt;=0.5*H372, M372, M372-1))*$K$5))</f>
        <v/>
      </c>
      <c r="P372" s="48">
        <f>IF(L372&lt;=0, 0, INT($G$8/L372))</f>
        <v/>
      </c>
      <c r="Q372" s="42">
        <f>MIN(O372, P372)</f>
        <v/>
      </c>
      <c r="R372" s="43">
        <f>ROUND((Q372*L372)/1000, 2)</f>
        <v/>
      </c>
      <c r="S372" s="49">
        <f>IF($C$8&gt;0, R372/$C$8, 0)</f>
        <v/>
      </c>
      <c r="T372" s="49">
        <f>IF(O372&gt;0, Q372/O372, 0)</f>
        <v/>
      </c>
      <c r="U372" s="18">
        <f>IF(Q372=0, "Exceeds Limit", IF(P372&lt;=O372, "Weight Limited", "Volume Limited"))</f>
        <v/>
      </c>
    </row>
    <row r="373" ht="19" customHeight="1">
      <c r="A373" s="38" t="n">
        <v>363</v>
      </c>
      <c r="B373" s="51" t="inlineStr">
        <is>
          <t>Stainless Steel 304</t>
        </is>
      </c>
      <c r="C373" s="13" t="inlineStr">
        <is>
          <t>ASME B36.19M</t>
        </is>
      </c>
      <c r="D373" s="12" t="inlineStr">
        <is>
          <t>3''</t>
        </is>
      </c>
      <c r="E373" s="38" t="n">
        <v>80</v>
      </c>
      <c r="F373" s="12" t="inlineStr">
        <is>
          <t>5S</t>
        </is>
      </c>
      <c r="G373" s="14" t="n">
        <v>3.5</v>
      </c>
      <c r="H373" s="40" t="n">
        <v>88.90000000000001</v>
      </c>
      <c r="I373" s="14" t="n">
        <v>0.083</v>
      </c>
      <c r="J373" s="40" t="n">
        <v>2.11</v>
      </c>
      <c r="K373" s="14">
        <f>ROUND((H373-J373)*J373*IF(B373="Carbon Steel",$K$7,IF(B373="Stainless Steel 304",$K$8,$L$8)), 3)</f>
        <v/>
      </c>
      <c r="L373" s="40">
        <f>ROUND(K373*$G$5, 2)</f>
        <v/>
      </c>
      <c r="M373" s="38">
        <f>INT($G$6/H373)</f>
        <v/>
      </c>
      <c r="N373" s="38">
        <f>IF(M373=0, 0, IF(OR($K$6="Square Grid", M373=1), INT($G$7/H373), IF($G$7&lt;H373, 0, 1+INT(($G$7-H373)/(0.8660254*H373)))))</f>
        <v/>
      </c>
      <c r="O373" s="41">
        <f>IF(OR(M373=0,N373=0), 0, IF(OR($K$6="Square Grid", M373=1), M373*N373*$K$5, (INT((N373+1)/2)*M373 + INT(N373/2)*IF(($G$6-M373*H373)&gt;=0.5*H373, M373, M373-1))*$K$5))</f>
        <v/>
      </c>
      <c r="P373" s="41">
        <f>IF(L373&lt;=0, 0, INT($G$8/L373))</f>
        <v/>
      </c>
      <c r="Q373" s="42">
        <f>MIN(O373, P373)</f>
        <v/>
      </c>
      <c r="R373" s="43">
        <f>ROUND((Q373*L373)/1000, 2)</f>
        <v/>
      </c>
      <c r="S373" s="44">
        <f>IF($C$8&gt;0, R373/$C$8, 0)</f>
        <v/>
      </c>
      <c r="T373" s="44">
        <f>IF(O373&gt;0, Q373/O373, 0)</f>
        <v/>
      </c>
      <c r="U373" s="12">
        <f>IF(Q373=0, "Exceeds Limit", IF(P373&lt;=O373, "Weight Limited", "Volume Limited"))</f>
        <v/>
      </c>
    </row>
    <row r="374" ht="19" customHeight="1">
      <c r="A374" s="45" t="n">
        <v>364</v>
      </c>
      <c r="B374" s="50" t="inlineStr">
        <is>
          <t>Stainless Steel 304</t>
        </is>
      </c>
      <c r="C374" s="19" t="inlineStr">
        <is>
          <t>ASME B36.19M</t>
        </is>
      </c>
      <c r="D374" s="18" t="inlineStr">
        <is>
          <t>3''</t>
        </is>
      </c>
      <c r="E374" s="45" t="n">
        <v>80</v>
      </c>
      <c r="F374" s="18" t="inlineStr">
        <is>
          <t>10S</t>
        </is>
      </c>
      <c r="G374" s="20" t="n">
        <v>3.5</v>
      </c>
      <c r="H374" s="47" t="n">
        <v>88.90000000000001</v>
      </c>
      <c r="I374" s="20" t="n">
        <v>0.12</v>
      </c>
      <c r="J374" s="47" t="n">
        <v>3.05</v>
      </c>
      <c r="K374" s="20">
        <f>ROUND((H374-J374)*J374*IF(B374="Carbon Steel",$K$7,IF(B374="Stainless Steel 304",$K$8,$L$8)), 3)</f>
        <v/>
      </c>
      <c r="L374" s="47">
        <f>ROUND(K374*$G$5, 2)</f>
        <v/>
      </c>
      <c r="M374" s="45">
        <f>INT($G$6/H374)</f>
        <v/>
      </c>
      <c r="N374" s="45">
        <f>IF(M374=0, 0, IF(OR($K$6="Square Grid", M374=1), INT($G$7/H374), IF($G$7&lt;H374, 0, 1+INT(($G$7-H374)/(0.8660254*H374)))))</f>
        <v/>
      </c>
      <c r="O374" s="48">
        <f>IF(OR(M374=0,N374=0), 0, IF(OR($K$6="Square Grid", M374=1), M374*N374*$K$5, (INT((N374+1)/2)*M374 + INT(N374/2)*IF(($G$6-M374*H374)&gt;=0.5*H374, M374, M374-1))*$K$5))</f>
        <v/>
      </c>
      <c r="P374" s="48">
        <f>IF(L374&lt;=0, 0, INT($G$8/L374))</f>
        <v/>
      </c>
      <c r="Q374" s="42">
        <f>MIN(O374, P374)</f>
        <v/>
      </c>
      <c r="R374" s="43">
        <f>ROUND((Q374*L374)/1000, 2)</f>
        <v/>
      </c>
      <c r="S374" s="49">
        <f>IF($C$8&gt;0, R374/$C$8, 0)</f>
        <v/>
      </c>
      <c r="T374" s="49">
        <f>IF(O374&gt;0, Q374/O374, 0)</f>
        <v/>
      </c>
      <c r="U374" s="18">
        <f>IF(Q374=0, "Exceeds Limit", IF(P374&lt;=O374, "Weight Limited", "Volume Limited"))</f>
        <v/>
      </c>
    </row>
    <row r="375" ht="19" customHeight="1">
      <c r="A375" s="38" t="n">
        <v>365</v>
      </c>
      <c r="B375" s="51" t="inlineStr">
        <is>
          <t>Stainless Steel 304</t>
        </is>
      </c>
      <c r="C375" s="13" t="inlineStr">
        <is>
          <t>ASME B36.19M</t>
        </is>
      </c>
      <c r="D375" s="12" t="inlineStr">
        <is>
          <t>3''</t>
        </is>
      </c>
      <c r="E375" s="38" t="n">
        <v>80</v>
      </c>
      <c r="F375" s="12" t="inlineStr">
        <is>
          <t>40S</t>
        </is>
      </c>
      <c r="G375" s="14" t="n">
        <v>3.5</v>
      </c>
      <c r="H375" s="40" t="n">
        <v>88.90000000000001</v>
      </c>
      <c r="I375" s="14" t="n">
        <v>0.216</v>
      </c>
      <c r="J375" s="40" t="n">
        <v>5.49</v>
      </c>
      <c r="K375" s="14">
        <f>ROUND((H375-J375)*J375*IF(B375="Carbon Steel",$K$7,IF(B375="Stainless Steel 304",$K$8,$L$8)), 3)</f>
        <v/>
      </c>
      <c r="L375" s="40">
        <f>ROUND(K375*$G$5, 2)</f>
        <v/>
      </c>
      <c r="M375" s="38">
        <f>INT($G$6/H375)</f>
        <v/>
      </c>
      <c r="N375" s="38">
        <f>IF(M375=0, 0, IF(OR($K$6="Square Grid", M375=1), INT($G$7/H375), IF($G$7&lt;H375, 0, 1+INT(($G$7-H375)/(0.8660254*H375)))))</f>
        <v/>
      </c>
      <c r="O375" s="41">
        <f>IF(OR(M375=0,N375=0), 0, IF(OR($K$6="Square Grid", M375=1), M375*N375*$K$5, (INT((N375+1)/2)*M375 + INT(N375/2)*IF(($G$6-M375*H375)&gt;=0.5*H375, M375, M375-1))*$K$5))</f>
        <v/>
      </c>
      <c r="P375" s="41">
        <f>IF(L375&lt;=0, 0, INT($G$8/L375))</f>
        <v/>
      </c>
      <c r="Q375" s="42">
        <f>MIN(O375, P375)</f>
        <v/>
      </c>
      <c r="R375" s="43">
        <f>ROUND((Q375*L375)/1000, 2)</f>
        <v/>
      </c>
      <c r="S375" s="44">
        <f>IF($C$8&gt;0, R375/$C$8, 0)</f>
        <v/>
      </c>
      <c r="T375" s="44">
        <f>IF(O375&gt;0, Q375/O375, 0)</f>
        <v/>
      </c>
      <c r="U375" s="12">
        <f>IF(Q375=0, "Exceeds Limit", IF(P375&lt;=O375, "Weight Limited", "Volume Limited"))</f>
        <v/>
      </c>
    </row>
    <row r="376" ht="19" customHeight="1">
      <c r="A376" s="45" t="n">
        <v>366</v>
      </c>
      <c r="B376" s="50" t="inlineStr">
        <is>
          <t>Stainless Steel 304</t>
        </is>
      </c>
      <c r="C376" s="19" t="inlineStr">
        <is>
          <t>ASME B36.19M</t>
        </is>
      </c>
      <c r="D376" s="18" t="inlineStr">
        <is>
          <t>3''</t>
        </is>
      </c>
      <c r="E376" s="45" t="n">
        <v>80</v>
      </c>
      <c r="F376" s="18" t="inlineStr">
        <is>
          <t>80S</t>
        </is>
      </c>
      <c r="G376" s="20" t="n">
        <v>3.5</v>
      </c>
      <c r="H376" s="47" t="n">
        <v>88.90000000000001</v>
      </c>
      <c r="I376" s="20" t="n">
        <v>0.3</v>
      </c>
      <c r="J376" s="47" t="n">
        <v>7.62</v>
      </c>
      <c r="K376" s="20">
        <f>ROUND((H376-J376)*J376*IF(B376="Carbon Steel",$K$7,IF(B376="Stainless Steel 304",$K$8,$L$8)), 3)</f>
        <v/>
      </c>
      <c r="L376" s="47">
        <f>ROUND(K376*$G$5, 2)</f>
        <v/>
      </c>
      <c r="M376" s="45">
        <f>INT($G$6/H376)</f>
        <v/>
      </c>
      <c r="N376" s="45">
        <f>IF(M376=0, 0, IF(OR($K$6="Square Grid", M376=1), INT($G$7/H376), IF($G$7&lt;H376, 0, 1+INT(($G$7-H376)/(0.8660254*H376)))))</f>
        <v/>
      </c>
      <c r="O376" s="48">
        <f>IF(OR(M376=0,N376=0), 0, IF(OR($K$6="Square Grid", M376=1), M376*N376*$K$5, (INT((N376+1)/2)*M376 + INT(N376/2)*IF(($G$6-M376*H376)&gt;=0.5*H376, M376, M376-1))*$K$5))</f>
        <v/>
      </c>
      <c r="P376" s="48">
        <f>IF(L376&lt;=0, 0, INT($G$8/L376))</f>
        <v/>
      </c>
      <c r="Q376" s="42">
        <f>MIN(O376, P376)</f>
        <v/>
      </c>
      <c r="R376" s="43">
        <f>ROUND((Q376*L376)/1000, 2)</f>
        <v/>
      </c>
      <c r="S376" s="49">
        <f>IF($C$8&gt;0, R376/$C$8, 0)</f>
        <v/>
      </c>
      <c r="T376" s="49">
        <f>IF(O376&gt;0, Q376/O376, 0)</f>
        <v/>
      </c>
      <c r="U376" s="18">
        <f>IF(Q376=0, "Exceeds Limit", IF(P376&lt;=O376, "Weight Limited", "Volume Limited"))</f>
        <v/>
      </c>
    </row>
    <row r="377" ht="19" customHeight="1">
      <c r="A377" s="38" t="n">
        <v>367</v>
      </c>
      <c r="B377" s="51" t="inlineStr">
        <is>
          <t>Stainless Steel 304</t>
        </is>
      </c>
      <c r="C377" s="13" t="inlineStr">
        <is>
          <t>ASME B36.19M</t>
        </is>
      </c>
      <c r="D377" s="12" t="inlineStr">
        <is>
          <t>3''</t>
        </is>
      </c>
      <c r="E377" s="38" t="n">
        <v>80</v>
      </c>
      <c r="F377" s="12" t="inlineStr">
        <is>
          <t>STD</t>
        </is>
      </c>
      <c r="G377" s="14" t="n">
        <v>3.5</v>
      </c>
      <c r="H377" s="40" t="n">
        <v>88.90000000000001</v>
      </c>
      <c r="I377" s="14" t="n">
        <v>0.216</v>
      </c>
      <c r="J377" s="40" t="n">
        <v>5.49</v>
      </c>
      <c r="K377" s="14">
        <f>ROUND((H377-J377)*J377*IF(B377="Carbon Steel",$K$7,IF(B377="Stainless Steel 304",$K$8,$L$8)), 3)</f>
        <v/>
      </c>
      <c r="L377" s="40">
        <f>ROUND(K377*$G$5, 2)</f>
        <v/>
      </c>
      <c r="M377" s="38">
        <f>INT($G$6/H377)</f>
        <v/>
      </c>
      <c r="N377" s="38">
        <f>IF(M377=0, 0, IF(OR($K$6="Square Grid", M377=1), INT($G$7/H377), IF($G$7&lt;H377, 0, 1+INT(($G$7-H377)/(0.8660254*H377)))))</f>
        <v/>
      </c>
      <c r="O377" s="41">
        <f>IF(OR(M377=0,N377=0), 0, IF(OR($K$6="Square Grid", M377=1), M377*N377*$K$5, (INT((N377+1)/2)*M377 + INT(N377/2)*IF(($G$6-M377*H377)&gt;=0.5*H377, M377, M377-1))*$K$5))</f>
        <v/>
      </c>
      <c r="P377" s="41">
        <f>IF(L377&lt;=0, 0, INT($G$8/L377))</f>
        <v/>
      </c>
      <c r="Q377" s="42">
        <f>MIN(O377, P377)</f>
        <v/>
      </c>
      <c r="R377" s="43">
        <f>ROUND((Q377*L377)/1000, 2)</f>
        <v/>
      </c>
      <c r="S377" s="44">
        <f>IF($C$8&gt;0, R377/$C$8, 0)</f>
        <v/>
      </c>
      <c r="T377" s="44">
        <f>IF(O377&gt;0, Q377/O377, 0)</f>
        <v/>
      </c>
      <c r="U377" s="12">
        <f>IF(Q377=0, "Exceeds Limit", IF(P377&lt;=O377, "Weight Limited", "Volume Limited"))</f>
        <v/>
      </c>
    </row>
    <row r="378" ht="19" customHeight="1">
      <c r="A378" s="45" t="n">
        <v>368</v>
      </c>
      <c r="B378" s="50" t="inlineStr">
        <is>
          <t>Stainless Steel 304</t>
        </is>
      </c>
      <c r="C378" s="19" t="inlineStr">
        <is>
          <t>ASME B36.19M</t>
        </is>
      </c>
      <c r="D378" s="18" t="inlineStr">
        <is>
          <t>3''</t>
        </is>
      </c>
      <c r="E378" s="45" t="n">
        <v>80</v>
      </c>
      <c r="F378" s="18" t="inlineStr">
        <is>
          <t>XS</t>
        </is>
      </c>
      <c r="G378" s="20" t="n">
        <v>3.5</v>
      </c>
      <c r="H378" s="47" t="n">
        <v>88.90000000000001</v>
      </c>
      <c r="I378" s="20" t="n">
        <v>0.3</v>
      </c>
      <c r="J378" s="47" t="n">
        <v>7.62</v>
      </c>
      <c r="K378" s="20">
        <f>ROUND((H378-J378)*J378*IF(B378="Carbon Steel",$K$7,IF(B378="Stainless Steel 304",$K$8,$L$8)), 3)</f>
        <v/>
      </c>
      <c r="L378" s="47">
        <f>ROUND(K378*$G$5, 2)</f>
        <v/>
      </c>
      <c r="M378" s="45">
        <f>INT($G$6/H378)</f>
        <v/>
      </c>
      <c r="N378" s="45">
        <f>IF(M378=0, 0, IF(OR($K$6="Square Grid", M378=1), INT($G$7/H378), IF($G$7&lt;H378, 0, 1+INT(($G$7-H378)/(0.8660254*H378)))))</f>
        <v/>
      </c>
      <c r="O378" s="48">
        <f>IF(OR(M378=0,N378=0), 0, IF(OR($K$6="Square Grid", M378=1), M378*N378*$K$5, (INT((N378+1)/2)*M378 + INT(N378/2)*IF(($G$6-M378*H378)&gt;=0.5*H378, M378, M378-1))*$K$5))</f>
        <v/>
      </c>
      <c r="P378" s="48">
        <f>IF(L378&lt;=0, 0, INT($G$8/L378))</f>
        <v/>
      </c>
      <c r="Q378" s="42">
        <f>MIN(O378, P378)</f>
        <v/>
      </c>
      <c r="R378" s="43">
        <f>ROUND((Q378*L378)/1000, 2)</f>
        <v/>
      </c>
      <c r="S378" s="49">
        <f>IF($C$8&gt;0, R378/$C$8, 0)</f>
        <v/>
      </c>
      <c r="T378" s="49">
        <f>IF(O378&gt;0, Q378/O378, 0)</f>
        <v/>
      </c>
      <c r="U378" s="18">
        <f>IF(Q378=0, "Exceeds Limit", IF(P378&lt;=O378, "Weight Limited", "Volume Limited"))</f>
        <v/>
      </c>
    </row>
    <row r="379" ht="19" customHeight="1">
      <c r="A379" s="38" t="n">
        <v>369</v>
      </c>
      <c r="B379" s="51" t="inlineStr">
        <is>
          <t>Stainless Steel 304</t>
        </is>
      </c>
      <c r="C379" s="13" t="inlineStr">
        <is>
          <t>ASME B36.19M</t>
        </is>
      </c>
      <c r="D379" s="12" t="inlineStr">
        <is>
          <t>3''</t>
        </is>
      </c>
      <c r="E379" s="38" t="n">
        <v>80</v>
      </c>
      <c r="F379" s="12" t="inlineStr">
        <is>
          <t>160</t>
        </is>
      </c>
      <c r="G379" s="14" t="n">
        <v>3.5</v>
      </c>
      <c r="H379" s="40" t="n">
        <v>88.90000000000001</v>
      </c>
      <c r="I379" s="14" t="n">
        <v>0.438</v>
      </c>
      <c r="J379" s="40" t="n">
        <v>11.13</v>
      </c>
      <c r="K379" s="14">
        <f>ROUND((H379-J379)*J379*IF(B379="Carbon Steel",$K$7,IF(B379="Stainless Steel 304",$K$8,$L$8)), 3)</f>
        <v/>
      </c>
      <c r="L379" s="40">
        <f>ROUND(K379*$G$5, 2)</f>
        <v/>
      </c>
      <c r="M379" s="38">
        <f>INT($G$6/H379)</f>
        <v/>
      </c>
      <c r="N379" s="38">
        <f>IF(M379=0, 0, IF(OR($K$6="Square Grid", M379=1), INT($G$7/H379), IF($G$7&lt;H379, 0, 1+INT(($G$7-H379)/(0.8660254*H379)))))</f>
        <v/>
      </c>
      <c r="O379" s="41">
        <f>IF(OR(M379=0,N379=0), 0, IF(OR($K$6="Square Grid", M379=1), M379*N379*$K$5, (INT((N379+1)/2)*M379 + INT(N379/2)*IF(($G$6-M379*H379)&gt;=0.5*H379, M379, M379-1))*$K$5))</f>
        <v/>
      </c>
      <c r="P379" s="41">
        <f>IF(L379&lt;=0, 0, INT($G$8/L379))</f>
        <v/>
      </c>
      <c r="Q379" s="42">
        <f>MIN(O379, P379)</f>
        <v/>
      </c>
      <c r="R379" s="43">
        <f>ROUND((Q379*L379)/1000, 2)</f>
        <v/>
      </c>
      <c r="S379" s="44">
        <f>IF($C$8&gt;0, R379/$C$8, 0)</f>
        <v/>
      </c>
      <c r="T379" s="44">
        <f>IF(O379&gt;0, Q379/O379, 0)</f>
        <v/>
      </c>
      <c r="U379" s="12">
        <f>IF(Q379=0, "Exceeds Limit", IF(P379&lt;=O379, "Weight Limited", "Volume Limited"))</f>
        <v/>
      </c>
    </row>
    <row r="380" ht="19" customHeight="1">
      <c r="A380" s="45" t="n">
        <v>370</v>
      </c>
      <c r="B380" s="50" t="inlineStr">
        <is>
          <t>Stainless Steel 304</t>
        </is>
      </c>
      <c r="C380" s="19" t="inlineStr">
        <is>
          <t>ASME B36.19M</t>
        </is>
      </c>
      <c r="D380" s="18" t="inlineStr">
        <is>
          <t>3''</t>
        </is>
      </c>
      <c r="E380" s="45" t="n">
        <v>80</v>
      </c>
      <c r="F380" s="18" t="inlineStr">
        <is>
          <t>XXS</t>
        </is>
      </c>
      <c r="G380" s="20" t="n">
        <v>3.5</v>
      </c>
      <c r="H380" s="47" t="n">
        <v>88.90000000000001</v>
      </c>
      <c r="I380" s="20" t="n">
        <v>0.6</v>
      </c>
      <c r="J380" s="47" t="n">
        <v>15.24</v>
      </c>
      <c r="K380" s="20">
        <f>ROUND((H380-J380)*J380*IF(B380="Carbon Steel",$K$7,IF(B380="Stainless Steel 304",$K$8,$L$8)), 3)</f>
        <v/>
      </c>
      <c r="L380" s="47">
        <f>ROUND(K380*$G$5, 2)</f>
        <v/>
      </c>
      <c r="M380" s="45">
        <f>INT($G$6/H380)</f>
        <v/>
      </c>
      <c r="N380" s="45">
        <f>IF(M380=0, 0, IF(OR($K$6="Square Grid", M380=1), INT($G$7/H380), IF($G$7&lt;H380, 0, 1+INT(($G$7-H380)/(0.8660254*H380)))))</f>
        <v/>
      </c>
      <c r="O380" s="48">
        <f>IF(OR(M380=0,N380=0), 0, IF(OR($K$6="Square Grid", M380=1), M380*N380*$K$5, (INT((N380+1)/2)*M380 + INT(N380/2)*IF(($G$6-M380*H380)&gt;=0.5*H380, M380, M380-1))*$K$5))</f>
        <v/>
      </c>
      <c r="P380" s="48">
        <f>IF(L380&lt;=0, 0, INT($G$8/L380))</f>
        <v/>
      </c>
      <c r="Q380" s="42">
        <f>MIN(O380, P380)</f>
        <v/>
      </c>
      <c r="R380" s="43">
        <f>ROUND((Q380*L380)/1000, 2)</f>
        <v/>
      </c>
      <c r="S380" s="49">
        <f>IF($C$8&gt;0, R380/$C$8, 0)</f>
        <v/>
      </c>
      <c r="T380" s="49">
        <f>IF(O380&gt;0, Q380/O380, 0)</f>
        <v/>
      </c>
      <c r="U380" s="18">
        <f>IF(Q380=0, "Exceeds Limit", IF(P380&lt;=O380, "Weight Limited", "Volume Limited"))</f>
        <v/>
      </c>
    </row>
    <row r="381" ht="19" customHeight="1">
      <c r="A381" s="38" t="n">
        <v>371</v>
      </c>
      <c r="B381" s="51" t="inlineStr">
        <is>
          <t>Stainless Steel 304</t>
        </is>
      </c>
      <c r="C381" s="13" t="inlineStr">
        <is>
          <t>ASME B36.19M</t>
        </is>
      </c>
      <c r="D381" s="12" t="inlineStr">
        <is>
          <t>3-1/2''</t>
        </is>
      </c>
      <c r="E381" s="38" t="n">
        <v>90</v>
      </c>
      <c r="F381" s="12" t="inlineStr">
        <is>
          <t>5S</t>
        </is>
      </c>
      <c r="G381" s="14" t="n">
        <v>4</v>
      </c>
      <c r="H381" s="40" t="n">
        <v>101.6</v>
      </c>
      <c r="I381" s="14" t="n">
        <v>0.083</v>
      </c>
      <c r="J381" s="40" t="n">
        <v>2.11</v>
      </c>
      <c r="K381" s="14">
        <f>ROUND((H381-J381)*J381*IF(B381="Carbon Steel",$K$7,IF(B381="Stainless Steel 304",$K$8,$L$8)), 3)</f>
        <v/>
      </c>
      <c r="L381" s="40">
        <f>ROUND(K381*$G$5, 2)</f>
        <v/>
      </c>
      <c r="M381" s="38">
        <f>INT($G$6/H381)</f>
        <v/>
      </c>
      <c r="N381" s="38">
        <f>IF(M381=0, 0, IF(OR($K$6="Square Grid", M381=1), INT($G$7/H381), IF($G$7&lt;H381, 0, 1+INT(($G$7-H381)/(0.8660254*H381)))))</f>
        <v/>
      </c>
      <c r="O381" s="41">
        <f>IF(OR(M381=0,N381=0), 0, IF(OR($K$6="Square Grid", M381=1), M381*N381*$K$5, (INT((N381+1)/2)*M381 + INT(N381/2)*IF(($G$6-M381*H381)&gt;=0.5*H381, M381, M381-1))*$K$5))</f>
        <v/>
      </c>
      <c r="P381" s="41">
        <f>IF(L381&lt;=0, 0, INT($G$8/L381))</f>
        <v/>
      </c>
      <c r="Q381" s="42">
        <f>MIN(O381, P381)</f>
        <v/>
      </c>
      <c r="R381" s="43">
        <f>ROUND((Q381*L381)/1000, 2)</f>
        <v/>
      </c>
      <c r="S381" s="44">
        <f>IF($C$8&gt;0, R381/$C$8, 0)</f>
        <v/>
      </c>
      <c r="T381" s="44">
        <f>IF(O381&gt;0, Q381/O381, 0)</f>
        <v/>
      </c>
      <c r="U381" s="12">
        <f>IF(Q381=0, "Exceeds Limit", IF(P381&lt;=O381, "Weight Limited", "Volume Limited"))</f>
        <v/>
      </c>
    </row>
    <row r="382" ht="19" customHeight="1">
      <c r="A382" s="45" t="n">
        <v>372</v>
      </c>
      <c r="B382" s="50" t="inlineStr">
        <is>
          <t>Stainless Steel 304</t>
        </is>
      </c>
      <c r="C382" s="19" t="inlineStr">
        <is>
          <t>ASME B36.19M</t>
        </is>
      </c>
      <c r="D382" s="18" t="inlineStr">
        <is>
          <t>3-1/2''</t>
        </is>
      </c>
      <c r="E382" s="45" t="n">
        <v>90</v>
      </c>
      <c r="F382" s="18" t="inlineStr">
        <is>
          <t>10S</t>
        </is>
      </c>
      <c r="G382" s="20" t="n">
        <v>4</v>
      </c>
      <c r="H382" s="47" t="n">
        <v>101.6</v>
      </c>
      <c r="I382" s="20" t="n">
        <v>0.12</v>
      </c>
      <c r="J382" s="47" t="n">
        <v>3.05</v>
      </c>
      <c r="K382" s="20">
        <f>ROUND((H382-J382)*J382*IF(B382="Carbon Steel",$K$7,IF(B382="Stainless Steel 304",$K$8,$L$8)), 3)</f>
        <v/>
      </c>
      <c r="L382" s="47">
        <f>ROUND(K382*$G$5, 2)</f>
        <v/>
      </c>
      <c r="M382" s="45">
        <f>INT($G$6/H382)</f>
        <v/>
      </c>
      <c r="N382" s="45">
        <f>IF(M382=0, 0, IF(OR($K$6="Square Grid", M382=1), INT($G$7/H382), IF($G$7&lt;H382, 0, 1+INT(($G$7-H382)/(0.8660254*H382)))))</f>
        <v/>
      </c>
      <c r="O382" s="48">
        <f>IF(OR(M382=0,N382=0), 0, IF(OR($K$6="Square Grid", M382=1), M382*N382*$K$5, (INT((N382+1)/2)*M382 + INT(N382/2)*IF(($G$6-M382*H382)&gt;=0.5*H382, M382, M382-1))*$K$5))</f>
        <v/>
      </c>
      <c r="P382" s="48">
        <f>IF(L382&lt;=0, 0, INT($G$8/L382))</f>
        <v/>
      </c>
      <c r="Q382" s="42">
        <f>MIN(O382, P382)</f>
        <v/>
      </c>
      <c r="R382" s="43">
        <f>ROUND((Q382*L382)/1000, 2)</f>
        <v/>
      </c>
      <c r="S382" s="49">
        <f>IF($C$8&gt;0, R382/$C$8, 0)</f>
        <v/>
      </c>
      <c r="T382" s="49">
        <f>IF(O382&gt;0, Q382/O382, 0)</f>
        <v/>
      </c>
      <c r="U382" s="18">
        <f>IF(Q382=0, "Exceeds Limit", IF(P382&lt;=O382, "Weight Limited", "Volume Limited"))</f>
        <v/>
      </c>
    </row>
    <row r="383" ht="19" customHeight="1">
      <c r="A383" s="38" t="n">
        <v>373</v>
      </c>
      <c r="B383" s="51" t="inlineStr">
        <is>
          <t>Stainless Steel 304</t>
        </is>
      </c>
      <c r="C383" s="13" t="inlineStr">
        <is>
          <t>ASME B36.19M</t>
        </is>
      </c>
      <c r="D383" s="12" t="inlineStr">
        <is>
          <t>3-1/2''</t>
        </is>
      </c>
      <c r="E383" s="38" t="n">
        <v>90</v>
      </c>
      <c r="F383" s="12" t="inlineStr">
        <is>
          <t>40S</t>
        </is>
      </c>
      <c r="G383" s="14" t="n">
        <v>4</v>
      </c>
      <c r="H383" s="40" t="n">
        <v>101.6</v>
      </c>
      <c r="I383" s="14" t="n">
        <v>0.226</v>
      </c>
      <c r="J383" s="40" t="n">
        <v>5.74</v>
      </c>
      <c r="K383" s="14">
        <f>ROUND((H383-J383)*J383*IF(B383="Carbon Steel",$K$7,IF(B383="Stainless Steel 304",$K$8,$L$8)), 3)</f>
        <v/>
      </c>
      <c r="L383" s="40">
        <f>ROUND(K383*$G$5, 2)</f>
        <v/>
      </c>
      <c r="M383" s="38">
        <f>INT($G$6/H383)</f>
        <v/>
      </c>
      <c r="N383" s="38">
        <f>IF(M383=0, 0, IF(OR($K$6="Square Grid", M383=1), INT($G$7/H383), IF($G$7&lt;H383, 0, 1+INT(($G$7-H383)/(0.8660254*H383)))))</f>
        <v/>
      </c>
      <c r="O383" s="41">
        <f>IF(OR(M383=0,N383=0), 0, IF(OR($K$6="Square Grid", M383=1), M383*N383*$K$5, (INT((N383+1)/2)*M383 + INT(N383/2)*IF(($G$6-M383*H383)&gt;=0.5*H383, M383, M383-1))*$K$5))</f>
        <v/>
      </c>
      <c r="P383" s="41">
        <f>IF(L383&lt;=0, 0, INT($G$8/L383))</f>
        <v/>
      </c>
      <c r="Q383" s="42">
        <f>MIN(O383, P383)</f>
        <v/>
      </c>
      <c r="R383" s="43">
        <f>ROUND((Q383*L383)/1000, 2)</f>
        <v/>
      </c>
      <c r="S383" s="44">
        <f>IF($C$8&gt;0, R383/$C$8, 0)</f>
        <v/>
      </c>
      <c r="T383" s="44">
        <f>IF(O383&gt;0, Q383/O383, 0)</f>
        <v/>
      </c>
      <c r="U383" s="12">
        <f>IF(Q383=0, "Exceeds Limit", IF(P383&lt;=O383, "Weight Limited", "Volume Limited"))</f>
        <v/>
      </c>
    </row>
    <row r="384" ht="19" customHeight="1">
      <c r="A384" s="45" t="n">
        <v>374</v>
      </c>
      <c r="B384" s="50" t="inlineStr">
        <is>
          <t>Stainless Steel 304</t>
        </is>
      </c>
      <c r="C384" s="19" t="inlineStr">
        <is>
          <t>ASME B36.19M</t>
        </is>
      </c>
      <c r="D384" s="18" t="inlineStr">
        <is>
          <t>3-1/2''</t>
        </is>
      </c>
      <c r="E384" s="45" t="n">
        <v>90</v>
      </c>
      <c r="F384" s="18" t="inlineStr">
        <is>
          <t>80S</t>
        </is>
      </c>
      <c r="G384" s="20" t="n">
        <v>4</v>
      </c>
      <c r="H384" s="47" t="n">
        <v>101.6</v>
      </c>
      <c r="I384" s="20" t="n">
        <v>0.318</v>
      </c>
      <c r="J384" s="47" t="n">
        <v>8.08</v>
      </c>
      <c r="K384" s="20">
        <f>ROUND((H384-J384)*J384*IF(B384="Carbon Steel",$K$7,IF(B384="Stainless Steel 304",$K$8,$L$8)), 3)</f>
        <v/>
      </c>
      <c r="L384" s="47">
        <f>ROUND(K384*$G$5, 2)</f>
        <v/>
      </c>
      <c r="M384" s="45">
        <f>INT($G$6/H384)</f>
        <v/>
      </c>
      <c r="N384" s="45">
        <f>IF(M384=0, 0, IF(OR($K$6="Square Grid", M384=1), INT($G$7/H384), IF($G$7&lt;H384, 0, 1+INT(($G$7-H384)/(0.8660254*H384)))))</f>
        <v/>
      </c>
      <c r="O384" s="48">
        <f>IF(OR(M384=0,N384=0), 0, IF(OR($K$6="Square Grid", M384=1), M384*N384*$K$5, (INT((N384+1)/2)*M384 + INT(N384/2)*IF(($G$6-M384*H384)&gt;=0.5*H384, M384, M384-1))*$K$5))</f>
        <v/>
      </c>
      <c r="P384" s="48">
        <f>IF(L384&lt;=0, 0, INT($G$8/L384))</f>
        <v/>
      </c>
      <c r="Q384" s="42">
        <f>MIN(O384, P384)</f>
        <v/>
      </c>
      <c r="R384" s="43">
        <f>ROUND((Q384*L384)/1000, 2)</f>
        <v/>
      </c>
      <c r="S384" s="49">
        <f>IF($C$8&gt;0, R384/$C$8, 0)</f>
        <v/>
      </c>
      <c r="T384" s="49">
        <f>IF(O384&gt;0, Q384/O384, 0)</f>
        <v/>
      </c>
      <c r="U384" s="18">
        <f>IF(Q384=0, "Exceeds Limit", IF(P384&lt;=O384, "Weight Limited", "Volume Limited"))</f>
        <v/>
      </c>
    </row>
    <row r="385" ht="19" customHeight="1">
      <c r="A385" s="38" t="n">
        <v>375</v>
      </c>
      <c r="B385" s="51" t="inlineStr">
        <is>
          <t>Stainless Steel 304</t>
        </is>
      </c>
      <c r="C385" s="13" t="inlineStr">
        <is>
          <t>ASME B36.19M</t>
        </is>
      </c>
      <c r="D385" s="12" t="inlineStr">
        <is>
          <t>3-1/2''</t>
        </is>
      </c>
      <c r="E385" s="38" t="n">
        <v>90</v>
      </c>
      <c r="F385" s="12" t="inlineStr">
        <is>
          <t>STD</t>
        </is>
      </c>
      <c r="G385" s="14" t="n">
        <v>4</v>
      </c>
      <c r="H385" s="40" t="n">
        <v>101.6</v>
      </c>
      <c r="I385" s="14" t="n">
        <v>0.226</v>
      </c>
      <c r="J385" s="40" t="n">
        <v>5.74</v>
      </c>
      <c r="K385" s="14">
        <f>ROUND((H385-J385)*J385*IF(B385="Carbon Steel",$K$7,IF(B385="Stainless Steel 304",$K$8,$L$8)), 3)</f>
        <v/>
      </c>
      <c r="L385" s="40">
        <f>ROUND(K385*$G$5, 2)</f>
        <v/>
      </c>
      <c r="M385" s="38">
        <f>INT($G$6/H385)</f>
        <v/>
      </c>
      <c r="N385" s="38">
        <f>IF(M385=0, 0, IF(OR($K$6="Square Grid", M385=1), INT($G$7/H385), IF($G$7&lt;H385, 0, 1+INT(($G$7-H385)/(0.8660254*H385)))))</f>
        <v/>
      </c>
      <c r="O385" s="41">
        <f>IF(OR(M385=0,N385=0), 0, IF(OR($K$6="Square Grid", M385=1), M385*N385*$K$5, (INT((N385+1)/2)*M385 + INT(N385/2)*IF(($G$6-M385*H385)&gt;=0.5*H385, M385, M385-1))*$K$5))</f>
        <v/>
      </c>
      <c r="P385" s="41">
        <f>IF(L385&lt;=0, 0, INT($G$8/L385))</f>
        <v/>
      </c>
      <c r="Q385" s="42">
        <f>MIN(O385, P385)</f>
        <v/>
      </c>
      <c r="R385" s="43">
        <f>ROUND((Q385*L385)/1000, 2)</f>
        <v/>
      </c>
      <c r="S385" s="44">
        <f>IF($C$8&gt;0, R385/$C$8, 0)</f>
        <v/>
      </c>
      <c r="T385" s="44">
        <f>IF(O385&gt;0, Q385/O385, 0)</f>
        <v/>
      </c>
      <c r="U385" s="12">
        <f>IF(Q385=0, "Exceeds Limit", IF(P385&lt;=O385, "Weight Limited", "Volume Limited"))</f>
        <v/>
      </c>
    </row>
    <row r="386" ht="19" customHeight="1">
      <c r="A386" s="45" t="n">
        <v>376</v>
      </c>
      <c r="B386" s="50" t="inlineStr">
        <is>
          <t>Stainless Steel 304</t>
        </is>
      </c>
      <c r="C386" s="19" t="inlineStr">
        <is>
          <t>ASME B36.19M</t>
        </is>
      </c>
      <c r="D386" s="18" t="inlineStr">
        <is>
          <t>3-1/2''</t>
        </is>
      </c>
      <c r="E386" s="45" t="n">
        <v>90</v>
      </c>
      <c r="F386" s="18" t="inlineStr">
        <is>
          <t>XS</t>
        </is>
      </c>
      <c r="G386" s="20" t="n">
        <v>4</v>
      </c>
      <c r="H386" s="47" t="n">
        <v>101.6</v>
      </c>
      <c r="I386" s="20" t="n">
        <v>0.318</v>
      </c>
      <c r="J386" s="47" t="n">
        <v>8.08</v>
      </c>
      <c r="K386" s="20">
        <f>ROUND((H386-J386)*J386*IF(B386="Carbon Steel",$K$7,IF(B386="Stainless Steel 304",$K$8,$L$8)), 3)</f>
        <v/>
      </c>
      <c r="L386" s="47">
        <f>ROUND(K386*$G$5, 2)</f>
        <v/>
      </c>
      <c r="M386" s="45">
        <f>INT($G$6/H386)</f>
        <v/>
      </c>
      <c r="N386" s="45">
        <f>IF(M386=0, 0, IF(OR($K$6="Square Grid", M386=1), INT($G$7/H386), IF($G$7&lt;H386, 0, 1+INT(($G$7-H386)/(0.8660254*H386)))))</f>
        <v/>
      </c>
      <c r="O386" s="48">
        <f>IF(OR(M386=0,N386=0), 0, IF(OR($K$6="Square Grid", M386=1), M386*N386*$K$5, (INT((N386+1)/2)*M386 + INT(N386/2)*IF(($G$6-M386*H386)&gt;=0.5*H386, M386, M386-1))*$K$5))</f>
        <v/>
      </c>
      <c r="P386" s="48">
        <f>IF(L386&lt;=0, 0, INT($G$8/L386))</f>
        <v/>
      </c>
      <c r="Q386" s="42">
        <f>MIN(O386, P386)</f>
        <v/>
      </c>
      <c r="R386" s="43">
        <f>ROUND((Q386*L386)/1000, 2)</f>
        <v/>
      </c>
      <c r="S386" s="49">
        <f>IF($C$8&gt;0, R386/$C$8, 0)</f>
        <v/>
      </c>
      <c r="T386" s="49">
        <f>IF(O386&gt;0, Q386/O386, 0)</f>
        <v/>
      </c>
      <c r="U386" s="18">
        <f>IF(Q386=0, "Exceeds Limit", IF(P386&lt;=O386, "Weight Limited", "Volume Limited"))</f>
        <v/>
      </c>
    </row>
    <row r="387" ht="19" customHeight="1">
      <c r="A387" s="38" t="n">
        <v>377</v>
      </c>
      <c r="B387" s="51" t="inlineStr">
        <is>
          <t>Stainless Steel 304</t>
        </is>
      </c>
      <c r="C387" s="13" t="inlineStr">
        <is>
          <t>ASME B36.19M</t>
        </is>
      </c>
      <c r="D387" s="12" t="inlineStr">
        <is>
          <t>3-1/2''</t>
        </is>
      </c>
      <c r="E387" s="38" t="n">
        <v>90</v>
      </c>
      <c r="F387" s="12" t="inlineStr">
        <is>
          <t>XXS</t>
        </is>
      </c>
      <c r="G387" s="14" t="n">
        <v>4</v>
      </c>
      <c r="H387" s="40" t="n">
        <v>101.6</v>
      </c>
      <c r="I387" s="14" t="n">
        <v>0.636</v>
      </c>
      <c r="J387" s="40" t="n">
        <v>16.15</v>
      </c>
      <c r="K387" s="14">
        <f>ROUND((H387-J387)*J387*IF(B387="Carbon Steel",$K$7,IF(B387="Stainless Steel 304",$K$8,$L$8)), 3)</f>
        <v/>
      </c>
      <c r="L387" s="40">
        <f>ROUND(K387*$G$5, 2)</f>
        <v/>
      </c>
      <c r="M387" s="38">
        <f>INT($G$6/H387)</f>
        <v/>
      </c>
      <c r="N387" s="38">
        <f>IF(M387=0, 0, IF(OR($K$6="Square Grid", M387=1), INT($G$7/H387), IF($G$7&lt;H387, 0, 1+INT(($G$7-H387)/(0.8660254*H387)))))</f>
        <v/>
      </c>
      <c r="O387" s="41">
        <f>IF(OR(M387=0,N387=0), 0, IF(OR($K$6="Square Grid", M387=1), M387*N387*$K$5, (INT((N387+1)/2)*M387 + INT(N387/2)*IF(($G$6-M387*H387)&gt;=0.5*H387, M387, M387-1))*$K$5))</f>
        <v/>
      </c>
      <c r="P387" s="41">
        <f>IF(L387&lt;=0, 0, INT($G$8/L387))</f>
        <v/>
      </c>
      <c r="Q387" s="42">
        <f>MIN(O387, P387)</f>
        <v/>
      </c>
      <c r="R387" s="43">
        <f>ROUND((Q387*L387)/1000, 2)</f>
        <v/>
      </c>
      <c r="S387" s="44">
        <f>IF($C$8&gt;0, R387/$C$8, 0)</f>
        <v/>
      </c>
      <c r="T387" s="44">
        <f>IF(O387&gt;0, Q387/O387, 0)</f>
        <v/>
      </c>
      <c r="U387" s="12">
        <f>IF(Q387=0, "Exceeds Limit", IF(P387&lt;=O387, "Weight Limited", "Volume Limited"))</f>
        <v/>
      </c>
    </row>
    <row r="388" ht="19" customHeight="1">
      <c r="A388" s="45" t="n">
        <v>378</v>
      </c>
      <c r="B388" s="50" t="inlineStr">
        <is>
          <t>Stainless Steel 304</t>
        </is>
      </c>
      <c r="C388" s="19" t="inlineStr">
        <is>
          <t>ASME B36.19M</t>
        </is>
      </c>
      <c r="D388" s="18" t="inlineStr">
        <is>
          <t>4''</t>
        </is>
      </c>
      <c r="E388" s="45" t="n">
        <v>100</v>
      </c>
      <c r="F388" s="18" t="inlineStr">
        <is>
          <t>5S</t>
        </is>
      </c>
      <c r="G388" s="20" t="n">
        <v>4.5</v>
      </c>
      <c r="H388" s="47" t="n">
        <v>114.3</v>
      </c>
      <c r="I388" s="20" t="n">
        <v>0.083</v>
      </c>
      <c r="J388" s="47" t="n">
        <v>2.11</v>
      </c>
      <c r="K388" s="20">
        <f>ROUND((H388-J388)*J388*IF(B388="Carbon Steel",$K$7,IF(B388="Stainless Steel 304",$K$8,$L$8)), 3)</f>
        <v/>
      </c>
      <c r="L388" s="47">
        <f>ROUND(K388*$G$5, 2)</f>
        <v/>
      </c>
      <c r="M388" s="45">
        <f>INT($G$6/H388)</f>
        <v/>
      </c>
      <c r="N388" s="45">
        <f>IF(M388=0, 0, IF(OR($K$6="Square Grid", M388=1), INT($G$7/H388), IF($G$7&lt;H388, 0, 1+INT(($G$7-H388)/(0.8660254*H388)))))</f>
        <v/>
      </c>
      <c r="O388" s="48">
        <f>IF(OR(M388=0,N388=0), 0, IF(OR($K$6="Square Grid", M388=1), M388*N388*$K$5, (INT((N388+1)/2)*M388 + INT(N388/2)*IF(($G$6-M388*H388)&gt;=0.5*H388, M388, M388-1))*$K$5))</f>
        <v/>
      </c>
      <c r="P388" s="48">
        <f>IF(L388&lt;=0, 0, INT($G$8/L388))</f>
        <v/>
      </c>
      <c r="Q388" s="42">
        <f>MIN(O388, P388)</f>
        <v/>
      </c>
      <c r="R388" s="43">
        <f>ROUND((Q388*L388)/1000, 2)</f>
        <v/>
      </c>
      <c r="S388" s="49">
        <f>IF($C$8&gt;0, R388/$C$8, 0)</f>
        <v/>
      </c>
      <c r="T388" s="49">
        <f>IF(O388&gt;0, Q388/O388, 0)</f>
        <v/>
      </c>
      <c r="U388" s="18">
        <f>IF(Q388=0, "Exceeds Limit", IF(P388&lt;=O388, "Weight Limited", "Volume Limited"))</f>
        <v/>
      </c>
    </row>
    <row r="389" ht="19" customHeight="1">
      <c r="A389" s="38" t="n">
        <v>379</v>
      </c>
      <c r="B389" s="51" t="inlineStr">
        <is>
          <t>Stainless Steel 304</t>
        </is>
      </c>
      <c r="C389" s="13" t="inlineStr">
        <is>
          <t>ASME B36.19M</t>
        </is>
      </c>
      <c r="D389" s="12" t="inlineStr">
        <is>
          <t>4''</t>
        </is>
      </c>
      <c r="E389" s="38" t="n">
        <v>100</v>
      </c>
      <c r="F389" s="12" t="inlineStr">
        <is>
          <t>10S</t>
        </is>
      </c>
      <c r="G389" s="14" t="n">
        <v>4.5</v>
      </c>
      <c r="H389" s="40" t="n">
        <v>114.3</v>
      </c>
      <c r="I389" s="14" t="n">
        <v>0.12</v>
      </c>
      <c r="J389" s="40" t="n">
        <v>3.05</v>
      </c>
      <c r="K389" s="14">
        <f>ROUND((H389-J389)*J389*IF(B389="Carbon Steel",$K$7,IF(B389="Stainless Steel 304",$K$8,$L$8)), 3)</f>
        <v/>
      </c>
      <c r="L389" s="40">
        <f>ROUND(K389*$G$5, 2)</f>
        <v/>
      </c>
      <c r="M389" s="38">
        <f>INT($G$6/H389)</f>
        <v/>
      </c>
      <c r="N389" s="38">
        <f>IF(M389=0, 0, IF(OR($K$6="Square Grid", M389=1), INT($G$7/H389), IF($G$7&lt;H389, 0, 1+INT(($G$7-H389)/(0.8660254*H389)))))</f>
        <v/>
      </c>
      <c r="O389" s="41">
        <f>IF(OR(M389=0,N389=0), 0, IF(OR($K$6="Square Grid", M389=1), M389*N389*$K$5, (INT((N389+1)/2)*M389 + INT(N389/2)*IF(($G$6-M389*H389)&gt;=0.5*H389, M389, M389-1))*$K$5))</f>
        <v/>
      </c>
      <c r="P389" s="41">
        <f>IF(L389&lt;=0, 0, INT($G$8/L389))</f>
        <v/>
      </c>
      <c r="Q389" s="42">
        <f>MIN(O389, P389)</f>
        <v/>
      </c>
      <c r="R389" s="43">
        <f>ROUND((Q389*L389)/1000, 2)</f>
        <v/>
      </c>
      <c r="S389" s="44">
        <f>IF($C$8&gt;0, R389/$C$8, 0)</f>
        <v/>
      </c>
      <c r="T389" s="44">
        <f>IF(O389&gt;0, Q389/O389, 0)</f>
        <v/>
      </c>
      <c r="U389" s="12">
        <f>IF(Q389=0, "Exceeds Limit", IF(P389&lt;=O389, "Weight Limited", "Volume Limited"))</f>
        <v/>
      </c>
    </row>
    <row r="390" ht="19" customHeight="1">
      <c r="A390" s="45" t="n">
        <v>380</v>
      </c>
      <c r="B390" s="50" t="inlineStr">
        <is>
          <t>Stainless Steel 304</t>
        </is>
      </c>
      <c r="C390" s="19" t="inlineStr">
        <is>
          <t>ASME B36.19M</t>
        </is>
      </c>
      <c r="D390" s="18" t="inlineStr">
        <is>
          <t>4''</t>
        </is>
      </c>
      <c r="E390" s="45" t="n">
        <v>100</v>
      </c>
      <c r="F390" s="18" t="inlineStr">
        <is>
          <t>40S</t>
        </is>
      </c>
      <c r="G390" s="20" t="n">
        <v>4.5</v>
      </c>
      <c r="H390" s="47" t="n">
        <v>114.3</v>
      </c>
      <c r="I390" s="20" t="n">
        <v>0.237</v>
      </c>
      <c r="J390" s="47" t="n">
        <v>6.02</v>
      </c>
      <c r="K390" s="20">
        <f>ROUND((H390-J390)*J390*IF(B390="Carbon Steel",$K$7,IF(B390="Stainless Steel 304",$K$8,$L$8)), 3)</f>
        <v/>
      </c>
      <c r="L390" s="47">
        <f>ROUND(K390*$G$5, 2)</f>
        <v/>
      </c>
      <c r="M390" s="45">
        <f>INT($G$6/H390)</f>
        <v/>
      </c>
      <c r="N390" s="45">
        <f>IF(M390=0, 0, IF(OR($K$6="Square Grid", M390=1), INT($G$7/H390), IF($G$7&lt;H390, 0, 1+INT(($G$7-H390)/(0.8660254*H390)))))</f>
        <v/>
      </c>
      <c r="O390" s="48">
        <f>IF(OR(M390=0,N390=0), 0, IF(OR($K$6="Square Grid", M390=1), M390*N390*$K$5, (INT((N390+1)/2)*M390 + INT(N390/2)*IF(($G$6-M390*H390)&gt;=0.5*H390, M390, M390-1))*$K$5))</f>
        <v/>
      </c>
      <c r="P390" s="48">
        <f>IF(L390&lt;=0, 0, INT($G$8/L390))</f>
        <v/>
      </c>
      <c r="Q390" s="42">
        <f>MIN(O390, P390)</f>
        <v/>
      </c>
      <c r="R390" s="43">
        <f>ROUND((Q390*L390)/1000, 2)</f>
        <v/>
      </c>
      <c r="S390" s="49">
        <f>IF($C$8&gt;0, R390/$C$8, 0)</f>
        <v/>
      </c>
      <c r="T390" s="49">
        <f>IF(O390&gt;0, Q390/O390, 0)</f>
        <v/>
      </c>
      <c r="U390" s="18">
        <f>IF(Q390=0, "Exceeds Limit", IF(P390&lt;=O390, "Weight Limited", "Volume Limited"))</f>
        <v/>
      </c>
    </row>
    <row r="391" ht="19" customHeight="1">
      <c r="A391" s="38" t="n">
        <v>381</v>
      </c>
      <c r="B391" s="51" t="inlineStr">
        <is>
          <t>Stainless Steel 304</t>
        </is>
      </c>
      <c r="C391" s="13" t="inlineStr">
        <is>
          <t>ASME B36.19M</t>
        </is>
      </c>
      <c r="D391" s="12" t="inlineStr">
        <is>
          <t>4''</t>
        </is>
      </c>
      <c r="E391" s="38" t="n">
        <v>100</v>
      </c>
      <c r="F391" s="12" t="inlineStr">
        <is>
          <t>80S</t>
        </is>
      </c>
      <c r="G391" s="14" t="n">
        <v>4.5</v>
      </c>
      <c r="H391" s="40" t="n">
        <v>114.3</v>
      </c>
      <c r="I391" s="14" t="n">
        <v>0.337</v>
      </c>
      <c r="J391" s="40" t="n">
        <v>8.56</v>
      </c>
      <c r="K391" s="14">
        <f>ROUND((H391-J391)*J391*IF(B391="Carbon Steel",$K$7,IF(B391="Stainless Steel 304",$K$8,$L$8)), 3)</f>
        <v/>
      </c>
      <c r="L391" s="40">
        <f>ROUND(K391*$G$5, 2)</f>
        <v/>
      </c>
      <c r="M391" s="38">
        <f>INT($G$6/H391)</f>
        <v/>
      </c>
      <c r="N391" s="38">
        <f>IF(M391=0, 0, IF(OR($K$6="Square Grid", M391=1), INT($G$7/H391), IF($G$7&lt;H391, 0, 1+INT(($G$7-H391)/(0.8660254*H391)))))</f>
        <v/>
      </c>
      <c r="O391" s="41">
        <f>IF(OR(M391=0,N391=0), 0, IF(OR($K$6="Square Grid", M391=1), M391*N391*$K$5, (INT((N391+1)/2)*M391 + INT(N391/2)*IF(($G$6-M391*H391)&gt;=0.5*H391, M391, M391-1))*$K$5))</f>
        <v/>
      </c>
      <c r="P391" s="41">
        <f>IF(L391&lt;=0, 0, INT($G$8/L391))</f>
        <v/>
      </c>
      <c r="Q391" s="42">
        <f>MIN(O391, P391)</f>
        <v/>
      </c>
      <c r="R391" s="43">
        <f>ROUND((Q391*L391)/1000, 2)</f>
        <v/>
      </c>
      <c r="S391" s="44">
        <f>IF($C$8&gt;0, R391/$C$8, 0)</f>
        <v/>
      </c>
      <c r="T391" s="44">
        <f>IF(O391&gt;0, Q391/O391, 0)</f>
        <v/>
      </c>
      <c r="U391" s="12">
        <f>IF(Q391=0, "Exceeds Limit", IF(P391&lt;=O391, "Weight Limited", "Volume Limited"))</f>
        <v/>
      </c>
    </row>
    <row r="392" ht="19" customHeight="1">
      <c r="A392" s="45" t="n">
        <v>382</v>
      </c>
      <c r="B392" s="50" t="inlineStr">
        <is>
          <t>Stainless Steel 304</t>
        </is>
      </c>
      <c r="C392" s="19" t="inlineStr">
        <is>
          <t>ASME B36.19M</t>
        </is>
      </c>
      <c r="D392" s="18" t="inlineStr">
        <is>
          <t>4''</t>
        </is>
      </c>
      <c r="E392" s="45" t="n">
        <v>100</v>
      </c>
      <c r="F392" s="18" t="inlineStr">
        <is>
          <t>STD</t>
        </is>
      </c>
      <c r="G392" s="20" t="n">
        <v>4.5</v>
      </c>
      <c r="H392" s="47" t="n">
        <v>114.3</v>
      </c>
      <c r="I392" s="20" t="n">
        <v>0.237</v>
      </c>
      <c r="J392" s="47" t="n">
        <v>6.02</v>
      </c>
      <c r="K392" s="20">
        <f>ROUND((H392-J392)*J392*IF(B392="Carbon Steel",$K$7,IF(B392="Stainless Steel 304",$K$8,$L$8)), 3)</f>
        <v/>
      </c>
      <c r="L392" s="47">
        <f>ROUND(K392*$G$5, 2)</f>
        <v/>
      </c>
      <c r="M392" s="45">
        <f>INT($G$6/H392)</f>
        <v/>
      </c>
      <c r="N392" s="45">
        <f>IF(M392=0, 0, IF(OR($K$6="Square Grid", M392=1), INT($G$7/H392), IF($G$7&lt;H392, 0, 1+INT(($G$7-H392)/(0.8660254*H392)))))</f>
        <v/>
      </c>
      <c r="O392" s="48">
        <f>IF(OR(M392=0,N392=0), 0, IF(OR($K$6="Square Grid", M392=1), M392*N392*$K$5, (INT((N392+1)/2)*M392 + INT(N392/2)*IF(($G$6-M392*H392)&gt;=0.5*H392, M392, M392-1))*$K$5))</f>
        <v/>
      </c>
      <c r="P392" s="48">
        <f>IF(L392&lt;=0, 0, INT($G$8/L392))</f>
        <v/>
      </c>
      <c r="Q392" s="42">
        <f>MIN(O392, P392)</f>
        <v/>
      </c>
      <c r="R392" s="43">
        <f>ROUND((Q392*L392)/1000, 2)</f>
        <v/>
      </c>
      <c r="S392" s="49">
        <f>IF($C$8&gt;0, R392/$C$8, 0)</f>
        <v/>
      </c>
      <c r="T392" s="49">
        <f>IF(O392&gt;0, Q392/O392, 0)</f>
        <v/>
      </c>
      <c r="U392" s="18">
        <f>IF(Q392=0, "Exceeds Limit", IF(P392&lt;=O392, "Weight Limited", "Volume Limited"))</f>
        <v/>
      </c>
    </row>
    <row r="393" ht="19" customHeight="1">
      <c r="A393" s="38" t="n">
        <v>383</v>
      </c>
      <c r="B393" s="51" t="inlineStr">
        <is>
          <t>Stainless Steel 304</t>
        </is>
      </c>
      <c r="C393" s="13" t="inlineStr">
        <is>
          <t>ASME B36.19M</t>
        </is>
      </c>
      <c r="D393" s="12" t="inlineStr">
        <is>
          <t>4''</t>
        </is>
      </c>
      <c r="E393" s="38" t="n">
        <v>100</v>
      </c>
      <c r="F393" s="12" t="inlineStr">
        <is>
          <t>XS</t>
        </is>
      </c>
      <c r="G393" s="14" t="n">
        <v>4.5</v>
      </c>
      <c r="H393" s="40" t="n">
        <v>114.3</v>
      </c>
      <c r="I393" s="14" t="n">
        <v>0.337</v>
      </c>
      <c r="J393" s="40" t="n">
        <v>8.56</v>
      </c>
      <c r="K393" s="14">
        <f>ROUND((H393-J393)*J393*IF(B393="Carbon Steel",$K$7,IF(B393="Stainless Steel 304",$K$8,$L$8)), 3)</f>
        <v/>
      </c>
      <c r="L393" s="40">
        <f>ROUND(K393*$G$5, 2)</f>
        <v/>
      </c>
      <c r="M393" s="38">
        <f>INT($G$6/H393)</f>
        <v/>
      </c>
      <c r="N393" s="38">
        <f>IF(M393=0, 0, IF(OR($K$6="Square Grid", M393=1), INT($G$7/H393), IF($G$7&lt;H393, 0, 1+INT(($G$7-H393)/(0.8660254*H393)))))</f>
        <v/>
      </c>
      <c r="O393" s="41">
        <f>IF(OR(M393=0,N393=0), 0, IF(OR($K$6="Square Grid", M393=1), M393*N393*$K$5, (INT((N393+1)/2)*M393 + INT(N393/2)*IF(($G$6-M393*H393)&gt;=0.5*H393, M393, M393-1))*$K$5))</f>
        <v/>
      </c>
      <c r="P393" s="41">
        <f>IF(L393&lt;=0, 0, INT($G$8/L393))</f>
        <v/>
      </c>
      <c r="Q393" s="42">
        <f>MIN(O393, P393)</f>
        <v/>
      </c>
      <c r="R393" s="43">
        <f>ROUND((Q393*L393)/1000, 2)</f>
        <v/>
      </c>
      <c r="S393" s="44">
        <f>IF($C$8&gt;0, R393/$C$8, 0)</f>
        <v/>
      </c>
      <c r="T393" s="44">
        <f>IF(O393&gt;0, Q393/O393, 0)</f>
        <v/>
      </c>
      <c r="U393" s="12">
        <f>IF(Q393=0, "Exceeds Limit", IF(P393&lt;=O393, "Weight Limited", "Volume Limited"))</f>
        <v/>
      </c>
    </row>
    <row r="394" ht="19" customHeight="1">
      <c r="A394" s="45" t="n">
        <v>384</v>
      </c>
      <c r="B394" s="50" t="inlineStr">
        <is>
          <t>Stainless Steel 304</t>
        </is>
      </c>
      <c r="C394" s="19" t="inlineStr">
        <is>
          <t>ASME B36.19M</t>
        </is>
      </c>
      <c r="D394" s="18" t="inlineStr">
        <is>
          <t>4''</t>
        </is>
      </c>
      <c r="E394" s="45" t="n">
        <v>100</v>
      </c>
      <c r="F394" s="18" t="inlineStr">
        <is>
          <t>160</t>
        </is>
      </c>
      <c r="G394" s="20" t="n">
        <v>4.5</v>
      </c>
      <c r="H394" s="47" t="n">
        <v>114.3</v>
      </c>
      <c r="I394" s="20" t="n">
        <v>0.531</v>
      </c>
      <c r="J394" s="47" t="n">
        <v>13.49</v>
      </c>
      <c r="K394" s="20">
        <f>ROUND((H394-J394)*J394*IF(B394="Carbon Steel",$K$7,IF(B394="Stainless Steel 304",$K$8,$L$8)), 3)</f>
        <v/>
      </c>
      <c r="L394" s="47">
        <f>ROUND(K394*$G$5, 2)</f>
        <v/>
      </c>
      <c r="M394" s="45">
        <f>INT($G$6/H394)</f>
        <v/>
      </c>
      <c r="N394" s="45">
        <f>IF(M394=0, 0, IF(OR($K$6="Square Grid", M394=1), INT($G$7/H394), IF($G$7&lt;H394, 0, 1+INT(($G$7-H394)/(0.8660254*H394)))))</f>
        <v/>
      </c>
      <c r="O394" s="48">
        <f>IF(OR(M394=0,N394=0), 0, IF(OR($K$6="Square Grid", M394=1), M394*N394*$K$5, (INT((N394+1)/2)*M394 + INT(N394/2)*IF(($G$6-M394*H394)&gt;=0.5*H394, M394, M394-1))*$K$5))</f>
        <v/>
      </c>
      <c r="P394" s="48">
        <f>IF(L394&lt;=0, 0, INT($G$8/L394))</f>
        <v/>
      </c>
      <c r="Q394" s="42">
        <f>MIN(O394, P394)</f>
        <v/>
      </c>
      <c r="R394" s="43">
        <f>ROUND((Q394*L394)/1000, 2)</f>
        <v/>
      </c>
      <c r="S394" s="49">
        <f>IF($C$8&gt;0, R394/$C$8, 0)</f>
        <v/>
      </c>
      <c r="T394" s="49">
        <f>IF(O394&gt;0, Q394/O394, 0)</f>
        <v/>
      </c>
      <c r="U394" s="18">
        <f>IF(Q394=0, "Exceeds Limit", IF(P394&lt;=O394, "Weight Limited", "Volume Limited"))</f>
        <v/>
      </c>
    </row>
    <row r="395" ht="19" customHeight="1">
      <c r="A395" s="38" t="n">
        <v>385</v>
      </c>
      <c r="B395" s="51" t="inlineStr">
        <is>
          <t>Stainless Steel 304</t>
        </is>
      </c>
      <c r="C395" s="13" t="inlineStr">
        <is>
          <t>ASME B36.19M</t>
        </is>
      </c>
      <c r="D395" s="12" t="inlineStr">
        <is>
          <t>4''</t>
        </is>
      </c>
      <c r="E395" s="38" t="n">
        <v>100</v>
      </c>
      <c r="F395" s="12" t="inlineStr">
        <is>
          <t>XXS</t>
        </is>
      </c>
      <c r="G395" s="14" t="n">
        <v>4.5</v>
      </c>
      <c r="H395" s="40" t="n">
        <v>114.3</v>
      </c>
      <c r="I395" s="14" t="n">
        <v>0.674</v>
      </c>
      <c r="J395" s="40" t="n">
        <v>17.12</v>
      </c>
      <c r="K395" s="14">
        <f>ROUND((H395-J395)*J395*IF(B395="Carbon Steel",$K$7,IF(B395="Stainless Steel 304",$K$8,$L$8)), 3)</f>
        <v/>
      </c>
      <c r="L395" s="40">
        <f>ROUND(K395*$G$5, 2)</f>
        <v/>
      </c>
      <c r="M395" s="38">
        <f>INT($G$6/H395)</f>
        <v/>
      </c>
      <c r="N395" s="38">
        <f>IF(M395=0, 0, IF(OR($K$6="Square Grid", M395=1), INT($G$7/H395), IF($G$7&lt;H395, 0, 1+INT(($G$7-H395)/(0.8660254*H395)))))</f>
        <v/>
      </c>
      <c r="O395" s="41">
        <f>IF(OR(M395=0,N395=0), 0, IF(OR($K$6="Square Grid", M395=1), M395*N395*$K$5, (INT((N395+1)/2)*M395 + INT(N395/2)*IF(($G$6-M395*H395)&gt;=0.5*H395, M395, M395-1))*$K$5))</f>
        <v/>
      </c>
      <c r="P395" s="41">
        <f>IF(L395&lt;=0, 0, INT($G$8/L395))</f>
        <v/>
      </c>
      <c r="Q395" s="42">
        <f>MIN(O395, P395)</f>
        <v/>
      </c>
      <c r="R395" s="43">
        <f>ROUND((Q395*L395)/1000, 2)</f>
        <v/>
      </c>
      <c r="S395" s="44">
        <f>IF($C$8&gt;0, R395/$C$8, 0)</f>
        <v/>
      </c>
      <c r="T395" s="44">
        <f>IF(O395&gt;0, Q395/O395, 0)</f>
        <v/>
      </c>
      <c r="U395" s="12">
        <f>IF(Q395=0, "Exceeds Limit", IF(P395&lt;=O395, "Weight Limited", "Volume Limited"))</f>
        <v/>
      </c>
    </row>
    <row r="396" ht="19" customHeight="1">
      <c r="A396" s="45" t="n">
        <v>386</v>
      </c>
      <c r="B396" s="50" t="inlineStr">
        <is>
          <t>Stainless Steel 304</t>
        </is>
      </c>
      <c r="C396" s="19" t="inlineStr">
        <is>
          <t>ASME B36.19M</t>
        </is>
      </c>
      <c r="D396" s="18" t="inlineStr">
        <is>
          <t>5''</t>
        </is>
      </c>
      <c r="E396" s="45" t="n">
        <v>125</v>
      </c>
      <c r="F396" s="18" t="inlineStr">
        <is>
          <t>5S</t>
        </is>
      </c>
      <c r="G396" s="20" t="n">
        <v>5.563</v>
      </c>
      <c r="H396" s="47" t="n">
        <v>141.3</v>
      </c>
      <c r="I396" s="20" t="n">
        <v>0.109</v>
      </c>
      <c r="J396" s="47" t="n">
        <v>2.77</v>
      </c>
      <c r="K396" s="20">
        <f>ROUND((H396-J396)*J396*IF(B396="Carbon Steel",$K$7,IF(B396="Stainless Steel 304",$K$8,$L$8)), 3)</f>
        <v/>
      </c>
      <c r="L396" s="47">
        <f>ROUND(K396*$G$5, 2)</f>
        <v/>
      </c>
      <c r="M396" s="45">
        <f>INT($G$6/H396)</f>
        <v/>
      </c>
      <c r="N396" s="45">
        <f>IF(M396=0, 0, IF(OR($K$6="Square Grid", M396=1), INT($G$7/H396), IF($G$7&lt;H396, 0, 1+INT(($G$7-H396)/(0.8660254*H396)))))</f>
        <v/>
      </c>
      <c r="O396" s="48">
        <f>IF(OR(M396=0,N396=0), 0, IF(OR($K$6="Square Grid", M396=1), M396*N396*$K$5, (INT((N396+1)/2)*M396 + INT(N396/2)*IF(($G$6-M396*H396)&gt;=0.5*H396, M396, M396-1))*$K$5))</f>
        <v/>
      </c>
      <c r="P396" s="48">
        <f>IF(L396&lt;=0, 0, INT($G$8/L396))</f>
        <v/>
      </c>
      <c r="Q396" s="42">
        <f>MIN(O396, P396)</f>
        <v/>
      </c>
      <c r="R396" s="43">
        <f>ROUND((Q396*L396)/1000, 2)</f>
        <v/>
      </c>
      <c r="S396" s="49">
        <f>IF($C$8&gt;0, R396/$C$8, 0)</f>
        <v/>
      </c>
      <c r="T396" s="49">
        <f>IF(O396&gt;0, Q396/O396, 0)</f>
        <v/>
      </c>
      <c r="U396" s="18">
        <f>IF(Q396=0, "Exceeds Limit", IF(P396&lt;=O396, "Weight Limited", "Volume Limited"))</f>
        <v/>
      </c>
    </row>
    <row r="397" ht="19" customHeight="1">
      <c r="A397" s="38" t="n">
        <v>387</v>
      </c>
      <c r="B397" s="51" t="inlineStr">
        <is>
          <t>Stainless Steel 304</t>
        </is>
      </c>
      <c r="C397" s="13" t="inlineStr">
        <is>
          <t>ASME B36.19M</t>
        </is>
      </c>
      <c r="D397" s="12" t="inlineStr">
        <is>
          <t>5''</t>
        </is>
      </c>
      <c r="E397" s="38" t="n">
        <v>125</v>
      </c>
      <c r="F397" s="12" t="inlineStr">
        <is>
          <t>10S</t>
        </is>
      </c>
      <c r="G397" s="14" t="n">
        <v>5.563</v>
      </c>
      <c r="H397" s="40" t="n">
        <v>141.3</v>
      </c>
      <c r="I397" s="14" t="n">
        <v>0.134</v>
      </c>
      <c r="J397" s="40" t="n">
        <v>3.4</v>
      </c>
      <c r="K397" s="14">
        <f>ROUND((H397-J397)*J397*IF(B397="Carbon Steel",$K$7,IF(B397="Stainless Steel 304",$K$8,$L$8)), 3)</f>
        <v/>
      </c>
      <c r="L397" s="40">
        <f>ROUND(K397*$G$5, 2)</f>
        <v/>
      </c>
      <c r="M397" s="38">
        <f>INT($G$6/H397)</f>
        <v/>
      </c>
      <c r="N397" s="38">
        <f>IF(M397=0, 0, IF(OR($K$6="Square Grid", M397=1), INT($G$7/H397), IF($G$7&lt;H397, 0, 1+INT(($G$7-H397)/(0.8660254*H397)))))</f>
        <v/>
      </c>
      <c r="O397" s="41">
        <f>IF(OR(M397=0,N397=0), 0, IF(OR($K$6="Square Grid", M397=1), M397*N397*$K$5, (INT((N397+1)/2)*M397 + INT(N397/2)*IF(($G$6-M397*H397)&gt;=0.5*H397, M397, M397-1))*$K$5))</f>
        <v/>
      </c>
      <c r="P397" s="41">
        <f>IF(L397&lt;=0, 0, INT($G$8/L397))</f>
        <v/>
      </c>
      <c r="Q397" s="42">
        <f>MIN(O397, P397)</f>
        <v/>
      </c>
      <c r="R397" s="43">
        <f>ROUND((Q397*L397)/1000, 2)</f>
        <v/>
      </c>
      <c r="S397" s="44">
        <f>IF($C$8&gt;0, R397/$C$8, 0)</f>
        <v/>
      </c>
      <c r="T397" s="44">
        <f>IF(O397&gt;0, Q397/O397, 0)</f>
        <v/>
      </c>
      <c r="U397" s="12">
        <f>IF(Q397=0, "Exceeds Limit", IF(P397&lt;=O397, "Weight Limited", "Volume Limited"))</f>
        <v/>
      </c>
    </row>
    <row r="398" ht="19" customHeight="1">
      <c r="A398" s="45" t="n">
        <v>388</v>
      </c>
      <c r="B398" s="50" t="inlineStr">
        <is>
          <t>Stainless Steel 304</t>
        </is>
      </c>
      <c r="C398" s="19" t="inlineStr">
        <is>
          <t>ASME B36.19M</t>
        </is>
      </c>
      <c r="D398" s="18" t="inlineStr">
        <is>
          <t>5''</t>
        </is>
      </c>
      <c r="E398" s="45" t="n">
        <v>125</v>
      </c>
      <c r="F398" s="18" t="inlineStr">
        <is>
          <t>40S</t>
        </is>
      </c>
      <c r="G398" s="20" t="n">
        <v>5.563</v>
      </c>
      <c r="H398" s="47" t="n">
        <v>141.3</v>
      </c>
      <c r="I398" s="20" t="n">
        <v>0.258</v>
      </c>
      <c r="J398" s="47" t="n">
        <v>6.55</v>
      </c>
      <c r="K398" s="20">
        <f>ROUND((H398-J398)*J398*IF(B398="Carbon Steel",$K$7,IF(B398="Stainless Steel 304",$K$8,$L$8)), 3)</f>
        <v/>
      </c>
      <c r="L398" s="47">
        <f>ROUND(K398*$G$5, 2)</f>
        <v/>
      </c>
      <c r="M398" s="45">
        <f>INT($G$6/H398)</f>
        <v/>
      </c>
      <c r="N398" s="45">
        <f>IF(M398=0, 0, IF(OR($K$6="Square Grid", M398=1), INT($G$7/H398), IF($G$7&lt;H398, 0, 1+INT(($G$7-H398)/(0.8660254*H398)))))</f>
        <v/>
      </c>
      <c r="O398" s="48">
        <f>IF(OR(M398=0,N398=0), 0, IF(OR($K$6="Square Grid", M398=1), M398*N398*$K$5, (INT((N398+1)/2)*M398 + INT(N398/2)*IF(($G$6-M398*H398)&gt;=0.5*H398, M398, M398-1))*$K$5))</f>
        <v/>
      </c>
      <c r="P398" s="48">
        <f>IF(L398&lt;=0, 0, INT($G$8/L398))</f>
        <v/>
      </c>
      <c r="Q398" s="42">
        <f>MIN(O398, P398)</f>
        <v/>
      </c>
      <c r="R398" s="43">
        <f>ROUND((Q398*L398)/1000, 2)</f>
        <v/>
      </c>
      <c r="S398" s="49">
        <f>IF($C$8&gt;0, R398/$C$8, 0)</f>
        <v/>
      </c>
      <c r="T398" s="49">
        <f>IF(O398&gt;0, Q398/O398, 0)</f>
        <v/>
      </c>
      <c r="U398" s="18">
        <f>IF(Q398=0, "Exceeds Limit", IF(P398&lt;=O398, "Weight Limited", "Volume Limited"))</f>
        <v/>
      </c>
    </row>
    <row r="399" ht="19" customHeight="1">
      <c r="A399" s="38" t="n">
        <v>389</v>
      </c>
      <c r="B399" s="51" t="inlineStr">
        <is>
          <t>Stainless Steel 304</t>
        </is>
      </c>
      <c r="C399" s="13" t="inlineStr">
        <is>
          <t>ASME B36.19M</t>
        </is>
      </c>
      <c r="D399" s="12" t="inlineStr">
        <is>
          <t>5''</t>
        </is>
      </c>
      <c r="E399" s="38" t="n">
        <v>125</v>
      </c>
      <c r="F399" s="12" t="inlineStr">
        <is>
          <t>80S</t>
        </is>
      </c>
      <c r="G399" s="14" t="n">
        <v>5.563</v>
      </c>
      <c r="H399" s="40" t="n">
        <v>141.3</v>
      </c>
      <c r="I399" s="14" t="n">
        <v>0.375</v>
      </c>
      <c r="J399" s="40" t="n">
        <v>9.52</v>
      </c>
      <c r="K399" s="14">
        <f>ROUND((H399-J399)*J399*IF(B399="Carbon Steel",$K$7,IF(B399="Stainless Steel 304",$K$8,$L$8)), 3)</f>
        <v/>
      </c>
      <c r="L399" s="40">
        <f>ROUND(K399*$G$5, 2)</f>
        <v/>
      </c>
      <c r="M399" s="38">
        <f>INT($G$6/H399)</f>
        <v/>
      </c>
      <c r="N399" s="38">
        <f>IF(M399=0, 0, IF(OR($K$6="Square Grid", M399=1), INT($G$7/H399), IF($G$7&lt;H399, 0, 1+INT(($G$7-H399)/(0.8660254*H399)))))</f>
        <v/>
      </c>
      <c r="O399" s="41">
        <f>IF(OR(M399=0,N399=0), 0, IF(OR($K$6="Square Grid", M399=1), M399*N399*$K$5, (INT((N399+1)/2)*M399 + INT(N399/2)*IF(($G$6-M399*H399)&gt;=0.5*H399, M399, M399-1))*$K$5))</f>
        <v/>
      </c>
      <c r="P399" s="41">
        <f>IF(L399&lt;=0, 0, INT($G$8/L399))</f>
        <v/>
      </c>
      <c r="Q399" s="42">
        <f>MIN(O399, P399)</f>
        <v/>
      </c>
      <c r="R399" s="43">
        <f>ROUND((Q399*L399)/1000, 2)</f>
        <v/>
      </c>
      <c r="S399" s="44">
        <f>IF($C$8&gt;0, R399/$C$8, 0)</f>
        <v/>
      </c>
      <c r="T399" s="44">
        <f>IF(O399&gt;0, Q399/O399, 0)</f>
        <v/>
      </c>
      <c r="U399" s="12">
        <f>IF(Q399=0, "Exceeds Limit", IF(P399&lt;=O399, "Weight Limited", "Volume Limited"))</f>
        <v/>
      </c>
    </row>
    <row r="400" ht="19" customHeight="1">
      <c r="A400" s="45" t="n">
        <v>390</v>
      </c>
      <c r="B400" s="50" t="inlineStr">
        <is>
          <t>Stainless Steel 304</t>
        </is>
      </c>
      <c r="C400" s="19" t="inlineStr">
        <is>
          <t>ASME B36.19M</t>
        </is>
      </c>
      <c r="D400" s="18" t="inlineStr">
        <is>
          <t>5''</t>
        </is>
      </c>
      <c r="E400" s="45" t="n">
        <v>125</v>
      </c>
      <c r="F400" s="18" t="inlineStr">
        <is>
          <t>STD</t>
        </is>
      </c>
      <c r="G400" s="20" t="n">
        <v>5.563</v>
      </c>
      <c r="H400" s="47" t="n">
        <v>141.3</v>
      </c>
      <c r="I400" s="20" t="n">
        <v>0.258</v>
      </c>
      <c r="J400" s="47" t="n">
        <v>6.55</v>
      </c>
      <c r="K400" s="20">
        <f>ROUND((H400-J400)*J400*IF(B400="Carbon Steel",$K$7,IF(B400="Stainless Steel 304",$K$8,$L$8)), 3)</f>
        <v/>
      </c>
      <c r="L400" s="47">
        <f>ROUND(K400*$G$5, 2)</f>
        <v/>
      </c>
      <c r="M400" s="45">
        <f>INT($G$6/H400)</f>
        <v/>
      </c>
      <c r="N400" s="45">
        <f>IF(M400=0, 0, IF(OR($K$6="Square Grid", M400=1), INT($G$7/H400), IF($G$7&lt;H400, 0, 1+INT(($G$7-H400)/(0.8660254*H400)))))</f>
        <v/>
      </c>
      <c r="O400" s="48">
        <f>IF(OR(M400=0,N400=0), 0, IF(OR($K$6="Square Grid", M400=1), M400*N400*$K$5, (INT((N400+1)/2)*M400 + INT(N400/2)*IF(($G$6-M400*H400)&gt;=0.5*H400, M400, M400-1))*$K$5))</f>
        <v/>
      </c>
      <c r="P400" s="48">
        <f>IF(L400&lt;=0, 0, INT($G$8/L400))</f>
        <v/>
      </c>
      <c r="Q400" s="42">
        <f>MIN(O400, P400)</f>
        <v/>
      </c>
      <c r="R400" s="43">
        <f>ROUND((Q400*L400)/1000, 2)</f>
        <v/>
      </c>
      <c r="S400" s="49">
        <f>IF($C$8&gt;0, R400/$C$8, 0)</f>
        <v/>
      </c>
      <c r="T400" s="49">
        <f>IF(O400&gt;0, Q400/O400, 0)</f>
        <v/>
      </c>
      <c r="U400" s="18">
        <f>IF(Q400=0, "Exceeds Limit", IF(P400&lt;=O400, "Weight Limited", "Volume Limited"))</f>
        <v/>
      </c>
    </row>
    <row r="401" ht="19" customHeight="1">
      <c r="A401" s="38" t="n">
        <v>391</v>
      </c>
      <c r="B401" s="51" t="inlineStr">
        <is>
          <t>Stainless Steel 304</t>
        </is>
      </c>
      <c r="C401" s="13" t="inlineStr">
        <is>
          <t>ASME B36.19M</t>
        </is>
      </c>
      <c r="D401" s="12" t="inlineStr">
        <is>
          <t>5''</t>
        </is>
      </c>
      <c r="E401" s="38" t="n">
        <v>125</v>
      </c>
      <c r="F401" s="12" t="inlineStr">
        <is>
          <t>XS</t>
        </is>
      </c>
      <c r="G401" s="14" t="n">
        <v>5.563</v>
      </c>
      <c r="H401" s="40" t="n">
        <v>141.3</v>
      </c>
      <c r="I401" s="14" t="n">
        <v>0.375</v>
      </c>
      <c r="J401" s="40" t="n">
        <v>9.52</v>
      </c>
      <c r="K401" s="14">
        <f>ROUND((H401-J401)*J401*IF(B401="Carbon Steel",$K$7,IF(B401="Stainless Steel 304",$K$8,$L$8)), 3)</f>
        <v/>
      </c>
      <c r="L401" s="40">
        <f>ROUND(K401*$G$5, 2)</f>
        <v/>
      </c>
      <c r="M401" s="38">
        <f>INT($G$6/H401)</f>
        <v/>
      </c>
      <c r="N401" s="38">
        <f>IF(M401=0, 0, IF(OR($K$6="Square Grid", M401=1), INT($G$7/H401), IF($G$7&lt;H401, 0, 1+INT(($G$7-H401)/(0.8660254*H401)))))</f>
        <v/>
      </c>
      <c r="O401" s="41">
        <f>IF(OR(M401=0,N401=0), 0, IF(OR($K$6="Square Grid", M401=1), M401*N401*$K$5, (INT((N401+1)/2)*M401 + INT(N401/2)*IF(($G$6-M401*H401)&gt;=0.5*H401, M401, M401-1))*$K$5))</f>
        <v/>
      </c>
      <c r="P401" s="41">
        <f>IF(L401&lt;=0, 0, INT($G$8/L401))</f>
        <v/>
      </c>
      <c r="Q401" s="42">
        <f>MIN(O401, P401)</f>
        <v/>
      </c>
      <c r="R401" s="43">
        <f>ROUND((Q401*L401)/1000, 2)</f>
        <v/>
      </c>
      <c r="S401" s="44">
        <f>IF($C$8&gt;0, R401/$C$8, 0)</f>
        <v/>
      </c>
      <c r="T401" s="44">
        <f>IF(O401&gt;0, Q401/O401, 0)</f>
        <v/>
      </c>
      <c r="U401" s="12">
        <f>IF(Q401=0, "Exceeds Limit", IF(P401&lt;=O401, "Weight Limited", "Volume Limited"))</f>
        <v/>
      </c>
    </row>
    <row r="402" ht="19" customHeight="1">
      <c r="A402" s="45" t="n">
        <v>392</v>
      </c>
      <c r="B402" s="50" t="inlineStr">
        <is>
          <t>Stainless Steel 304</t>
        </is>
      </c>
      <c r="C402" s="19" t="inlineStr">
        <is>
          <t>ASME B36.19M</t>
        </is>
      </c>
      <c r="D402" s="18" t="inlineStr">
        <is>
          <t>5''</t>
        </is>
      </c>
      <c r="E402" s="45" t="n">
        <v>125</v>
      </c>
      <c r="F402" s="18" t="inlineStr">
        <is>
          <t>160</t>
        </is>
      </c>
      <c r="G402" s="20" t="n">
        <v>5.563</v>
      </c>
      <c r="H402" s="47" t="n">
        <v>141.3</v>
      </c>
      <c r="I402" s="20" t="n">
        <v>0.625</v>
      </c>
      <c r="J402" s="47" t="n">
        <v>15.88</v>
      </c>
      <c r="K402" s="20">
        <f>ROUND((H402-J402)*J402*IF(B402="Carbon Steel",$K$7,IF(B402="Stainless Steel 304",$K$8,$L$8)), 3)</f>
        <v/>
      </c>
      <c r="L402" s="47">
        <f>ROUND(K402*$G$5, 2)</f>
        <v/>
      </c>
      <c r="M402" s="45">
        <f>INT($G$6/H402)</f>
        <v/>
      </c>
      <c r="N402" s="45">
        <f>IF(M402=0, 0, IF(OR($K$6="Square Grid", M402=1), INT($G$7/H402), IF($G$7&lt;H402, 0, 1+INT(($G$7-H402)/(0.8660254*H402)))))</f>
        <v/>
      </c>
      <c r="O402" s="48">
        <f>IF(OR(M402=0,N402=0), 0, IF(OR($K$6="Square Grid", M402=1), M402*N402*$K$5, (INT((N402+1)/2)*M402 + INT(N402/2)*IF(($G$6-M402*H402)&gt;=0.5*H402, M402, M402-1))*$K$5))</f>
        <v/>
      </c>
      <c r="P402" s="48">
        <f>IF(L402&lt;=0, 0, INT($G$8/L402))</f>
        <v/>
      </c>
      <c r="Q402" s="42">
        <f>MIN(O402, P402)</f>
        <v/>
      </c>
      <c r="R402" s="43">
        <f>ROUND((Q402*L402)/1000, 2)</f>
        <v/>
      </c>
      <c r="S402" s="49">
        <f>IF($C$8&gt;0, R402/$C$8, 0)</f>
        <v/>
      </c>
      <c r="T402" s="49">
        <f>IF(O402&gt;0, Q402/O402, 0)</f>
        <v/>
      </c>
      <c r="U402" s="18">
        <f>IF(Q402=0, "Exceeds Limit", IF(P402&lt;=O402, "Weight Limited", "Volume Limited"))</f>
        <v/>
      </c>
    </row>
    <row r="403" ht="19" customHeight="1">
      <c r="A403" s="38" t="n">
        <v>393</v>
      </c>
      <c r="B403" s="51" t="inlineStr">
        <is>
          <t>Stainless Steel 304</t>
        </is>
      </c>
      <c r="C403" s="13" t="inlineStr">
        <is>
          <t>ASME B36.19M</t>
        </is>
      </c>
      <c r="D403" s="12" t="inlineStr">
        <is>
          <t>5''</t>
        </is>
      </c>
      <c r="E403" s="38" t="n">
        <v>125</v>
      </c>
      <c r="F403" s="12" t="inlineStr">
        <is>
          <t>XXS</t>
        </is>
      </c>
      <c r="G403" s="14" t="n">
        <v>5.563</v>
      </c>
      <c r="H403" s="40" t="n">
        <v>141.3</v>
      </c>
      <c r="I403" s="14" t="n">
        <v>0.75</v>
      </c>
      <c r="J403" s="40" t="n">
        <v>19.05</v>
      </c>
      <c r="K403" s="14">
        <f>ROUND((H403-J403)*J403*IF(B403="Carbon Steel",$K$7,IF(B403="Stainless Steel 304",$K$8,$L$8)), 3)</f>
        <v/>
      </c>
      <c r="L403" s="40">
        <f>ROUND(K403*$G$5, 2)</f>
        <v/>
      </c>
      <c r="M403" s="38">
        <f>INT($G$6/H403)</f>
        <v/>
      </c>
      <c r="N403" s="38">
        <f>IF(M403=0, 0, IF(OR($K$6="Square Grid", M403=1), INT($G$7/H403), IF($G$7&lt;H403, 0, 1+INT(($G$7-H403)/(0.8660254*H403)))))</f>
        <v/>
      </c>
      <c r="O403" s="41">
        <f>IF(OR(M403=0,N403=0), 0, IF(OR($K$6="Square Grid", M403=1), M403*N403*$K$5, (INT((N403+1)/2)*M403 + INT(N403/2)*IF(($G$6-M403*H403)&gt;=0.5*H403, M403, M403-1))*$K$5))</f>
        <v/>
      </c>
      <c r="P403" s="41">
        <f>IF(L403&lt;=0, 0, INT($G$8/L403))</f>
        <v/>
      </c>
      <c r="Q403" s="42">
        <f>MIN(O403, P403)</f>
        <v/>
      </c>
      <c r="R403" s="43">
        <f>ROUND((Q403*L403)/1000, 2)</f>
        <v/>
      </c>
      <c r="S403" s="44">
        <f>IF($C$8&gt;0, R403/$C$8, 0)</f>
        <v/>
      </c>
      <c r="T403" s="44">
        <f>IF(O403&gt;0, Q403/O403, 0)</f>
        <v/>
      </c>
      <c r="U403" s="12">
        <f>IF(Q403=0, "Exceeds Limit", IF(P403&lt;=O403, "Weight Limited", "Volume Limited"))</f>
        <v/>
      </c>
    </row>
    <row r="404" ht="19" customHeight="1">
      <c r="A404" s="45" t="n">
        <v>394</v>
      </c>
      <c r="B404" s="50" t="inlineStr">
        <is>
          <t>Stainless Steel 304</t>
        </is>
      </c>
      <c r="C404" s="19" t="inlineStr">
        <is>
          <t>ASME B36.19M</t>
        </is>
      </c>
      <c r="D404" s="18" t="inlineStr">
        <is>
          <t>6''</t>
        </is>
      </c>
      <c r="E404" s="45" t="n">
        <v>150</v>
      </c>
      <c r="F404" s="18" t="inlineStr">
        <is>
          <t>5S</t>
        </is>
      </c>
      <c r="G404" s="20" t="n">
        <v>6.625</v>
      </c>
      <c r="H404" s="47" t="n">
        <v>168.27</v>
      </c>
      <c r="I404" s="20" t="n">
        <v>0.109</v>
      </c>
      <c r="J404" s="47" t="n">
        <v>2.77</v>
      </c>
      <c r="K404" s="20">
        <f>ROUND((H404-J404)*J404*IF(B404="Carbon Steel",$K$7,IF(B404="Stainless Steel 304",$K$8,$L$8)), 3)</f>
        <v/>
      </c>
      <c r="L404" s="47">
        <f>ROUND(K404*$G$5, 2)</f>
        <v/>
      </c>
      <c r="M404" s="45">
        <f>INT($G$6/H404)</f>
        <v/>
      </c>
      <c r="N404" s="45">
        <f>IF(M404=0, 0, IF(OR($K$6="Square Grid", M404=1), INT($G$7/H404), IF($G$7&lt;H404, 0, 1+INT(($G$7-H404)/(0.8660254*H404)))))</f>
        <v/>
      </c>
      <c r="O404" s="48">
        <f>IF(OR(M404=0,N404=0), 0, IF(OR($K$6="Square Grid", M404=1), M404*N404*$K$5, (INT((N404+1)/2)*M404 + INT(N404/2)*IF(($G$6-M404*H404)&gt;=0.5*H404, M404, M404-1))*$K$5))</f>
        <v/>
      </c>
      <c r="P404" s="48">
        <f>IF(L404&lt;=0, 0, INT($G$8/L404))</f>
        <v/>
      </c>
      <c r="Q404" s="42">
        <f>MIN(O404, P404)</f>
        <v/>
      </c>
      <c r="R404" s="43">
        <f>ROUND((Q404*L404)/1000, 2)</f>
        <v/>
      </c>
      <c r="S404" s="49">
        <f>IF($C$8&gt;0, R404/$C$8, 0)</f>
        <v/>
      </c>
      <c r="T404" s="49">
        <f>IF(O404&gt;0, Q404/O404, 0)</f>
        <v/>
      </c>
      <c r="U404" s="18">
        <f>IF(Q404=0, "Exceeds Limit", IF(P404&lt;=O404, "Weight Limited", "Volume Limited"))</f>
        <v/>
      </c>
    </row>
    <row r="405" ht="19" customHeight="1">
      <c r="A405" s="38" t="n">
        <v>395</v>
      </c>
      <c r="B405" s="51" t="inlineStr">
        <is>
          <t>Stainless Steel 304</t>
        </is>
      </c>
      <c r="C405" s="13" t="inlineStr">
        <is>
          <t>ASME B36.19M</t>
        </is>
      </c>
      <c r="D405" s="12" t="inlineStr">
        <is>
          <t>6''</t>
        </is>
      </c>
      <c r="E405" s="38" t="n">
        <v>150</v>
      </c>
      <c r="F405" s="12" t="inlineStr">
        <is>
          <t>10S</t>
        </is>
      </c>
      <c r="G405" s="14" t="n">
        <v>6.625</v>
      </c>
      <c r="H405" s="40" t="n">
        <v>168.27</v>
      </c>
      <c r="I405" s="14" t="n">
        <v>0.134</v>
      </c>
      <c r="J405" s="40" t="n">
        <v>3.4</v>
      </c>
      <c r="K405" s="14">
        <f>ROUND((H405-J405)*J405*IF(B405="Carbon Steel",$K$7,IF(B405="Stainless Steel 304",$K$8,$L$8)), 3)</f>
        <v/>
      </c>
      <c r="L405" s="40">
        <f>ROUND(K405*$G$5, 2)</f>
        <v/>
      </c>
      <c r="M405" s="38">
        <f>INT($G$6/H405)</f>
        <v/>
      </c>
      <c r="N405" s="38">
        <f>IF(M405=0, 0, IF(OR($K$6="Square Grid", M405=1), INT($G$7/H405), IF($G$7&lt;H405, 0, 1+INT(($G$7-H405)/(0.8660254*H405)))))</f>
        <v/>
      </c>
      <c r="O405" s="41">
        <f>IF(OR(M405=0,N405=0), 0, IF(OR($K$6="Square Grid", M405=1), M405*N405*$K$5, (INT((N405+1)/2)*M405 + INT(N405/2)*IF(($G$6-M405*H405)&gt;=0.5*H405, M405, M405-1))*$K$5))</f>
        <v/>
      </c>
      <c r="P405" s="41">
        <f>IF(L405&lt;=0, 0, INT($G$8/L405))</f>
        <v/>
      </c>
      <c r="Q405" s="42">
        <f>MIN(O405, P405)</f>
        <v/>
      </c>
      <c r="R405" s="43">
        <f>ROUND((Q405*L405)/1000, 2)</f>
        <v/>
      </c>
      <c r="S405" s="44">
        <f>IF($C$8&gt;0, R405/$C$8, 0)</f>
        <v/>
      </c>
      <c r="T405" s="44">
        <f>IF(O405&gt;0, Q405/O405, 0)</f>
        <v/>
      </c>
      <c r="U405" s="12">
        <f>IF(Q405=0, "Exceeds Limit", IF(P405&lt;=O405, "Weight Limited", "Volume Limited"))</f>
        <v/>
      </c>
    </row>
    <row r="406" ht="19" customHeight="1">
      <c r="A406" s="45" t="n">
        <v>396</v>
      </c>
      <c r="B406" s="50" t="inlineStr">
        <is>
          <t>Stainless Steel 304</t>
        </is>
      </c>
      <c r="C406" s="19" t="inlineStr">
        <is>
          <t>ASME B36.19M</t>
        </is>
      </c>
      <c r="D406" s="18" t="inlineStr">
        <is>
          <t>6''</t>
        </is>
      </c>
      <c r="E406" s="45" t="n">
        <v>150</v>
      </c>
      <c r="F406" s="18" t="inlineStr">
        <is>
          <t>40S</t>
        </is>
      </c>
      <c r="G406" s="20" t="n">
        <v>6.625</v>
      </c>
      <c r="H406" s="47" t="n">
        <v>168.27</v>
      </c>
      <c r="I406" s="20" t="n">
        <v>0.28</v>
      </c>
      <c r="J406" s="47" t="n">
        <v>7.11</v>
      </c>
      <c r="K406" s="20">
        <f>ROUND((H406-J406)*J406*IF(B406="Carbon Steel",$K$7,IF(B406="Stainless Steel 304",$K$8,$L$8)), 3)</f>
        <v/>
      </c>
      <c r="L406" s="47">
        <f>ROUND(K406*$G$5, 2)</f>
        <v/>
      </c>
      <c r="M406" s="45">
        <f>INT($G$6/H406)</f>
        <v/>
      </c>
      <c r="N406" s="45">
        <f>IF(M406=0, 0, IF(OR($K$6="Square Grid", M406=1), INT($G$7/H406), IF($G$7&lt;H406, 0, 1+INT(($G$7-H406)/(0.8660254*H406)))))</f>
        <v/>
      </c>
      <c r="O406" s="48">
        <f>IF(OR(M406=0,N406=0), 0, IF(OR($K$6="Square Grid", M406=1), M406*N406*$K$5, (INT((N406+1)/2)*M406 + INT(N406/2)*IF(($G$6-M406*H406)&gt;=0.5*H406, M406, M406-1))*$K$5))</f>
        <v/>
      </c>
      <c r="P406" s="48">
        <f>IF(L406&lt;=0, 0, INT($G$8/L406))</f>
        <v/>
      </c>
      <c r="Q406" s="42">
        <f>MIN(O406, P406)</f>
        <v/>
      </c>
      <c r="R406" s="43">
        <f>ROUND((Q406*L406)/1000, 2)</f>
        <v/>
      </c>
      <c r="S406" s="49">
        <f>IF($C$8&gt;0, R406/$C$8, 0)</f>
        <v/>
      </c>
      <c r="T406" s="49">
        <f>IF(O406&gt;0, Q406/O406, 0)</f>
        <v/>
      </c>
      <c r="U406" s="18">
        <f>IF(Q406=0, "Exceeds Limit", IF(P406&lt;=O406, "Weight Limited", "Volume Limited"))</f>
        <v/>
      </c>
    </row>
    <row r="407" ht="19" customHeight="1">
      <c r="A407" s="38" t="n">
        <v>397</v>
      </c>
      <c r="B407" s="51" t="inlineStr">
        <is>
          <t>Stainless Steel 304</t>
        </is>
      </c>
      <c r="C407" s="13" t="inlineStr">
        <is>
          <t>ASME B36.19M</t>
        </is>
      </c>
      <c r="D407" s="12" t="inlineStr">
        <is>
          <t>6''</t>
        </is>
      </c>
      <c r="E407" s="38" t="n">
        <v>150</v>
      </c>
      <c r="F407" s="12" t="inlineStr">
        <is>
          <t>80S</t>
        </is>
      </c>
      <c r="G407" s="14" t="n">
        <v>6.625</v>
      </c>
      <c r="H407" s="40" t="n">
        <v>168.27</v>
      </c>
      <c r="I407" s="14" t="n">
        <v>0.432</v>
      </c>
      <c r="J407" s="40" t="n">
        <v>10.97</v>
      </c>
      <c r="K407" s="14">
        <f>ROUND((H407-J407)*J407*IF(B407="Carbon Steel",$K$7,IF(B407="Stainless Steel 304",$K$8,$L$8)), 3)</f>
        <v/>
      </c>
      <c r="L407" s="40">
        <f>ROUND(K407*$G$5, 2)</f>
        <v/>
      </c>
      <c r="M407" s="38">
        <f>INT($G$6/H407)</f>
        <v/>
      </c>
      <c r="N407" s="38">
        <f>IF(M407=0, 0, IF(OR($K$6="Square Grid", M407=1), INT($G$7/H407), IF($G$7&lt;H407, 0, 1+INT(($G$7-H407)/(0.8660254*H407)))))</f>
        <v/>
      </c>
      <c r="O407" s="41">
        <f>IF(OR(M407=0,N407=0), 0, IF(OR($K$6="Square Grid", M407=1), M407*N407*$K$5, (INT((N407+1)/2)*M407 + INT(N407/2)*IF(($G$6-M407*H407)&gt;=0.5*H407, M407, M407-1))*$K$5))</f>
        <v/>
      </c>
      <c r="P407" s="41">
        <f>IF(L407&lt;=0, 0, INT($G$8/L407))</f>
        <v/>
      </c>
      <c r="Q407" s="42">
        <f>MIN(O407, P407)</f>
        <v/>
      </c>
      <c r="R407" s="43">
        <f>ROUND((Q407*L407)/1000, 2)</f>
        <v/>
      </c>
      <c r="S407" s="44">
        <f>IF($C$8&gt;0, R407/$C$8, 0)</f>
        <v/>
      </c>
      <c r="T407" s="44">
        <f>IF(O407&gt;0, Q407/O407, 0)</f>
        <v/>
      </c>
      <c r="U407" s="12">
        <f>IF(Q407=0, "Exceeds Limit", IF(P407&lt;=O407, "Weight Limited", "Volume Limited"))</f>
        <v/>
      </c>
    </row>
    <row r="408" ht="19" customHeight="1">
      <c r="A408" s="45" t="n">
        <v>398</v>
      </c>
      <c r="B408" s="50" t="inlineStr">
        <is>
          <t>Stainless Steel 304</t>
        </is>
      </c>
      <c r="C408" s="19" t="inlineStr">
        <is>
          <t>ASME B36.19M</t>
        </is>
      </c>
      <c r="D408" s="18" t="inlineStr">
        <is>
          <t>6''</t>
        </is>
      </c>
      <c r="E408" s="45" t="n">
        <v>150</v>
      </c>
      <c r="F408" s="18" t="inlineStr">
        <is>
          <t>STD</t>
        </is>
      </c>
      <c r="G408" s="20" t="n">
        <v>6.625</v>
      </c>
      <c r="H408" s="47" t="n">
        <v>168.27</v>
      </c>
      <c r="I408" s="20" t="n">
        <v>0.28</v>
      </c>
      <c r="J408" s="47" t="n">
        <v>7.11</v>
      </c>
      <c r="K408" s="20">
        <f>ROUND((H408-J408)*J408*IF(B408="Carbon Steel",$K$7,IF(B408="Stainless Steel 304",$K$8,$L$8)), 3)</f>
        <v/>
      </c>
      <c r="L408" s="47">
        <f>ROUND(K408*$G$5, 2)</f>
        <v/>
      </c>
      <c r="M408" s="45">
        <f>INT($G$6/H408)</f>
        <v/>
      </c>
      <c r="N408" s="45">
        <f>IF(M408=0, 0, IF(OR($K$6="Square Grid", M408=1), INT($G$7/H408), IF($G$7&lt;H408, 0, 1+INT(($G$7-H408)/(0.8660254*H408)))))</f>
        <v/>
      </c>
      <c r="O408" s="48">
        <f>IF(OR(M408=0,N408=0), 0, IF(OR($K$6="Square Grid", M408=1), M408*N408*$K$5, (INT((N408+1)/2)*M408 + INT(N408/2)*IF(($G$6-M408*H408)&gt;=0.5*H408, M408, M408-1))*$K$5))</f>
        <v/>
      </c>
      <c r="P408" s="48">
        <f>IF(L408&lt;=0, 0, INT($G$8/L408))</f>
        <v/>
      </c>
      <c r="Q408" s="42">
        <f>MIN(O408, P408)</f>
        <v/>
      </c>
      <c r="R408" s="43">
        <f>ROUND((Q408*L408)/1000, 2)</f>
        <v/>
      </c>
      <c r="S408" s="49">
        <f>IF($C$8&gt;0, R408/$C$8, 0)</f>
        <v/>
      </c>
      <c r="T408" s="49">
        <f>IF(O408&gt;0, Q408/O408, 0)</f>
        <v/>
      </c>
      <c r="U408" s="18">
        <f>IF(Q408=0, "Exceeds Limit", IF(P408&lt;=O408, "Weight Limited", "Volume Limited"))</f>
        <v/>
      </c>
    </row>
    <row r="409" ht="19" customHeight="1">
      <c r="A409" s="38" t="n">
        <v>399</v>
      </c>
      <c r="B409" s="51" t="inlineStr">
        <is>
          <t>Stainless Steel 304</t>
        </is>
      </c>
      <c r="C409" s="13" t="inlineStr">
        <is>
          <t>ASME B36.19M</t>
        </is>
      </c>
      <c r="D409" s="12" t="inlineStr">
        <is>
          <t>6''</t>
        </is>
      </c>
      <c r="E409" s="38" t="n">
        <v>150</v>
      </c>
      <c r="F409" s="12" t="inlineStr">
        <is>
          <t>XS</t>
        </is>
      </c>
      <c r="G409" s="14" t="n">
        <v>6.625</v>
      </c>
      <c r="H409" s="40" t="n">
        <v>168.27</v>
      </c>
      <c r="I409" s="14" t="n">
        <v>0.432</v>
      </c>
      <c r="J409" s="40" t="n">
        <v>10.97</v>
      </c>
      <c r="K409" s="14">
        <f>ROUND((H409-J409)*J409*IF(B409="Carbon Steel",$K$7,IF(B409="Stainless Steel 304",$K$8,$L$8)), 3)</f>
        <v/>
      </c>
      <c r="L409" s="40">
        <f>ROUND(K409*$G$5, 2)</f>
        <v/>
      </c>
      <c r="M409" s="38">
        <f>INT($G$6/H409)</f>
        <v/>
      </c>
      <c r="N409" s="38">
        <f>IF(M409=0, 0, IF(OR($K$6="Square Grid", M409=1), INT($G$7/H409), IF($G$7&lt;H409, 0, 1+INT(($G$7-H409)/(0.8660254*H409)))))</f>
        <v/>
      </c>
      <c r="O409" s="41">
        <f>IF(OR(M409=0,N409=0), 0, IF(OR($K$6="Square Grid", M409=1), M409*N409*$K$5, (INT((N409+1)/2)*M409 + INT(N409/2)*IF(($G$6-M409*H409)&gt;=0.5*H409, M409, M409-1))*$K$5))</f>
        <v/>
      </c>
      <c r="P409" s="41">
        <f>IF(L409&lt;=0, 0, INT($G$8/L409))</f>
        <v/>
      </c>
      <c r="Q409" s="42">
        <f>MIN(O409, P409)</f>
        <v/>
      </c>
      <c r="R409" s="43">
        <f>ROUND((Q409*L409)/1000, 2)</f>
        <v/>
      </c>
      <c r="S409" s="44">
        <f>IF($C$8&gt;0, R409/$C$8, 0)</f>
        <v/>
      </c>
      <c r="T409" s="44">
        <f>IF(O409&gt;0, Q409/O409, 0)</f>
        <v/>
      </c>
      <c r="U409" s="12">
        <f>IF(Q409=0, "Exceeds Limit", IF(P409&lt;=O409, "Weight Limited", "Volume Limited"))</f>
        <v/>
      </c>
    </row>
    <row r="410" ht="19" customHeight="1">
      <c r="A410" s="45" t="n">
        <v>400</v>
      </c>
      <c r="B410" s="50" t="inlineStr">
        <is>
          <t>Stainless Steel 304</t>
        </is>
      </c>
      <c r="C410" s="19" t="inlineStr">
        <is>
          <t>ASME B36.19M</t>
        </is>
      </c>
      <c r="D410" s="18" t="inlineStr">
        <is>
          <t>6''</t>
        </is>
      </c>
      <c r="E410" s="45" t="n">
        <v>150</v>
      </c>
      <c r="F410" s="18" t="inlineStr">
        <is>
          <t>160</t>
        </is>
      </c>
      <c r="G410" s="20" t="n">
        <v>6.625</v>
      </c>
      <c r="H410" s="47" t="n">
        <v>168.27</v>
      </c>
      <c r="I410" s="20" t="n">
        <v>0.719</v>
      </c>
      <c r="J410" s="47" t="n">
        <v>18.26</v>
      </c>
      <c r="K410" s="20">
        <f>ROUND((H410-J410)*J410*IF(B410="Carbon Steel",$K$7,IF(B410="Stainless Steel 304",$K$8,$L$8)), 3)</f>
        <v/>
      </c>
      <c r="L410" s="47">
        <f>ROUND(K410*$G$5, 2)</f>
        <v/>
      </c>
      <c r="M410" s="45">
        <f>INT($G$6/H410)</f>
        <v/>
      </c>
      <c r="N410" s="45">
        <f>IF(M410=0, 0, IF(OR($K$6="Square Grid", M410=1), INT($G$7/H410), IF($G$7&lt;H410, 0, 1+INT(($G$7-H410)/(0.8660254*H410)))))</f>
        <v/>
      </c>
      <c r="O410" s="48">
        <f>IF(OR(M410=0,N410=0), 0, IF(OR($K$6="Square Grid", M410=1), M410*N410*$K$5, (INT((N410+1)/2)*M410 + INT(N410/2)*IF(($G$6-M410*H410)&gt;=0.5*H410, M410, M410-1))*$K$5))</f>
        <v/>
      </c>
      <c r="P410" s="48">
        <f>IF(L410&lt;=0, 0, INT($G$8/L410))</f>
        <v/>
      </c>
      <c r="Q410" s="42">
        <f>MIN(O410, P410)</f>
        <v/>
      </c>
      <c r="R410" s="43">
        <f>ROUND((Q410*L410)/1000, 2)</f>
        <v/>
      </c>
      <c r="S410" s="49">
        <f>IF($C$8&gt;0, R410/$C$8, 0)</f>
        <v/>
      </c>
      <c r="T410" s="49">
        <f>IF(O410&gt;0, Q410/O410, 0)</f>
        <v/>
      </c>
      <c r="U410" s="18">
        <f>IF(Q410=0, "Exceeds Limit", IF(P410&lt;=O410, "Weight Limited", "Volume Limited"))</f>
        <v/>
      </c>
    </row>
    <row r="411" ht="19" customHeight="1">
      <c r="A411" s="38" t="n">
        <v>401</v>
      </c>
      <c r="B411" s="51" t="inlineStr">
        <is>
          <t>Stainless Steel 304</t>
        </is>
      </c>
      <c r="C411" s="13" t="inlineStr">
        <is>
          <t>ASME B36.19M</t>
        </is>
      </c>
      <c r="D411" s="12" t="inlineStr">
        <is>
          <t>6''</t>
        </is>
      </c>
      <c r="E411" s="38" t="n">
        <v>150</v>
      </c>
      <c r="F411" s="12" t="inlineStr">
        <is>
          <t>XXS</t>
        </is>
      </c>
      <c r="G411" s="14" t="n">
        <v>6.625</v>
      </c>
      <c r="H411" s="40" t="n">
        <v>168.27</v>
      </c>
      <c r="I411" s="14" t="n">
        <v>0.864</v>
      </c>
      <c r="J411" s="40" t="n">
        <v>21.95</v>
      </c>
      <c r="K411" s="14">
        <f>ROUND((H411-J411)*J411*IF(B411="Carbon Steel",$K$7,IF(B411="Stainless Steel 304",$K$8,$L$8)), 3)</f>
        <v/>
      </c>
      <c r="L411" s="40">
        <f>ROUND(K411*$G$5, 2)</f>
        <v/>
      </c>
      <c r="M411" s="38">
        <f>INT($G$6/H411)</f>
        <v/>
      </c>
      <c r="N411" s="38">
        <f>IF(M411=0, 0, IF(OR($K$6="Square Grid", M411=1), INT($G$7/H411), IF($G$7&lt;H411, 0, 1+INT(($G$7-H411)/(0.8660254*H411)))))</f>
        <v/>
      </c>
      <c r="O411" s="41">
        <f>IF(OR(M411=0,N411=0), 0, IF(OR($K$6="Square Grid", M411=1), M411*N411*$K$5, (INT((N411+1)/2)*M411 + INT(N411/2)*IF(($G$6-M411*H411)&gt;=0.5*H411, M411, M411-1))*$K$5))</f>
        <v/>
      </c>
      <c r="P411" s="41">
        <f>IF(L411&lt;=0, 0, INT($G$8/L411))</f>
        <v/>
      </c>
      <c r="Q411" s="42">
        <f>MIN(O411, P411)</f>
        <v/>
      </c>
      <c r="R411" s="43">
        <f>ROUND((Q411*L411)/1000, 2)</f>
        <v/>
      </c>
      <c r="S411" s="44">
        <f>IF($C$8&gt;0, R411/$C$8, 0)</f>
        <v/>
      </c>
      <c r="T411" s="44">
        <f>IF(O411&gt;0, Q411/O411, 0)</f>
        <v/>
      </c>
      <c r="U411" s="12">
        <f>IF(Q411=0, "Exceeds Limit", IF(P411&lt;=O411, "Weight Limited", "Volume Limited"))</f>
        <v/>
      </c>
    </row>
    <row r="412" ht="19" customHeight="1">
      <c r="A412" s="45" t="n">
        <v>402</v>
      </c>
      <c r="B412" s="50" t="inlineStr">
        <is>
          <t>Stainless Steel 304</t>
        </is>
      </c>
      <c r="C412" s="19" t="inlineStr">
        <is>
          <t>ASME B36.19M</t>
        </is>
      </c>
      <c r="D412" s="18" t="inlineStr">
        <is>
          <t>8''</t>
        </is>
      </c>
      <c r="E412" s="45" t="n">
        <v>200</v>
      </c>
      <c r="F412" s="18" t="inlineStr">
        <is>
          <t>5S</t>
        </is>
      </c>
      <c r="G412" s="20" t="n">
        <v>8.625</v>
      </c>
      <c r="H412" s="47" t="n">
        <v>219.07</v>
      </c>
      <c r="I412" s="20" t="n">
        <v>0.109</v>
      </c>
      <c r="J412" s="47" t="n">
        <v>2.77</v>
      </c>
      <c r="K412" s="20">
        <f>ROUND((H412-J412)*J412*IF(B412="Carbon Steel",$K$7,IF(B412="Stainless Steel 304",$K$8,$L$8)), 3)</f>
        <v/>
      </c>
      <c r="L412" s="47">
        <f>ROUND(K412*$G$5, 2)</f>
        <v/>
      </c>
      <c r="M412" s="45">
        <f>INT($G$6/H412)</f>
        <v/>
      </c>
      <c r="N412" s="45">
        <f>IF(M412=0, 0, IF(OR($K$6="Square Grid", M412=1), INT($G$7/H412), IF($G$7&lt;H412, 0, 1+INT(($G$7-H412)/(0.8660254*H412)))))</f>
        <v/>
      </c>
      <c r="O412" s="48">
        <f>IF(OR(M412=0,N412=0), 0, IF(OR($K$6="Square Grid", M412=1), M412*N412*$K$5, (INT((N412+1)/2)*M412 + INT(N412/2)*IF(($G$6-M412*H412)&gt;=0.5*H412, M412, M412-1))*$K$5))</f>
        <v/>
      </c>
      <c r="P412" s="48">
        <f>IF(L412&lt;=0, 0, INT($G$8/L412))</f>
        <v/>
      </c>
      <c r="Q412" s="42">
        <f>MIN(O412, P412)</f>
        <v/>
      </c>
      <c r="R412" s="43">
        <f>ROUND((Q412*L412)/1000, 2)</f>
        <v/>
      </c>
      <c r="S412" s="49">
        <f>IF($C$8&gt;0, R412/$C$8, 0)</f>
        <v/>
      </c>
      <c r="T412" s="49">
        <f>IF(O412&gt;0, Q412/O412, 0)</f>
        <v/>
      </c>
      <c r="U412" s="18">
        <f>IF(Q412=0, "Exceeds Limit", IF(P412&lt;=O412, "Weight Limited", "Volume Limited"))</f>
        <v/>
      </c>
    </row>
    <row r="413" ht="19" customHeight="1">
      <c r="A413" s="38" t="n">
        <v>403</v>
      </c>
      <c r="B413" s="51" t="inlineStr">
        <is>
          <t>Stainless Steel 304</t>
        </is>
      </c>
      <c r="C413" s="13" t="inlineStr">
        <is>
          <t>ASME B36.19M</t>
        </is>
      </c>
      <c r="D413" s="12" t="inlineStr">
        <is>
          <t>8''</t>
        </is>
      </c>
      <c r="E413" s="38" t="n">
        <v>200</v>
      </c>
      <c r="F413" s="12" t="inlineStr">
        <is>
          <t>10S</t>
        </is>
      </c>
      <c r="G413" s="14" t="n">
        <v>8.625</v>
      </c>
      <c r="H413" s="40" t="n">
        <v>219.07</v>
      </c>
      <c r="I413" s="14" t="n">
        <v>0.148</v>
      </c>
      <c r="J413" s="40" t="n">
        <v>3.76</v>
      </c>
      <c r="K413" s="14">
        <f>ROUND((H413-J413)*J413*IF(B413="Carbon Steel",$K$7,IF(B413="Stainless Steel 304",$K$8,$L$8)), 3)</f>
        <v/>
      </c>
      <c r="L413" s="40">
        <f>ROUND(K413*$G$5, 2)</f>
        <v/>
      </c>
      <c r="M413" s="38">
        <f>INT($G$6/H413)</f>
        <v/>
      </c>
      <c r="N413" s="38">
        <f>IF(M413=0, 0, IF(OR($K$6="Square Grid", M413=1), INT($G$7/H413), IF($G$7&lt;H413, 0, 1+INT(($G$7-H413)/(0.8660254*H413)))))</f>
        <v/>
      </c>
      <c r="O413" s="41">
        <f>IF(OR(M413=0,N413=0), 0, IF(OR($K$6="Square Grid", M413=1), M413*N413*$K$5, (INT((N413+1)/2)*M413 + INT(N413/2)*IF(($G$6-M413*H413)&gt;=0.5*H413, M413, M413-1))*$K$5))</f>
        <v/>
      </c>
      <c r="P413" s="41">
        <f>IF(L413&lt;=0, 0, INT($G$8/L413))</f>
        <v/>
      </c>
      <c r="Q413" s="42">
        <f>MIN(O413, P413)</f>
        <v/>
      </c>
      <c r="R413" s="43">
        <f>ROUND((Q413*L413)/1000, 2)</f>
        <v/>
      </c>
      <c r="S413" s="44">
        <f>IF($C$8&gt;0, R413/$C$8, 0)</f>
        <v/>
      </c>
      <c r="T413" s="44">
        <f>IF(O413&gt;0, Q413/O413, 0)</f>
        <v/>
      </c>
      <c r="U413" s="12">
        <f>IF(Q413=0, "Exceeds Limit", IF(P413&lt;=O413, "Weight Limited", "Volume Limited"))</f>
        <v/>
      </c>
    </row>
    <row r="414" ht="19" customHeight="1">
      <c r="A414" s="45" t="n">
        <v>404</v>
      </c>
      <c r="B414" s="50" t="inlineStr">
        <is>
          <t>Stainless Steel 304</t>
        </is>
      </c>
      <c r="C414" s="19" t="inlineStr">
        <is>
          <t>ASME B36.19M</t>
        </is>
      </c>
      <c r="D414" s="18" t="inlineStr">
        <is>
          <t>8''</t>
        </is>
      </c>
      <c r="E414" s="45" t="n">
        <v>200</v>
      </c>
      <c r="F414" s="18" t="inlineStr">
        <is>
          <t>40S</t>
        </is>
      </c>
      <c r="G414" s="20" t="n">
        <v>8.625</v>
      </c>
      <c r="H414" s="47" t="n">
        <v>219.07</v>
      </c>
      <c r="I414" s="20" t="n">
        <v>0.322</v>
      </c>
      <c r="J414" s="47" t="n">
        <v>8.18</v>
      </c>
      <c r="K414" s="20">
        <f>ROUND((H414-J414)*J414*IF(B414="Carbon Steel",$K$7,IF(B414="Stainless Steel 304",$K$8,$L$8)), 3)</f>
        <v/>
      </c>
      <c r="L414" s="47">
        <f>ROUND(K414*$G$5, 2)</f>
        <v/>
      </c>
      <c r="M414" s="45">
        <f>INT($G$6/H414)</f>
        <v/>
      </c>
      <c r="N414" s="45">
        <f>IF(M414=0, 0, IF(OR($K$6="Square Grid", M414=1), INT($G$7/H414), IF($G$7&lt;H414, 0, 1+INT(($G$7-H414)/(0.8660254*H414)))))</f>
        <v/>
      </c>
      <c r="O414" s="48">
        <f>IF(OR(M414=0,N414=0), 0, IF(OR($K$6="Square Grid", M414=1), M414*N414*$K$5, (INT((N414+1)/2)*M414 + INT(N414/2)*IF(($G$6-M414*H414)&gt;=0.5*H414, M414, M414-1))*$K$5))</f>
        <v/>
      </c>
      <c r="P414" s="48">
        <f>IF(L414&lt;=0, 0, INT($G$8/L414))</f>
        <v/>
      </c>
      <c r="Q414" s="42">
        <f>MIN(O414, P414)</f>
        <v/>
      </c>
      <c r="R414" s="43">
        <f>ROUND((Q414*L414)/1000, 2)</f>
        <v/>
      </c>
      <c r="S414" s="49">
        <f>IF($C$8&gt;0, R414/$C$8, 0)</f>
        <v/>
      </c>
      <c r="T414" s="49">
        <f>IF(O414&gt;0, Q414/O414, 0)</f>
        <v/>
      </c>
      <c r="U414" s="18">
        <f>IF(Q414=0, "Exceeds Limit", IF(P414&lt;=O414, "Weight Limited", "Volume Limited"))</f>
        <v/>
      </c>
    </row>
    <row r="415" ht="19" customHeight="1">
      <c r="A415" s="38" t="n">
        <v>405</v>
      </c>
      <c r="B415" s="51" t="inlineStr">
        <is>
          <t>Stainless Steel 304</t>
        </is>
      </c>
      <c r="C415" s="13" t="inlineStr">
        <is>
          <t>ASME B36.19M</t>
        </is>
      </c>
      <c r="D415" s="12" t="inlineStr">
        <is>
          <t>8''</t>
        </is>
      </c>
      <c r="E415" s="38" t="n">
        <v>200</v>
      </c>
      <c r="F415" s="12" t="inlineStr">
        <is>
          <t>80S</t>
        </is>
      </c>
      <c r="G415" s="14" t="n">
        <v>8.625</v>
      </c>
      <c r="H415" s="40" t="n">
        <v>219.07</v>
      </c>
      <c r="I415" s="14" t="n">
        <v>0.5</v>
      </c>
      <c r="J415" s="40" t="n">
        <v>12.7</v>
      </c>
      <c r="K415" s="14">
        <f>ROUND((H415-J415)*J415*IF(B415="Carbon Steel",$K$7,IF(B415="Stainless Steel 304",$K$8,$L$8)), 3)</f>
        <v/>
      </c>
      <c r="L415" s="40">
        <f>ROUND(K415*$G$5, 2)</f>
        <v/>
      </c>
      <c r="M415" s="38">
        <f>INT($G$6/H415)</f>
        <v/>
      </c>
      <c r="N415" s="38">
        <f>IF(M415=0, 0, IF(OR($K$6="Square Grid", M415=1), INT($G$7/H415), IF($G$7&lt;H415, 0, 1+INT(($G$7-H415)/(0.8660254*H415)))))</f>
        <v/>
      </c>
      <c r="O415" s="41">
        <f>IF(OR(M415=0,N415=0), 0, IF(OR($K$6="Square Grid", M415=1), M415*N415*$K$5, (INT((N415+1)/2)*M415 + INT(N415/2)*IF(($G$6-M415*H415)&gt;=0.5*H415, M415, M415-1))*$K$5))</f>
        <v/>
      </c>
      <c r="P415" s="41">
        <f>IF(L415&lt;=0, 0, INT($G$8/L415))</f>
        <v/>
      </c>
      <c r="Q415" s="42">
        <f>MIN(O415, P415)</f>
        <v/>
      </c>
      <c r="R415" s="43">
        <f>ROUND((Q415*L415)/1000, 2)</f>
        <v/>
      </c>
      <c r="S415" s="44">
        <f>IF($C$8&gt;0, R415/$C$8, 0)</f>
        <v/>
      </c>
      <c r="T415" s="44">
        <f>IF(O415&gt;0, Q415/O415, 0)</f>
        <v/>
      </c>
      <c r="U415" s="12">
        <f>IF(Q415=0, "Exceeds Limit", IF(P415&lt;=O415, "Weight Limited", "Volume Limited"))</f>
        <v/>
      </c>
    </row>
    <row r="416" ht="19" customHeight="1">
      <c r="A416" s="45" t="n">
        <v>406</v>
      </c>
      <c r="B416" s="50" t="inlineStr">
        <is>
          <t>Stainless Steel 304</t>
        </is>
      </c>
      <c r="C416" s="19" t="inlineStr">
        <is>
          <t>ASME B36.19M</t>
        </is>
      </c>
      <c r="D416" s="18" t="inlineStr">
        <is>
          <t>8''</t>
        </is>
      </c>
      <c r="E416" s="45" t="n">
        <v>200</v>
      </c>
      <c r="F416" s="18" t="inlineStr">
        <is>
          <t>STD</t>
        </is>
      </c>
      <c r="G416" s="20" t="n">
        <v>8.625</v>
      </c>
      <c r="H416" s="47" t="n">
        <v>219.07</v>
      </c>
      <c r="I416" s="20" t="n">
        <v>0.322</v>
      </c>
      <c r="J416" s="47" t="n">
        <v>8.18</v>
      </c>
      <c r="K416" s="20">
        <f>ROUND((H416-J416)*J416*IF(B416="Carbon Steel",$K$7,IF(B416="Stainless Steel 304",$K$8,$L$8)), 3)</f>
        <v/>
      </c>
      <c r="L416" s="47">
        <f>ROUND(K416*$G$5, 2)</f>
        <v/>
      </c>
      <c r="M416" s="45">
        <f>INT($G$6/H416)</f>
        <v/>
      </c>
      <c r="N416" s="45">
        <f>IF(M416=0, 0, IF(OR($K$6="Square Grid", M416=1), INT($G$7/H416), IF($G$7&lt;H416, 0, 1+INT(($G$7-H416)/(0.8660254*H416)))))</f>
        <v/>
      </c>
      <c r="O416" s="48">
        <f>IF(OR(M416=0,N416=0), 0, IF(OR($K$6="Square Grid", M416=1), M416*N416*$K$5, (INT((N416+1)/2)*M416 + INT(N416/2)*IF(($G$6-M416*H416)&gt;=0.5*H416, M416, M416-1))*$K$5))</f>
        <v/>
      </c>
      <c r="P416" s="48">
        <f>IF(L416&lt;=0, 0, INT($G$8/L416))</f>
        <v/>
      </c>
      <c r="Q416" s="42">
        <f>MIN(O416, P416)</f>
        <v/>
      </c>
      <c r="R416" s="43">
        <f>ROUND((Q416*L416)/1000, 2)</f>
        <v/>
      </c>
      <c r="S416" s="49">
        <f>IF($C$8&gt;0, R416/$C$8, 0)</f>
        <v/>
      </c>
      <c r="T416" s="49">
        <f>IF(O416&gt;0, Q416/O416, 0)</f>
        <v/>
      </c>
      <c r="U416" s="18">
        <f>IF(Q416=0, "Exceeds Limit", IF(P416&lt;=O416, "Weight Limited", "Volume Limited"))</f>
        <v/>
      </c>
    </row>
    <row r="417" ht="19" customHeight="1">
      <c r="A417" s="38" t="n">
        <v>407</v>
      </c>
      <c r="B417" s="51" t="inlineStr">
        <is>
          <t>Stainless Steel 304</t>
        </is>
      </c>
      <c r="C417" s="13" t="inlineStr">
        <is>
          <t>ASME B36.19M</t>
        </is>
      </c>
      <c r="D417" s="12" t="inlineStr">
        <is>
          <t>8''</t>
        </is>
      </c>
      <c r="E417" s="38" t="n">
        <v>200</v>
      </c>
      <c r="F417" s="12" t="inlineStr">
        <is>
          <t>XS</t>
        </is>
      </c>
      <c r="G417" s="14" t="n">
        <v>8.625</v>
      </c>
      <c r="H417" s="40" t="n">
        <v>219.07</v>
      </c>
      <c r="I417" s="14" t="n">
        <v>0.5</v>
      </c>
      <c r="J417" s="40" t="n">
        <v>12.7</v>
      </c>
      <c r="K417" s="14">
        <f>ROUND((H417-J417)*J417*IF(B417="Carbon Steel",$K$7,IF(B417="Stainless Steel 304",$K$8,$L$8)), 3)</f>
        <v/>
      </c>
      <c r="L417" s="40">
        <f>ROUND(K417*$G$5, 2)</f>
        <v/>
      </c>
      <c r="M417" s="38">
        <f>INT($G$6/H417)</f>
        <v/>
      </c>
      <c r="N417" s="38">
        <f>IF(M417=0, 0, IF(OR($K$6="Square Grid", M417=1), INT($G$7/H417), IF($G$7&lt;H417, 0, 1+INT(($G$7-H417)/(0.8660254*H417)))))</f>
        <v/>
      </c>
      <c r="O417" s="41">
        <f>IF(OR(M417=0,N417=0), 0, IF(OR($K$6="Square Grid", M417=1), M417*N417*$K$5, (INT((N417+1)/2)*M417 + INT(N417/2)*IF(($G$6-M417*H417)&gt;=0.5*H417, M417, M417-1))*$K$5))</f>
        <v/>
      </c>
      <c r="P417" s="41">
        <f>IF(L417&lt;=0, 0, INT($G$8/L417))</f>
        <v/>
      </c>
      <c r="Q417" s="42">
        <f>MIN(O417, P417)</f>
        <v/>
      </c>
      <c r="R417" s="43">
        <f>ROUND((Q417*L417)/1000, 2)</f>
        <v/>
      </c>
      <c r="S417" s="44">
        <f>IF($C$8&gt;0, R417/$C$8, 0)</f>
        <v/>
      </c>
      <c r="T417" s="44">
        <f>IF(O417&gt;0, Q417/O417, 0)</f>
        <v/>
      </c>
      <c r="U417" s="12">
        <f>IF(Q417=0, "Exceeds Limit", IF(P417&lt;=O417, "Weight Limited", "Volume Limited"))</f>
        <v/>
      </c>
    </row>
    <row r="418" ht="19" customHeight="1">
      <c r="A418" s="45" t="n">
        <v>408</v>
      </c>
      <c r="B418" s="50" t="inlineStr">
        <is>
          <t>Stainless Steel 304</t>
        </is>
      </c>
      <c r="C418" s="19" t="inlineStr">
        <is>
          <t>ASME B36.19M</t>
        </is>
      </c>
      <c r="D418" s="18" t="inlineStr">
        <is>
          <t>8''</t>
        </is>
      </c>
      <c r="E418" s="45" t="n">
        <v>200</v>
      </c>
      <c r="F418" s="18" t="inlineStr">
        <is>
          <t>160</t>
        </is>
      </c>
      <c r="G418" s="20" t="n">
        <v>8.625</v>
      </c>
      <c r="H418" s="47" t="n">
        <v>219.07</v>
      </c>
      <c r="I418" s="20" t="n">
        <v>0.906</v>
      </c>
      <c r="J418" s="47" t="n">
        <v>23.01</v>
      </c>
      <c r="K418" s="20">
        <f>ROUND((H418-J418)*J418*IF(B418="Carbon Steel",$K$7,IF(B418="Stainless Steel 304",$K$8,$L$8)), 3)</f>
        <v/>
      </c>
      <c r="L418" s="47">
        <f>ROUND(K418*$G$5, 2)</f>
        <v/>
      </c>
      <c r="M418" s="45">
        <f>INT($G$6/H418)</f>
        <v/>
      </c>
      <c r="N418" s="45">
        <f>IF(M418=0, 0, IF(OR($K$6="Square Grid", M418=1), INT($G$7/H418), IF($G$7&lt;H418, 0, 1+INT(($G$7-H418)/(0.8660254*H418)))))</f>
        <v/>
      </c>
      <c r="O418" s="48">
        <f>IF(OR(M418=0,N418=0), 0, IF(OR($K$6="Square Grid", M418=1), M418*N418*$K$5, (INT((N418+1)/2)*M418 + INT(N418/2)*IF(($G$6-M418*H418)&gt;=0.5*H418, M418, M418-1))*$K$5))</f>
        <v/>
      </c>
      <c r="P418" s="48">
        <f>IF(L418&lt;=0, 0, INT($G$8/L418))</f>
        <v/>
      </c>
      <c r="Q418" s="42">
        <f>MIN(O418, P418)</f>
        <v/>
      </c>
      <c r="R418" s="43">
        <f>ROUND((Q418*L418)/1000, 2)</f>
        <v/>
      </c>
      <c r="S418" s="49">
        <f>IF($C$8&gt;0, R418/$C$8, 0)</f>
        <v/>
      </c>
      <c r="T418" s="49">
        <f>IF(O418&gt;0, Q418/O418, 0)</f>
        <v/>
      </c>
      <c r="U418" s="18">
        <f>IF(Q418=0, "Exceeds Limit", IF(P418&lt;=O418, "Weight Limited", "Volume Limited"))</f>
        <v/>
      </c>
    </row>
    <row r="419" ht="19" customHeight="1">
      <c r="A419" s="38" t="n">
        <v>409</v>
      </c>
      <c r="B419" s="51" t="inlineStr">
        <is>
          <t>Stainless Steel 304</t>
        </is>
      </c>
      <c r="C419" s="13" t="inlineStr">
        <is>
          <t>ASME B36.19M</t>
        </is>
      </c>
      <c r="D419" s="12" t="inlineStr">
        <is>
          <t>8''</t>
        </is>
      </c>
      <c r="E419" s="38" t="n">
        <v>200</v>
      </c>
      <c r="F419" s="12" t="inlineStr">
        <is>
          <t>XXS</t>
        </is>
      </c>
      <c r="G419" s="14" t="n">
        <v>8.625</v>
      </c>
      <c r="H419" s="40" t="n">
        <v>219.07</v>
      </c>
      <c r="I419" s="14" t="n">
        <v>0.875</v>
      </c>
      <c r="J419" s="40" t="n">
        <v>22.22</v>
      </c>
      <c r="K419" s="14">
        <f>ROUND((H419-J419)*J419*IF(B419="Carbon Steel",$K$7,IF(B419="Stainless Steel 304",$K$8,$L$8)), 3)</f>
        <v/>
      </c>
      <c r="L419" s="40">
        <f>ROUND(K419*$G$5, 2)</f>
        <v/>
      </c>
      <c r="M419" s="38">
        <f>INT($G$6/H419)</f>
        <v/>
      </c>
      <c r="N419" s="38">
        <f>IF(M419=0, 0, IF(OR($K$6="Square Grid", M419=1), INT($G$7/H419), IF($G$7&lt;H419, 0, 1+INT(($G$7-H419)/(0.8660254*H419)))))</f>
        <v/>
      </c>
      <c r="O419" s="41">
        <f>IF(OR(M419=0,N419=0), 0, IF(OR($K$6="Square Grid", M419=1), M419*N419*$K$5, (INT((N419+1)/2)*M419 + INT(N419/2)*IF(($G$6-M419*H419)&gt;=0.5*H419, M419, M419-1))*$K$5))</f>
        <v/>
      </c>
      <c r="P419" s="41">
        <f>IF(L419&lt;=0, 0, INT($G$8/L419))</f>
        <v/>
      </c>
      <c r="Q419" s="42">
        <f>MIN(O419, P419)</f>
        <v/>
      </c>
      <c r="R419" s="43">
        <f>ROUND((Q419*L419)/1000, 2)</f>
        <v/>
      </c>
      <c r="S419" s="44">
        <f>IF($C$8&gt;0, R419/$C$8, 0)</f>
        <v/>
      </c>
      <c r="T419" s="44">
        <f>IF(O419&gt;0, Q419/O419, 0)</f>
        <v/>
      </c>
      <c r="U419" s="12">
        <f>IF(Q419=0, "Exceeds Limit", IF(P419&lt;=O419, "Weight Limited", "Volume Limited"))</f>
        <v/>
      </c>
    </row>
    <row r="420" ht="19" customHeight="1">
      <c r="A420" s="45" t="n">
        <v>410</v>
      </c>
      <c r="B420" s="50" t="inlineStr">
        <is>
          <t>Stainless Steel 304</t>
        </is>
      </c>
      <c r="C420" s="19" t="inlineStr">
        <is>
          <t>ASME B36.19M</t>
        </is>
      </c>
      <c r="D420" s="18" t="inlineStr">
        <is>
          <t>10''</t>
        </is>
      </c>
      <c r="E420" s="45" t="n">
        <v>250</v>
      </c>
      <c r="F420" s="18" t="inlineStr">
        <is>
          <t>5S</t>
        </is>
      </c>
      <c r="G420" s="20" t="n">
        <v>10.75</v>
      </c>
      <c r="H420" s="47" t="n">
        <v>273.05</v>
      </c>
      <c r="I420" s="20" t="n">
        <v>0.134</v>
      </c>
      <c r="J420" s="47" t="n">
        <v>3.4</v>
      </c>
      <c r="K420" s="20">
        <f>ROUND((H420-J420)*J420*IF(B420="Carbon Steel",$K$7,IF(B420="Stainless Steel 304",$K$8,$L$8)), 3)</f>
        <v/>
      </c>
      <c r="L420" s="47">
        <f>ROUND(K420*$G$5, 2)</f>
        <v/>
      </c>
      <c r="M420" s="45">
        <f>INT($G$6/H420)</f>
        <v/>
      </c>
      <c r="N420" s="45">
        <f>IF(M420=0, 0, IF(OR($K$6="Square Grid", M420=1), INT($G$7/H420), IF($G$7&lt;H420, 0, 1+INT(($G$7-H420)/(0.8660254*H420)))))</f>
        <v/>
      </c>
      <c r="O420" s="48">
        <f>IF(OR(M420=0,N420=0), 0, IF(OR($K$6="Square Grid", M420=1), M420*N420*$K$5, (INT((N420+1)/2)*M420 + INT(N420/2)*IF(($G$6-M420*H420)&gt;=0.5*H420, M420, M420-1))*$K$5))</f>
        <v/>
      </c>
      <c r="P420" s="48">
        <f>IF(L420&lt;=0, 0, INT($G$8/L420))</f>
        <v/>
      </c>
      <c r="Q420" s="42">
        <f>MIN(O420, P420)</f>
        <v/>
      </c>
      <c r="R420" s="43">
        <f>ROUND((Q420*L420)/1000, 2)</f>
        <v/>
      </c>
      <c r="S420" s="49">
        <f>IF($C$8&gt;0, R420/$C$8, 0)</f>
        <v/>
      </c>
      <c r="T420" s="49">
        <f>IF(O420&gt;0, Q420/O420, 0)</f>
        <v/>
      </c>
      <c r="U420" s="18">
        <f>IF(Q420=0, "Exceeds Limit", IF(P420&lt;=O420, "Weight Limited", "Volume Limited"))</f>
        <v/>
      </c>
    </row>
    <row r="421" ht="19" customHeight="1">
      <c r="A421" s="38" t="n">
        <v>411</v>
      </c>
      <c r="B421" s="51" t="inlineStr">
        <is>
          <t>Stainless Steel 304</t>
        </is>
      </c>
      <c r="C421" s="13" t="inlineStr">
        <is>
          <t>ASME B36.19M</t>
        </is>
      </c>
      <c r="D421" s="12" t="inlineStr">
        <is>
          <t>10''</t>
        </is>
      </c>
      <c r="E421" s="38" t="n">
        <v>250</v>
      </c>
      <c r="F421" s="12" t="inlineStr">
        <is>
          <t>10S</t>
        </is>
      </c>
      <c r="G421" s="14" t="n">
        <v>10.75</v>
      </c>
      <c r="H421" s="40" t="n">
        <v>273.05</v>
      </c>
      <c r="I421" s="14" t="n">
        <v>0.165</v>
      </c>
      <c r="J421" s="40" t="n">
        <v>4.19</v>
      </c>
      <c r="K421" s="14">
        <f>ROUND((H421-J421)*J421*IF(B421="Carbon Steel",$K$7,IF(B421="Stainless Steel 304",$K$8,$L$8)), 3)</f>
        <v/>
      </c>
      <c r="L421" s="40">
        <f>ROUND(K421*$G$5, 2)</f>
        <v/>
      </c>
      <c r="M421" s="38">
        <f>INT($G$6/H421)</f>
        <v/>
      </c>
      <c r="N421" s="38">
        <f>IF(M421=0, 0, IF(OR($K$6="Square Grid", M421=1), INT($G$7/H421), IF($G$7&lt;H421, 0, 1+INT(($G$7-H421)/(0.8660254*H421)))))</f>
        <v/>
      </c>
      <c r="O421" s="41">
        <f>IF(OR(M421=0,N421=0), 0, IF(OR($K$6="Square Grid", M421=1), M421*N421*$K$5, (INT((N421+1)/2)*M421 + INT(N421/2)*IF(($G$6-M421*H421)&gt;=0.5*H421, M421, M421-1))*$K$5))</f>
        <v/>
      </c>
      <c r="P421" s="41">
        <f>IF(L421&lt;=0, 0, INT($G$8/L421))</f>
        <v/>
      </c>
      <c r="Q421" s="42">
        <f>MIN(O421, P421)</f>
        <v/>
      </c>
      <c r="R421" s="43">
        <f>ROUND((Q421*L421)/1000, 2)</f>
        <v/>
      </c>
      <c r="S421" s="44">
        <f>IF($C$8&gt;0, R421/$C$8, 0)</f>
        <v/>
      </c>
      <c r="T421" s="44">
        <f>IF(O421&gt;0, Q421/O421, 0)</f>
        <v/>
      </c>
      <c r="U421" s="12">
        <f>IF(Q421=0, "Exceeds Limit", IF(P421&lt;=O421, "Weight Limited", "Volume Limited"))</f>
        <v/>
      </c>
    </row>
    <row r="422" ht="19" customHeight="1">
      <c r="A422" s="45" t="n">
        <v>412</v>
      </c>
      <c r="B422" s="50" t="inlineStr">
        <is>
          <t>Stainless Steel 304</t>
        </is>
      </c>
      <c r="C422" s="19" t="inlineStr">
        <is>
          <t>ASME B36.19M</t>
        </is>
      </c>
      <c r="D422" s="18" t="inlineStr">
        <is>
          <t>10''</t>
        </is>
      </c>
      <c r="E422" s="45" t="n">
        <v>250</v>
      </c>
      <c r="F422" s="18" t="inlineStr">
        <is>
          <t>40S</t>
        </is>
      </c>
      <c r="G422" s="20" t="n">
        <v>10.75</v>
      </c>
      <c r="H422" s="47" t="n">
        <v>273.05</v>
      </c>
      <c r="I422" s="20" t="n">
        <v>0.365</v>
      </c>
      <c r="J422" s="47" t="n">
        <v>9.27</v>
      </c>
      <c r="K422" s="20">
        <f>ROUND((H422-J422)*J422*IF(B422="Carbon Steel",$K$7,IF(B422="Stainless Steel 304",$K$8,$L$8)), 3)</f>
        <v/>
      </c>
      <c r="L422" s="47">
        <f>ROUND(K422*$G$5, 2)</f>
        <v/>
      </c>
      <c r="M422" s="45">
        <f>INT($G$6/H422)</f>
        <v/>
      </c>
      <c r="N422" s="45">
        <f>IF(M422=0, 0, IF(OR($K$6="Square Grid", M422=1), INT($G$7/H422), IF($G$7&lt;H422, 0, 1+INT(($G$7-H422)/(0.8660254*H422)))))</f>
        <v/>
      </c>
      <c r="O422" s="48">
        <f>IF(OR(M422=0,N422=0), 0, IF(OR($K$6="Square Grid", M422=1), M422*N422*$K$5, (INT((N422+1)/2)*M422 + INT(N422/2)*IF(($G$6-M422*H422)&gt;=0.5*H422, M422, M422-1))*$K$5))</f>
        <v/>
      </c>
      <c r="P422" s="48">
        <f>IF(L422&lt;=0, 0, INT($G$8/L422))</f>
        <v/>
      </c>
      <c r="Q422" s="42">
        <f>MIN(O422, P422)</f>
        <v/>
      </c>
      <c r="R422" s="43">
        <f>ROUND((Q422*L422)/1000, 2)</f>
        <v/>
      </c>
      <c r="S422" s="49">
        <f>IF($C$8&gt;0, R422/$C$8, 0)</f>
        <v/>
      </c>
      <c r="T422" s="49">
        <f>IF(O422&gt;0, Q422/O422, 0)</f>
        <v/>
      </c>
      <c r="U422" s="18">
        <f>IF(Q422=0, "Exceeds Limit", IF(P422&lt;=O422, "Weight Limited", "Volume Limited"))</f>
        <v/>
      </c>
    </row>
    <row r="423" ht="19" customHeight="1">
      <c r="A423" s="38" t="n">
        <v>413</v>
      </c>
      <c r="B423" s="51" t="inlineStr">
        <is>
          <t>Stainless Steel 304</t>
        </is>
      </c>
      <c r="C423" s="13" t="inlineStr">
        <is>
          <t>ASME B36.19M</t>
        </is>
      </c>
      <c r="D423" s="12" t="inlineStr">
        <is>
          <t>10''</t>
        </is>
      </c>
      <c r="E423" s="38" t="n">
        <v>250</v>
      </c>
      <c r="F423" s="12" t="inlineStr">
        <is>
          <t>80S</t>
        </is>
      </c>
      <c r="G423" s="14" t="n">
        <v>10.75</v>
      </c>
      <c r="H423" s="40" t="n">
        <v>273.05</v>
      </c>
      <c r="I423" s="14" t="n">
        <v>0.5</v>
      </c>
      <c r="J423" s="40" t="n">
        <v>12.7</v>
      </c>
      <c r="K423" s="14">
        <f>ROUND((H423-J423)*J423*IF(B423="Carbon Steel",$K$7,IF(B423="Stainless Steel 304",$K$8,$L$8)), 3)</f>
        <v/>
      </c>
      <c r="L423" s="40">
        <f>ROUND(K423*$G$5, 2)</f>
        <v/>
      </c>
      <c r="M423" s="38">
        <f>INT($G$6/H423)</f>
        <v/>
      </c>
      <c r="N423" s="38">
        <f>IF(M423=0, 0, IF(OR($K$6="Square Grid", M423=1), INT($G$7/H423), IF($G$7&lt;H423, 0, 1+INT(($G$7-H423)/(0.8660254*H423)))))</f>
        <v/>
      </c>
      <c r="O423" s="41">
        <f>IF(OR(M423=0,N423=0), 0, IF(OR($K$6="Square Grid", M423=1), M423*N423*$K$5, (INT((N423+1)/2)*M423 + INT(N423/2)*IF(($G$6-M423*H423)&gt;=0.5*H423, M423, M423-1))*$K$5))</f>
        <v/>
      </c>
      <c r="P423" s="41">
        <f>IF(L423&lt;=0, 0, INT($G$8/L423))</f>
        <v/>
      </c>
      <c r="Q423" s="42">
        <f>MIN(O423, P423)</f>
        <v/>
      </c>
      <c r="R423" s="43">
        <f>ROUND((Q423*L423)/1000, 2)</f>
        <v/>
      </c>
      <c r="S423" s="44">
        <f>IF($C$8&gt;0, R423/$C$8, 0)</f>
        <v/>
      </c>
      <c r="T423" s="44">
        <f>IF(O423&gt;0, Q423/O423, 0)</f>
        <v/>
      </c>
      <c r="U423" s="12">
        <f>IF(Q423=0, "Exceeds Limit", IF(P423&lt;=O423, "Weight Limited", "Volume Limited"))</f>
        <v/>
      </c>
    </row>
    <row r="424" ht="19" customHeight="1">
      <c r="A424" s="45" t="n">
        <v>414</v>
      </c>
      <c r="B424" s="50" t="inlineStr">
        <is>
          <t>Stainless Steel 304</t>
        </is>
      </c>
      <c r="C424" s="19" t="inlineStr">
        <is>
          <t>ASME B36.19M</t>
        </is>
      </c>
      <c r="D424" s="18" t="inlineStr">
        <is>
          <t>10''</t>
        </is>
      </c>
      <c r="E424" s="45" t="n">
        <v>250</v>
      </c>
      <c r="F424" s="18" t="inlineStr">
        <is>
          <t>STD</t>
        </is>
      </c>
      <c r="G424" s="20" t="n">
        <v>10.75</v>
      </c>
      <c r="H424" s="47" t="n">
        <v>273.05</v>
      </c>
      <c r="I424" s="20" t="n">
        <v>0.365</v>
      </c>
      <c r="J424" s="47" t="n">
        <v>9.27</v>
      </c>
      <c r="K424" s="20">
        <f>ROUND((H424-J424)*J424*IF(B424="Carbon Steel",$K$7,IF(B424="Stainless Steel 304",$K$8,$L$8)), 3)</f>
        <v/>
      </c>
      <c r="L424" s="47">
        <f>ROUND(K424*$G$5, 2)</f>
        <v/>
      </c>
      <c r="M424" s="45">
        <f>INT($G$6/H424)</f>
        <v/>
      </c>
      <c r="N424" s="45">
        <f>IF(M424=0, 0, IF(OR($K$6="Square Grid", M424=1), INT($G$7/H424), IF($G$7&lt;H424, 0, 1+INT(($G$7-H424)/(0.8660254*H424)))))</f>
        <v/>
      </c>
      <c r="O424" s="48">
        <f>IF(OR(M424=0,N424=0), 0, IF(OR($K$6="Square Grid", M424=1), M424*N424*$K$5, (INT((N424+1)/2)*M424 + INT(N424/2)*IF(($G$6-M424*H424)&gt;=0.5*H424, M424, M424-1))*$K$5))</f>
        <v/>
      </c>
      <c r="P424" s="48">
        <f>IF(L424&lt;=0, 0, INT($G$8/L424))</f>
        <v/>
      </c>
      <c r="Q424" s="42">
        <f>MIN(O424, P424)</f>
        <v/>
      </c>
      <c r="R424" s="43">
        <f>ROUND((Q424*L424)/1000, 2)</f>
        <v/>
      </c>
      <c r="S424" s="49">
        <f>IF($C$8&gt;0, R424/$C$8, 0)</f>
        <v/>
      </c>
      <c r="T424" s="49">
        <f>IF(O424&gt;0, Q424/O424, 0)</f>
        <v/>
      </c>
      <c r="U424" s="18">
        <f>IF(Q424=0, "Exceeds Limit", IF(P424&lt;=O424, "Weight Limited", "Volume Limited"))</f>
        <v/>
      </c>
    </row>
    <row r="425" ht="19" customHeight="1">
      <c r="A425" s="38" t="n">
        <v>415</v>
      </c>
      <c r="B425" s="51" t="inlineStr">
        <is>
          <t>Stainless Steel 304</t>
        </is>
      </c>
      <c r="C425" s="13" t="inlineStr">
        <is>
          <t>ASME B36.19M</t>
        </is>
      </c>
      <c r="D425" s="12" t="inlineStr">
        <is>
          <t>10''</t>
        </is>
      </c>
      <c r="E425" s="38" t="n">
        <v>250</v>
      </c>
      <c r="F425" s="12" t="inlineStr">
        <is>
          <t>XS</t>
        </is>
      </c>
      <c r="G425" s="14" t="n">
        <v>10.75</v>
      </c>
      <c r="H425" s="40" t="n">
        <v>273.05</v>
      </c>
      <c r="I425" s="14" t="n">
        <v>0.5</v>
      </c>
      <c r="J425" s="40" t="n">
        <v>12.7</v>
      </c>
      <c r="K425" s="14">
        <f>ROUND((H425-J425)*J425*IF(B425="Carbon Steel",$K$7,IF(B425="Stainless Steel 304",$K$8,$L$8)), 3)</f>
        <v/>
      </c>
      <c r="L425" s="40">
        <f>ROUND(K425*$G$5, 2)</f>
        <v/>
      </c>
      <c r="M425" s="38">
        <f>INT($G$6/H425)</f>
        <v/>
      </c>
      <c r="N425" s="38">
        <f>IF(M425=0, 0, IF(OR($K$6="Square Grid", M425=1), INT($G$7/H425), IF($G$7&lt;H425, 0, 1+INT(($G$7-H425)/(0.8660254*H425)))))</f>
        <v/>
      </c>
      <c r="O425" s="41">
        <f>IF(OR(M425=0,N425=0), 0, IF(OR($K$6="Square Grid", M425=1), M425*N425*$K$5, (INT((N425+1)/2)*M425 + INT(N425/2)*IF(($G$6-M425*H425)&gt;=0.5*H425, M425, M425-1))*$K$5))</f>
        <v/>
      </c>
      <c r="P425" s="41">
        <f>IF(L425&lt;=0, 0, INT($G$8/L425))</f>
        <v/>
      </c>
      <c r="Q425" s="42">
        <f>MIN(O425, P425)</f>
        <v/>
      </c>
      <c r="R425" s="43">
        <f>ROUND((Q425*L425)/1000, 2)</f>
        <v/>
      </c>
      <c r="S425" s="44">
        <f>IF($C$8&gt;0, R425/$C$8, 0)</f>
        <v/>
      </c>
      <c r="T425" s="44">
        <f>IF(O425&gt;0, Q425/O425, 0)</f>
        <v/>
      </c>
      <c r="U425" s="12">
        <f>IF(Q425=0, "Exceeds Limit", IF(P425&lt;=O425, "Weight Limited", "Volume Limited"))</f>
        <v/>
      </c>
    </row>
    <row r="426" ht="19" customHeight="1">
      <c r="A426" s="45" t="n">
        <v>416</v>
      </c>
      <c r="B426" s="50" t="inlineStr">
        <is>
          <t>Stainless Steel 304</t>
        </is>
      </c>
      <c r="C426" s="19" t="inlineStr">
        <is>
          <t>ASME B36.19M</t>
        </is>
      </c>
      <c r="D426" s="18" t="inlineStr">
        <is>
          <t>10''</t>
        </is>
      </c>
      <c r="E426" s="45" t="n">
        <v>250</v>
      </c>
      <c r="F426" s="18" t="inlineStr">
        <is>
          <t>160</t>
        </is>
      </c>
      <c r="G426" s="20" t="n">
        <v>10.75</v>
      </c>
      <c r="H426" s="47" t="n">
        <v>273.05</v>
      </c>
      <c r="I426" s="20" t="n">
        <v>1.125</v>
      </c>
      <c r="J426" s="47" t="n">
        <v>28.57</v>
      </c>
      <c r="K426" s="20">
        <f>ROUND((H426-J426)*J426*IF(B426="Carbon Steel",$K$7,IF(B426="Stainless Steel 304",$K$8,$L$8)), 3)</f>
        <v/>
      </c>
      <c r="L426" s="47">
        <f>ROUND(K426*$G$5, 2)</f>
        <v/>
      </c>
      <c r="M426" s="45">
        <f>INT($G$6/H426)</f>
        <v/>
      </c>
      <c r="N426" s="45">
        <f>IF(M426=0, 0, IF(OR($K$6="Square Grid", M426=1), INT($G$7/H426), IF($G$7&lt;H426, 0, 1+INT(($G$7-H426)/(0.8660254*H426)))))</f>
        <v/>
      </c>
      <c r="O426" s="48">
        <f>IF(OR(M426=0,N426=0), 0, IF(OR($K$6="Square Grid", M426=1), M426*N426*$K$5, (INT((N426+1)/2)*M426 + INT(N426/2)*IF(($G$6-M426*H426)&gt;=0.5*H426, M426, M426-1))*$K$5))</f>
        <v/>
      </c>
      <c r="P426" s="48">
        <f>IF(L426&lt;=0, 0, INT($G$8/L426))</f>
        <v/>
      </c>
      <c r="Q426" s="42">
        <f>MIN(O426, P426)</f>
        <v/>
      </c>
      <c r="R426" s="43">
        <f>ROUND((Q426*L426)/1000, 2)</f>
        <v/>
      </c>
      <c r="S426" s="49">
        <f>IF($C$8&gt;0, R426/$C$8, 0)</f>
        <v/>
      </c>
      <c r="T426" s="49">
        <f>IF(O426&gt;0, Q426/O426, 0)</f>
        <v/>
      </c>
      <c r="U426" s="18">
        <f>IF(Q426=0, "Exceeds Limit", IF(P426&lt;=O426, "Weight Limited", "Volume Limited"))</f>
        <v/>
      </c>
    </row>
    <row r="427" ht="19" customHeight="1">
      <c r="A427" s="38" t="n">
        <v>417</v>
      </c>
      <c r="B427" s="51" t="inlineStr">
        <is>
          <t>Stainless Steel 304</t>
        </is>
      </c>
      <c r="C427" s="13" t="inlineStr">
        <is>
          <t>ASME B36.19M</t>
        </is>
      </c>
      <c r="D427" s="12" t="inlineStr">
        <is>
          <t>10''</t>
        </is>
      </c>
      <c r="E427" s="38" t="n">
        <v>250</v>
      </c>
      <c r="F427" s="12" t="inlineStr">
        <is>
          <t>XXS</t>
        </is>
      </c>
      <c r="G427" s="14" t="n">
        <v>10.75</v>
      </c>
      <c r="H427" s="40" t="n">
        <v>273.05</v>
      </c>
      <c r="I427" s="14" t="n">
        <v>1</v>
      </c>
      <c r="J427" s="40" t="n">
        <v>25.4</v>
      </c>
      <c r="K427" s="14">
        <f>ROUND((H427-J427)*J427*IF(B427="Carbon Steel",$K$7,IF(B427="Stainless Steel 304",$K$8,$L$8)), 3)</f>
        <v/>
      </c>
      <c r="L427" s="40">
        <f>ROUND(K427*$G$5, 2)</f>
        <v/>
      </c>
      <c r="M427" s="38">
        <f>INT($G$6/H427)</f>
        <v/>
      </c>
      <c r="N427" s="38">
        <f>IF(M427=0, 0, IF(OR($K$6="Square Grid", M427=1), INT($G$7/H427), IF($G$7&lt;H427, 0, 1+INT(($G$7-H427)/(0.8660254*H427)))))</f>
        <v/>
      </c>
      <c r="O427" s="41">
        <f>IF(OR(M427=0,N427=0), 0, IF(OR($K$6="Square Grid", M427=1), M427*N427*$K$5, (INT((N427+1)/2)*M427 + INT(N427/2)*IF(($G$6-M427*H427)&gt;=0.5*H427, M427, M427-1))*$K$5))</f>
        <v/>
      </c>
      <c r="P427" s="41">
        <f>IF(L427&lt;=0, 0, INT($G$8/L427))</f>
        <v/>
      </c>
      <c r="Q427" s="42">
        <f>MIN(O427, P427)</f>
        <v/>
      </c>
      <c r="R427" s="43">
        <f>ROUND((Q427*L427)/1000, 2)</f>
        <v/>
      </c>
      <c r="S427" s="44">
        <f>IF($C$8&gt;0, R427/$C$8, 0)</f>
        <v/>
      </c>
      <c r="T427" s="44">
        <f>IF(O427&gt;0, Q427/O427, 0)</f>
        <v/>
      </c>
      <c r="U427" s="12">
        <f>IF(Q427=0, "Exceeds Limit", IF(P427&lt;=O427, "Weight Limited", "Volume Limited"))</f>
        <v/>
      </c>
    </row>
    <row r="428" ht="19" customHeight="1">
      <c r="A428" s="45" t="n">
        <v>418</v>
      </c>
      <c r="B428" s="50" t="inlineStr">
        <is>
          <t>Stainless Steel 304</t>
        </is>
      </c>
      <c r="C428" s="19" t="inlineStr">
        <is>
          <t>ASME B36.19M</t>
        </is>
      </c>
      <c r="D428" s="18" t="inlineStr">
        <is>
          <t>12''</t>
        </is>
      </c>
      <c r="E428" s="45" t="n">
        <v>300</v>
      </c>
      <c r="F428" s="18" t="inlineStr">
        <is>
          <t>5S</t>
        </is>
      </c>
      <c r="G428" s="20" t="n">
        <v>12.75</v>
      </c>
      <c r="H428" s="47" t="n">
        <v>323.85</v>
      </c>
      <c r="I428" s="20" t="n">
        <v>0.156</v>
      </c>
      <c r="J428" s="47" t="n">
        <v>3.96</v>
      </c>
      <c r="K428" s="20">
        <f>ROUND((H428-J428)*J428*IF(B428="Carbon Steel",$K$7,IF(B428="Stainless Steel 304",$K$8,$L$8)), 3)</f>
        <v/>
      </c>
      <c r="L428" s="47">
        <f>ROUND(K428*$G$5, 2)</f>
        <v/>
      </c>
      <c r="M428" s="45">
        <f>INT($G$6/H428)</f>
        <v/>
      </c>
      <c r="N428" s="45">
        <f>IF(M428=0, 0, IF(OR($K$6="Square Grid", M428=1), INT($G$7/H428), IF($G$7&lt;H428, 0, 1+INT(($G$7-H428)/(0.8660254*H428)))))</f>
        <v/>
      </c>
      <c r="O428" s="48">
        <f>IF(OR(M428=0,N428=0), 0, IF(OR($K$6="Square Grid", M428=1), M428*N428*$K$5, (INT((N428+1)/2)*M428 + INT(N428/2)*IF(($G$6-M428*H428)&gt;=0.5*H428, M428, M428-1))*$K$5))</f>
        <v/>
      </c>
      <c r="P428" s="48">
        <f>IF(L428&lt;=0, 0, INT($G$8/L428))</f>
        <v/>
      </c>
      <c r="Q428" s="42">
        <f>MIN(O428, P428)</f>
        <v/>
      </c>
      <c r="R428" s="43">
        <f>ROUND((Q428*L428)/1000, 2)</f>
        <v/>
      </c>
      <c r="S428" s="49">
        <f>IF($C$8&gt;0, R428/$C$8, 0)</f>
        <v/>
      </c>
      <c r="T428" s="49">
        <f>IF(O428&gt;0, Q428/O428, 0)</f>
        <v/>
      </c>
      <c r="U428" s="18">
        <f>IF(Q428=0, "Exceeds Limit", IF(P428&lt;=O428, "Weight Limited", "Volume Limited"))</f>
        <v/>
      </c>
    </row>
    <row r="429" ht="19" customHeight="1">
      <c r="A429" s="38" t="n">
        <v>419</v>
      </c>
      <c r="B429" s="51" t="inlineStr">
        <is>
          <t>Stainless Steel 304</t>
        </is>
      </c>
      <c r="C429" s="13" t="inlineStr">
        <is>
          <t>ASME B36.19M</t>
        </is>
      </c>
      <c r="D429" s="12" t="inlineStr">
        <is>
          <t>12''</t>
        </is>
      </c>
      <c r="E429" s="38" t="n">
        <v>300</v>
      </c>
      <c r="F429" s="12" t="inlineStr">
        <is>
          <t>10S</t>
        </is>
      </c>
      <c r="G429" s="14" t="n">
        <v>12.75</v>
      </c>
      <c r="H429" s="40" t="n">
        <v>323.85</v>
      </c>
      <c r="I429" s="14" t="n">
        <v>0.18</v>
      </c>
      <c r="J429" s="40" t="n">
        <v>4.57</v>
      </c>
      <c r="K429" s="14">
        <f>ROUND((H429-J429)*J429*IF(B429="Carbon Steel",$K$7,IF(B429="Stainless Steel 304",$K$8,$L$8)), 3)</f>
        <v/>
      </c>
      <c r="L429" s="40">
        <f>ROUND(K429*$G$5, 2)</f>
        <v/>
      </c>
      <c r="M429" s="38">
        <f>INT($G$6/H429)</f>
        <v/>
      </c>
      <c r="N429" s="38">
        <f>IF(M429=0, 0, IF(OR($K$6="Square Grid", M429=1), INT($G$7/H429), IF($G$7&lt;H429, 0, 1+INT(($G$7-H429)/(0.8660254*H429)))))</f>
        <v/>
      </c>
      <c r="O429" s="41">
        <f>IF(OR(M429=0,N429=0), 0, IF(OR($K$6="Square Grid", M429=1), M429*N429*$K$5, (INT((N429+1)/2)*M429 + INT(N429/2)*IF(($G$6-M429*H429)&gt;=0.5*H429, M429, M429-1))*$K$5))</f>
        <v/>
      </c>
      <c r="P429" s="41">
        <f>IF(L429&lt;=0, 0, INT($G$8/L429))</f>
        <v/>
      </c>
      <c r="Q429" s="42">
        <f>MIN(O429, P429)</f>
        <v/>
      </c>
      <c r="R429" s="43">
        <f>ROUND((Q429*L429)/1000, 2)</f>
        <v/>
      </c>
      <c r="S429" s="44">
        <f>IF($C$8&gt;0, R429/$C$8, 0)</f>
        <v/>
      </c>
      <c r="T429" s="44">
        <f>IF(O429&gt;0, Q429/O429, 0)</f>
        <v/>
      </c>
      <c r="U429" s="12">
        <f>IF(Q429=0, "Exceeds Limit", IF(P429&lt;=O429, "Weight Limited", "Volume Limited"))</f>
        <v/>
      </c>
    </row>
    <row r="430" ht="19" customHeight="1">
      <c r="A430" s="45" t="n">
        <v>420</v>
      </c>
      <c r="B430" s="50" t="inlineStr">
        <is>
          <t>Stainless Steel 304</t>
        </is>
      </c>
      <c r="C430" s="19" t="inlineStr">
        <is>
          <t>ASME B36.19M</t>
        </is>
      </c>
      <c r="D430" s="18" t="inlineStr">
        <is>
          <t>12''</t>
        </is>
      </c>
      <c r="E430" s="45" t="n">
        <v>300</v>
      </c>
      <c r="F430" s="18" t="inlineStr">
        <is>
          <t>40S</t>
        </is>
      </c>
      <c r="G430" s="20" t="n">
        <v>12.75</v>
      </c>
      <c r="H430" s="47" t="n">
        <v>323.85</v>
      </c>
      <c r="I430" s="20" t="n">
        <v>0.375</v>
      </c>
      <c r="J430" s="47" t="n">
        <v>9.52</v>
      </c>
      <c r="K430" s="20">
        <f>ROUND((H430-J430)*J430*IF(B430="Carbon Steel",$K$7,IF(B430="Stainless Steel 304",$K$8,$L$8)), 3)</f>
        <v/>
      </c>
      <c r="L430" s="47">
        <f>ROUND(K430*$G$5, 2)</f>
        <v/>
      </c>
      <c r="M430" s="45">
        <f>INT($G$6/H430)</f>
        <v/>
      </c>
      <c r="N430" s="45">
        <f>IF(M430=0, 0, IF(OR($K$6="Square Grid", M430=1), INT($G$7/H430), IF($G$7&lt;H430, 0, 1+INT(($G$7-H430)/(0.8660254*H430)))))</f>
        <v/>
      </c>
      <c r="O430" s="48">
        <f>IF(OR(M430=0,N430=0), 0, IF(OR($K$6="Square Grid", M430=1), M430*N430*$K$5, (INT((N430+1)/2)*M430 + INT(N430/2)*IF(($G$6-M430*H430)&gt;=0.5*H430, M430, M430-1))*$K$5))</f>
        <v/>
      </c>
      <c r="P430" s="48">
        <f>IF(L430&lt;=0, 0, INT($G$8/L430))</f>
        <v/>
      </c>
      <c r="Q430" s="42">
        <f>MIN(O430, P430)</f>
        <v/>
      </c>
      <c r="R430" s="43">
        <f>ROUND((Q430*L430)/1000, 2)</f>
        <v/>
      </c>
      <c r="S430" s="49">
        <f>IF($C$8&gt;0, R430/$C$8, 0)</f>
        <v/>
      </c>
      <c r="T430" s="49">
        <f>IF(O430&gt;0, Q430/O430, 0)</f>
        <v/>
      </c>
      <c r="U430" s="18">
        <f>IF(Q430=0, "Exceeds Limit", IF(P430&lt;=O430, "Weight Limited", "Volume Limited"))</f>
        <v/>
      </c>
    </row>
    <row r="431" ht="19" customHeight="1">
      <c r="A431" s="38" t="n">
        <v>421</v>
      </c>
      <c r="B431" s="51" t="inlineStr">
        <is>
          <t>Stainless Steel 304</t>
        </is>
      </c>
      <c r="C431" s="13" t="inlineStr">
        <is>
          <t>ASME B36.19M</t>
        </is>
      </c>
      <c r="D431" s="12" t="inlineStr">
        <is>
          <t>12''</t>
        </is>
      </c>
      <c r="E431" s="38" t="n">
        <v>300</v>
      </c>
      <c r="F431" s="12" t="inlineStr">
        <is>
          <t>80S</t>
        </is>
      </c>
      <c r="G431" s="14" t="n">
        <v>12.75</v>
      </c>
      <c r="H431" s="40" t="n">
        <v>323.85</v>
      </c>
      <c r="I431" s="14" t="n">
        <v>0.5</v>
      </c>
      <c r="J431" s="40" t="n">
        <v>12.7</v>
      </c>
      <c r="K431" s="14">
        <f>ROUND((H431-J431)*J431*IF(B431="Carbon Steel",$K$7,IF(B431="Stainless Steel 304",$K$8,$L$8)), 3)</f>
        <v/>
      </c>
      <c r="L431" s="40">
        <f>ROUND(K431*$G$5, 2)</f>
        <v/>
      </c>
      <c r="M431" s="38">
        <f>INT($G$6/H431)</f>
        <v/>
      </c>
      <c r="N431" s="38">
        <f>IF(M431=0, 0, IF(OR($K$6="Square Grid", M431=1), INT($G$7/H431), IF($G$7&lt;H431, 0, 1+INT(($G$7-H431)/(0.8660254*H431)))))</f>
        <v/>
      </c>
      <c r="O431" s="41">
        <f>IF(OR(M431=0,N431=0), 0, IF(OR($K$6="Square Grid", M431=1), M431*N431*$K$5, (INT((N431+1)/2)*M431 + INT(N431/2)*IF(($G$6-M431*H431)&gt;=0.5*H431, M431, M431-1))*$K$5))</f>
        <v/>
      </c>
      <c r="P431" s="41">
        <f>IF(L431&lt;=0, 0, INT($G$8/L431))</f>
        <v/>
      </c>
      <c r="Q431" s="42">
        <f>MIN(O431, P431)</f>
        <v/>
      </c>
      <c r="R431" s="43">
        <f>ROUND((Q431*L431)/1000, 2)</f>
        <v/>
      </c>
      <c r="S431" s="44">
        <f>IF($C$8&gt;0, R431/$C$8, 0)</f>
        <v/>
      </c>
      <c r="T431" s="44">
        <f>IF(O431&gt;0, Q431/O431, 0)</f>
        <v/>
      </c>
      <c r="U431" s="12">
        <f>IF(Q431=0, "Exceeds Limit", IF(P431&lt;=O431, "Weight Limited", "Volume Limited"))</f>
        <v/>
      </c>
    </row>
    <row r="432" ht="19" customHeight="1">
      <c r="A432" s="45" t="n">
        <v>422</v>
      </c>
      <c r="B432" s="50" t="inlineStr">
        <is>
          <t>Stainless Steel 304</t>
        </is>
      </c>
      <c r="C432" s="19" t="inlineStr">
        <is>
          <t>ASME B36.19M</t>
        </is>
      </c>
      <c r="D432" s="18" t="inlineStr">
        <is>
          <t>12''</t>
        </is>
      </c>
      <c r="E432" s="45" t="n">
        <v>300</v>
      </c>
      <c r="F432" s="18" t="inlineStr">
        <is>
          <t>STD</t>
        </is>
      </c>
      <c r="G432" s="20" t="n">
        <v>12.75</v>
      </c>
      <c r="H432" s="47" t="n">
        <v>323.85</v>
      </c>
      <c r="I432" s="20" t="n">
        <v>0.375</v>
      </c>
      <c r="J432" s="47" t="n">
        <v>9.52</v>
      </c>
      <c r="K432" s="20">
        <f>ROUND((H432-J432)*J432*IF(B432="Carbon Steel",$K$7,IF(B432="Stainless Steel 304",$K$8,$L$8)), 3)</f>
        <v/>
      </c>
      <c r="L432" s="47">
        <f>ROUND(K432*$G$5, 2)</f>
        <v/>
      </c>
      <c r="M432" s="45">
        <f>INT($G$6/H432)</f>
        <v/>
      </c>
      <c r="N432" s="45">
        <f>IF(M432=0, 0, IF(OR($K$6="Square Grid", M432=1), INT($G$7/H432), IF($G$7&lt;H432, 0, 1+INT(($G$7-H432)/(0.8660254*H432)))))</f>
        <v/>
      </c>
      <c r="O432" s="48">
        <f>IF(OR(M432=0,N432=0), 0, IF(OR($K$6="Square Grid", M432=1), M432*N432*$K$5, (INT((N432+1)/2)*M432 + INT(N432/2)*IF(($G$6-M432*H432)&gt;=0.5*H432, M432, M432-1))*$K$5))</f>
        <v/>
      </c>
      <c r="P432" s="48">
        <f>IF(L432&lt;=0, 0, INT($G$8/L432))</f>
        <v/>
      </c>
      <c r="Q432" s="42">
        <f>MIN(O432, P432)</f>
        <v/>
      </c>
      <c r="R432" s="43">
        <f>ROUND((Q432*L432)/1000, 2)</f>
        <v/>
      </c>
      <c r="S432" s="49">
        <f>IF($C$8&gt;0, R432/$C$8, 0)</f>
        <v/>
      </c>
      <c r="T432" s="49">
        <f>IF(O432&gt;0, Q432/O432, 0)</f>
        <v/>
      </c>
      <c r="U432" s="18">
        <f>IF(Q432=0, "Exceeds Limit", IF(P432&lt;=O432, "Weight Limited", "Volume Limited"))</f>
        <v/>
      </c>
    </row>
    <row r="433" ht="19" customHeight="1">
      <c r="A433" s="38" t="n">
        <v>423</v>
      </c>
      <c r="B433" s="51" t="inlineStr">
        <is>
          <t>Stainless Steel 304</t>
        </is>
      </c>
      <c r="C433" s="13" t="inlineStr">
        <is>
          <t>ASME B36.19M</t>
        </is>
      </c>
      <c r="D433" s="12" t="inlineStr">
        <is>
          <t>12''</t>
        </is>
      </c>
      <c r="E433" s="38" t="n">
        <v>300</v>
      </c>
      <c r="F433" s="12" t="inlineStr">
        <is>
          <t>XS</t>
        </is>
      </c>
      <c r="G433" s="14" t="n">
        <v>12.75</v>
      </c>
      <c r="H433" s="40" t="n">
        <v>323.85</v>
      </c>
      <c r="I433" s="14" t="n">
        <v>0.5</v>
      </c>
      <c r="J433" s="40" t="n">
        <v>12.7</v>
      </c>
      <c r="K433" s="14">
        <f>ROUND((H433-J433)*J433*IF(B433="Carbon Steel",$K$7,IF(B433="Stainless Steel 304",$K$8,$L$8)), 3)</f>
        <v/>
      </c>
      <c r="L433" s="40">
        <f>ROUND(K433*$G$5, 2)</f>
        <v/>
      </c>
      <c r="M433" s="38">
        <f>INT($G$6/H433)</f>
        <v/>
      </c>
      <c r="N433" s="38">
        <f>IF(M433=0, 0, IF(OR($K$6="Square Grid", M433=1), INT($G$7/H433), IF($G$7&lt;H433, 0, 1+INT(($G$7-H433)/(0.8660254*H433)))))</f>
        <v/>
      </c>
      <c r="O433" s="41">
        <f>IF(OR(M433=0,N433=0), 0, IF(OR($K$6="Square Grid", M433=1), M433*N433*$K$5, (INT((N433+1)/2)*M433 + INT(N433/2)*IF(($G$6-M433*H433)&gt;=0.5*H433, M433, M433-1))*$K$5))</f>
        <v/>
      </c>
      <c r="P433" s="41">
        <f>IF(L433&lt;=0, 0, INT($G$8/L433))</f>
        <v/>
      </c>
      <c r="Q433" s="42">
        <f>MIN(O433, P433)</f>
        <v/>
      </c>
      <c r="R433" s="43">
        <f>ROUND((Q433*L433)/1000, 2)</f>
        <v/>
      </c>
      <c r="S433" s="44">
        <f>IF($C$8&gt;0, R433/$C$8, 0)</f>
        <v/>
      </c>
      <c r="T433" s="44">
        <f>IF(O433&gt;0, Q433/O433, 0)</f>
        <v/>
      </c>
      <c r="U433" s="12">
        <f>IF(Q433=0, "Exceeds Limit", IF(P433&lt;=O433, "Weight Limited", "Volume Limited"))</f>
        <v/>
      </c>
    </row>
    <row r="434" ht="19" customHeight="1">
      <c r="A434" s="45" t="n">
        <v>424</v>
      </c>
      <c r="B434" s="50" t="inlineStr">
        <is>
          <t>Stainless Steel 304</t>
        </is>
      </c>
      <c r="C434" s="19" t="inlineStr">
        <is>
          <t>ASME B36.19M</t>
        </is>
      </c>
      <c r="D434" s="18" t="inlineStr">
        <is>
          <t>12''</t>
        </is>
      </c>
      <c r="E434" s="45" t="n">
        <v>300</v>
      </c>
      <c r="F434" s="18" t="inlineStr">
        <is>
          <t>160</t>
        </is>
      </c>
      <c r="G434" s="20" t="n">
        <v>12.75</v>
      </c>
      <c r="H434" s="47" t="n">
        <v>323.85</v>
      </c>
      <c r="I434" s="20" t="n">
        <v>1.312</v>
      </c>
      <c r="J434" s="47" t="n">
        <v>33.32</v>
      </c>
      <c r="K434" s="20">
        <f>ROUND((H434-J434)*J434*IF(B434="Carbon Steel",$K$7,IF(B434="Stainless Steel 304",$K$8,$L$8)), 3)</f>
        <v/>
      </c>
      <c r="L434" s="47">
        <f>ROUND(K434*$G$5, 2)</f>
        <v/>
      </c>
      <c r="M434" s="45">
        <f>INT($G$6/H434)</f>
        <v/>
      </c>
      <c r="N434" s="45">
        <f>IF(M434=0, 0, IF(OR($K$6="Square Grid", M434=1), INT($G$7/H434), IF($G$7&lt;H434, 0, 1+INT(($G$7-H434)/(0.8660254*H434)))))</f>
        <v/>
      </c>
      <c r="O434" s="48">
        <f>IF(OR(M434=0,N434=0), 0, IF(OR($K$6="Square Grid", M434=1), M434*N434*$K$5, (INT((N434+1)/2)*M434 + INT(N434/2)*IF(($G$6-M434*H434)&gt;=0.5*H434, M434, M434-1))*$K$5))</f>
        <v/>
      </c>
      <c r="P434" s="48">
        <f>IF(L434&lt;=0, 0, INT($G$8/L434))</f>
        <v/>
      </c>
      <c r="Q434" s="42">
        <f>MIN(O434, P434)</f>
        <v/>
      </c>
      <c r="R434" s="43">
        <f>ROUND((Q434*L434)/1000, 2)</f>
        <v/>
      </c>
      <c r="S434" s="49">
        <f>IF($C$8&gt;0, R434/$C$8, 0)</f>
        <v/>
      </c>
      <c r="T434" s="49">
        <f>IF(O434&gt;0, Q434/O434, 0)</f>
        <v/>
      </c>
      <c r="U434" s="18">
        <f>IF(Q434=0, "Exceeds Limit", IF(P434&lt;=O434, "Weight Limited", "Volume Limited"))</f>
        <v/>
      </c>
    </row>
    <row r="435" ht="19" customHeight="1">
      <c r="A435" s="38" t="n">
        <v>425</v>
      </c>
      <c r="B435" s="51" t="inlineStr">
        <is>
          <t>Stainless Steel 304</t>
        </is>
      </c>
      <c r="C435" s="13" t="inlineStr">
        <is>
          <t>ASME B36.19M</t>
        </is>
      </c>
      <c r="D435" s="12" t="inlineStr">
        <is>
          <t>12''</t>
        </is>
      </c>
      <c r="E435" s="38" t="n">
        <v>300</v>
      </c>
      <c r="F435" s="12" t="inlineStr">
        <is>
          <t>XXS</t>
        </is>
      </c>
      <c r="G435" s="14" t="n">
        <v>12.75</v>
      </c>
      <c r="H435" s="40" t="n">
        <v>323.85</v>
      </c>
      <c r="I435" s="14" t="n">
        <v>1</v>
      </c>
      <c r="J435" s="40" t="n">
        <v>25.4</v>
      </c>
      <c r="K435" s="14">
        <f>ROUND((H435-J435)*J435*IF(B435="Carbon Steel",$K$7,IF(B435="Stainless Steel 304",$K$8,$L$8)), 3)</f>
        <v/>
      </c>
      <c r="L435" s="40">
        <f>ROUND(K435*$G$5, 2)</f>
        <v/>
      </c>
      <c r="M435" s="38">
        <f>INT($G$6/H435)</f>
        <v/>
      </c>
      <c r="N435" s="38">
        <f>IF(M435=0, 0, IF(OR($K$6="Square Grid", M435=1), INT($G$7/H435), IF($G$7&lt;H435, 0, 1+INT(($G$7-H435)/(0.8660254*H435)))))</f>
        <v/>
      </c>
      <c r="O435" s="41">
        <f>IF(OR(M435=0,N435=0), 0, IF(OR($K$6="Square Grid", M435=1), M435*N435*$K$5, (INT((N435+1)/2)*M435 + INT(N435/2)*IF(($G$6-M435*H435)&gt;=0.5*H435, M435, M435-1))*$K$5))</f>
        <v/>
      </c>
      <c r="P435" s="41">
        <f>IF(L435&lt;=0, 0, INT($G$8/L435))</f>
        <v/>
      </c>
      <c r="Q435" s="42">
        <f>MIN(O435, P435)</f>
        <v/>
      </c>
      <c r="R435" s="43">
        <f>ROUND((Q435*L435)/1000, 2)</f>
        <v/>
      </c>
      <c r="S435" s="44">
        <f>IF($C$8&gt;0, R435/$C$8, 0)</f>
        <v/>
      </c>
      <c r="T435" s="44">
        <f>IF(O435&gt;0, Q435/O435, 0)</f>
        <v/>
      </c>
      <c r="U435" s="12">
        <f>IF(Q435=0, "Exceeds Limit", IF(P435&lt;=O435, "Weight Limited", "Volume Limited"))</f>
        <v/>
      </c>
    </row>
    <row r="436" ht="19" customHeight="1">
      <c r="A436" s="45" t="n">
        <v>426</v>
      </c>
      <c r="B436" s="50" t="inlineStr">
        <is>
          <t>Stainless Steel 304</t>
        </is>
      </c>
      <c r="C436" s="19" t="inlineStr">
        <is>
          <t>ASME B36.19M</t>
        </is>
      </c>
      <c r="D436" s="18" t="inlineStr">
        <is>
          <t>14''</t>
        </is>
      </c>
      <c r="E436" s="45" t="n">
        <v>350</v>
      </c>
      <c r="F436" s="18" t="inlineStr">
        <is>
          <t>5S</t>
        </is>
      </c>
      <c r="G436" s="20" t="n">
        <v>14</v>
      </c>
      <c r="H436" s="47" t="n">
        <v>355.6</v>
      </c>
      <c r="I436" s="20" t="n">
        <v>0.156</v>
      </c>
      <c r="J436" s="47" t="n">
        <v>3.96</v>
      </c>
      <c r="K436" s="20">
        <f>ROUND((H436-J436)*J436*IF(B436="Carbon Steel",$K$7,IF(B436="Stainless Steel 304",$K$8,$L$8)), 3)</f>
        <v/>
      </c>
      <c r="L436" s="47">
        <f>ROUND(K436*$G$5, 2)</f>
        <v/>
      </c>
      <c r="M436" s="45">
        <f>INT($G$6/H436)</f>
        <v/>
      </c>
      <c r="N436" s="45">
        <f>IF(M436=0, 0, IF(OR($K$6="Square Grid", M436=1), INT($G$7/H436), IF($G$7&lt;H436, 0, 1+INT(($G$7-H436)/(0.8660254*H436)))))</f>
        <v/>
      </c>
      <c r="O436" s="48">
        <f>IF(OR(M436=0,N436=0), 0, IF(OR($K$6="Square Grid", M436=1), M436*N436*$K$5, (INT((N436+1)/2)*M436 + INT(N436/2)*IF(($G$6-M436*H436)&gt;=0.5*H436, M436, M436-1))*$K$5))</f>
        <v/>
      </c>
      <c r="P436" s="48">
        <f>IF(L436&lt;=0, 0, INT($G$8/L436))</f>
        <v/>
      </c>
      <c r="Q436" s="42">
        <f>MIN(O436, P436)</f>
        <v/>
      </c>
      <c r="R436" s="43">
        <f>ROUND((Q436*L436)/1000, 2)</f>
        <v/>
      </c>
      <c r="S436" s="49">
        <f>IF($C$8&gt;0, R436/$C$8, 0)</f>
        <v/>
      </c>
      <c r="T436" s="49">
        <f>IF(O436&gt;0, Q436/O436, 0)</f>
        <v/>
      </c>
      <c r="U436" s="18">
        <f>IF(Q436=0, "Exceeds Limit", IF(P436&lt;=O436, "Weight Limited", "Volume Limited"))</f>
        <v/>
      </c>
    </row>
    <row r="437" ht="19" customHeight="1">
      <c r="A437" s="38" t="n">
        <v>427</v>
      </c>
      <c r="B437" s="51" t="inlineStr">
        <is>
          <t>Stainless Steel 304</t>
        </is>
      </c>
      <c r="C437" s="13" t="inlineStr">
        <is>
          <t>ASME B36.19M</t>
        </is>
      </c>
      <c r="D437" s="12" t="inlineStr">
        <is>
          <t>14''</t>
        </is>
      </c>
      <c r="E437" s="38" t="n">
        <v>350</v>
      </c>
      <c r="F437" s="12" t="inlineStr">
        <is>
          <t>10S</t>
        </is>
      </c>
      <c r="G437" s="14" t="n">
        <v>14</v>
      </c>
      <c r="H437" s="40" t="n">
        <v>355.6</v>
      </c>
      <c r="I437" s="14" t="n">
        <v>0.188</v>
      </c>
      <c r="J437" s="40" t="n">
        <v>4.78</v>
      </c>
      <c r="K437" s="14">
        <f>ROUND((H437-J437)*J437*IF(B437="Carbon Steel",$K$7,IF(B437="Stainless Steel 304",$K$8,$L$8)), 3)</f>
        <v/>
      </c>
      <c r="L437" s="40">
        <f>ROUND(K437*$G$5, 2)</f>
        <v/>
      </c>
      <c r="M437" s="38">
        <f>INT($G$6/H437)</f>
        <v/>
      </c>
      <c r="N437" s="38">
        <f>IF(M437=0, 0, IF(OR($K$6="Square Grid", M437=1), INT($G$7/H437), IF($G$7&lt;H437, 0, 1+INT(($G$7-H437)/(0.8660254*H437)))))</f>
        <v/>
      </c>
      <c r="O437" s="41">
        <f>IF(OR(M437=0,N437=0), 0, IF(OR($K$6="Square Grid", M437=1), M437*N437*$K$5, (INT((N437+1)/2)*M437 + INT(N437/2)*IF(($G$6-M437*H437)&gt;=0.5*H437, M437, M437-1))*$K$5))</f>
        <v/>
      </c>
      <c r="P437" s="41">
        <f>IF(L437&lt;=0, 0, INT($G$8/L437))</f>
        <v/>
      </c>
      <c r="Q437" s="42">
        <f>MIN(O437, P437)</f>
        <v/>
      </c>
      <c r="R437" s="43">
        <f>ROUND((Q437*L437)/1000, 2)</f>
        <v/>
      </c>
      <c r="S437" s="44">
        <f>IF($C$8&gt;0, R437/$C$8, 0)</f>
        <v/>
      </c>
      <c r="T437" s="44">
        <f>IF(O437&gt;0, Q437/O437, 0)</f>
        <v/>
      </c>
      <c r="U437" s="12">
        <f>IF(Q437=0, "Exceeds Limit", IF(P437&lt;=O437, "Weight Limited", "Volume Limited"))</f>
        <v/>
      </c>
    </row>
    <row r="438" ht="19" customHeight="1">
      <c r="A438" s="45" t="n">
        <v>428</v>
      </c>
      <c r="B438" s="50" t="inlineStr">
        <is>
          <t>Stainless Steel 304</t>
        </is>
      </c>
      <c r="C438" s="19" t="inlineStr">
        <is>
          <t>ASME B36.19M</t>
        </is>
      </c>
      <c r="D438" s="18" t="inlineStr">
        <is>
          <t>14''</t>
        </is>
      </c>
      <c r="E438" s="45" t="n">
        <v>350</v>
      </c>
      <c r="F438" s="18" t="inlineStr">
        <is>
          <t>40S</t>
        </is>
      </c>
      <c r="G438" s="20" t="n">
        <v>14</v>
      </c>
      <c r="H438" s="47" t="n">
        <v>355.6</v>
      </c>
      <c r="I438" s="20" t="n">
        <v>0.375</v>
      </c>
      <c r="J438" s="47" t="n">
        <v>9.52</v>
      </c>
      <c r="K438" s="20">
        <f>ROUND((H438-J438)*J438*IF(B438="Carbon Steel",$K$7,IF(B438="Stainless Steel 304",$K$8,$L$8)), 3)</f>
        <v/>
      </c>
      <c r="L438" s="47">
        <f>ROUND(K438*$G$5, 2)</f>
        <v/>
      </c>
      <c r="M438" s="45">
        <f>INT($G$6/H438)</f>
        <v/>
      </c>
      <c r="N438" s="45">
        <f>IF(M438=0, 0, IF(OR($K$6="Square Grid", M438=1), INT($G$7/H438), IF($G$7&lt;H438, 0, 1+INT(($G$7-H438)/(0.8660254*H438)))))</f>
        <v/>
      </c>
      <c r="O438" s="48">
        <f>IF(OR(M438=0,N438=0), 0, IF(OR($K$6="Square Grid", M438=1), M438*N438*$K$5, (INT((N438+1)/2)*M438 + INT(N438/2)*IF(($G$6-M438*H438)&gt;=0.5*H438, M438, M438-1))*$K$5))</f>
        <v/>
      </c>
      <c r="P438" s="48">
        <f>IF(L438&lt;=0, 0, INT($G$8/L438))</f>
        <v/>
      </c>
      <c r="Q438" s="42">
        <f>MIN(O438, P438)</f>
        <v/>
      </c>
      <c r="R438" s="43">
        <f>ROUND((Q438*L438)/1000, 2)</f>
        <v/>
      </c>
      <c r="S438" s="49">
        <f>IF($C$8&gt;0, R438/$C$8, 0)</f>
        <v/>
      </c>
      <c r="T438" s="49">
        <f>IF(O438&gt;0, Q438/O438, 0)</f>
        <v/>
      </c>
      <c r="U438" s="18">
        <f>IF(Q438=0, "Exceeds Limit", IF(P438&lt;=O438, "Weight Limited", "Volume Limited"))</f>
        <v/>
      </c>
    </row>
    <row r="439" ht="19" customHeight="1">
      <c r="A439" s="38" t="n">
        <v>429</v>
      </c>
      <c r="B439" s="51" t="inlineStr">
        <is>
          <t>Stainless Steel 304</t>
        </is>
      </c>
      <c r="C439" s="13" t="inlineStr">
        <is>
          <t>ASME B36.19M</t>
        </is>
      </c>
      <c r="D439" s="12" t="inlineStr">
        <is>
          <t>14''</t>
        </is>
      </c>
      <c r="E439" s="38" t="n">
        <v>350</v>
      </c>
      <c r="F439" s="12" t="inlineStr">
        <is>
          <t>80S</t>
        </is>
      </c>
      <c r="G439" s="14" t="n">
        <v>14</v>
      </c>
      <c r="H439" s="40" t="n">
        <v>355.6</v>
      </c>
      <c r="I439" s="14" t="n">
        <v>0.5</v>
      </c>
      <c r="J439" s="40" t="n">
        <v>12.7</v>
      </c>
      <c r="K439" s="14">
        <f>ROUND((H439-J439)*J439*IF(B439="Carbon Steel",$K$7,IF(B439="Stainless Steel 304",$K$8,$L$8)), 3)</f>
        <v/>
      </c>
      <c r="L439" s="40">
        <f>ROUND(K439*$G$5, 2)</f>
        <v/>
      </c>
      <c r="M439" s="38">
        <f>INT($G$6/H439)</f>
        <v/>
      </c>
      <c r="N439" s="38">
        <f>IF(M439=0, 0, IF(OR($K$6="Square Grid", M439=1), INT($G$7/H439), IF($G$7&lt;H439, 0, 1+INT(($G$7-H439)/(0.8660254*H439)))))</f>
        <v/>
      </c>
      <c r="O439" s="41">
        <f>IF(OR(M439=0,N439=0), 0, IF(OR($K$6="Square Grid", M439=1), M439*N439*$K$5, (INT((N439+1)/2)*M439 + INT(N439/2)*IF(($G$6-M439*H439)&gt;=0.5*H439, M439, M439-1))*$K$5))</f>
        <v/>
      </c>
      <c r="P439" s="41">
        <f>IF(L439&lt;=0, 0, INT($G$8/L439))</f>
        <v/>
      </c>
      <c r="Q439" s="42">
        <f>MIN(O439, P439)</f>
        <v/>
      </c>
      <c r="R439" s="43">
        <f>ROUND((Q439*L439)/1000, 2)</f>
        <v/>
      </c>
      <c r="S439" s="44">
        <f>IF($C$8&gt;0, R439/$C$8, 0)</f>
        <v/>
      </c>
      <c r="T439" s="44">
        <f>IF(O439&gt;0, Q439/O439, 0)</f>
        <v/>
      </c>
      <c r="U439" s="12">
        <f>IF(Q439=0, "Exceeds Limit", IF(P439&lt;=O439, "Weight Limited", "Volume Limited"))</f>
        <v/>
      </c>
    </row>
    <row r="440" ht="19" customHeight="1">
      <c r="A440" s="45" t="n">
        <v>430</v>
      </c>
      <c r="B440" s="50" t="inlineStr">
        <is>
          <t>Stainless Steel 304</t>
        </is>
      </c>
      <c r="C440" s="19" t="inlineStr">
        <is>
          <t>ASME B36.19M</t>
        </is>
      </c>
      <c r="D440" s="18" t="inlineStr">
        <is>
          <t>14''</t>
        </is>
      </c>
      <c r="E440" s="45" t="n">
        <v>350</v>
      </c>
      <c r="F440" s="18" t="inlineStr">
        <is>
          <t>STD</t>
        </is>
      </c>
      <c r="G440" s="20" t="n">
        <v>14</v>
      </c>
      <c r="H440" s="47" t="n">
        <v>355.6</v>
      </c>
      <c r="I440" s="20" t="n">
        <v>0.375</v>
      </c>
      <c r="J440" s="47" t="n">
        <v>9.52</v>
      </c>
      <c r="K440" s="20">
        <f>ROUND((H440-J440)*J440*IF(B440="Carbon Steel",$K$7,IF(B440="Stainless Steel 304",$K$8,$L$8)), 3)</f>
        <v/>
      </c>
      <c r="L440" s="47">
        <f>ROUND(K440*$G$5, 2)</f>
        <v/>
      </c>
      <c r="M440" s="45">
        <f>INT($G$6/H440)</f>
        <v/>
      </c>
      <c r="N440" s="45">
        <f>IF(M440=0, 0, IF(OR($K$6="Square Grid", M440=1), INT($G$7/H440), IF($G$7&lt;H440, 0, 1+INT(($G$7-H440)/(0.8660254*H440)))))</f>
        <v/>
      </c>
      <c r="O440" s="48">
        <f>IF(OR(M440=0,N440=0), 0, IF(OR($K$6="Square Grid", M440=1), M440*N440*$K$5, (INT((N440+1)/2)*M440 + INT(N440/2)*IF(($G$6-M440*H440)&gt;=0.5*H440, M440, M440-1))*$K$5))</f>
        <v/>
      </c>
      <c r="P440" s="48">
        <f>IF(L440&lt;=0, 0, INT($G$8/L440))</f>
        <v/>
      </c>
      <c r="Q440" s="42">
        <f>MIN(O440, P440)</f>
        <v/>
      </c>
      <c r="R440" s="43">
        <f>ROUND((Q440*L440)/1000, 2)</f>
        <v/>
      </c>
      <c r="S440" s="49">
        <f>IF($C$8&gt;0, R440/$C$8, 0)</f>
        <v/>
      </c>
      <c r="T440" s="49">
        <f>IF(O440&gt;0, Q440/O440, 0)</f>
        <v/>
      </c>
      <c r="U440" s="18">
        <f>IF(Q440=0, "Exceeds Limit", IF(P440&lt;=O440, "Weight Limited", "Volume Limited"))</f>
        <v/>
      </c>
    </row>
    <row r="441" ht="19" customHeight="1">
      <c r="A441" s="38" t="n">
        <v>431</v>
      </c>
      <c r="B441" s="51" t="inlineStr">
        <is>
          <t>Stainless Steel 304</t>
        </is>
      </c>
      <c r="C441" s="13" t="inlineStr">
        <is>
          <t>ASME B36.19M</t>
        </is>
      </c>
      <c r="D441" s="12" t="inlineStr">
        <is>
          <t>14''</t>
        </is>
      </c>
      <c r="E441" s="38" t="n">
        <v>350</v>
      </c>
      <c r="F441" s="12" t="inlineStr">
        <is>
          <t>XS</t>
        </is>
      </c>
      <c r="G441" s="14" t="n">
        <v>14</v>
      </c>
      <c r="H441" s="40" t="n">
        <v>355.6</v>
      </c>
      <c r="I441" s="14" t="n">
        <v>0.5</v>
      </c>
      <c r="J441" s="40" t="n">
        <v>12.7</v>
      </c>
      <c r="K441" s="14">
        <f>ROUND((H441-J441)*J441*IF(B441="Carbon Steel",$K$7,IF(B441="Stainless Steel 304",$K$8,$L$8)), 3)</f>
        <v/>
      </c>
      <c r="L441" s="40">
        <f>ROUND(K441*$G$5, 2)</f>
        <v/>
      </c>
      <c r="M441" s="38">
        <f>INT($G$6/H441)</f>
        <v/>
      </c>
      <c r="N441" s="38">
        <f>IF(M441=0, 0, IF(OR($K$6="Square Grid", M441=1), INT($G$7/H441), IF($G$7&lt;H441, 0, 1+INT(($G$7-H441)/(0.8660254*H441)))))</f>
        <v/>
      </c>
      <c r="O441" s="41">
        <f>IF(OR(M441=0,N441=0), 0, IF(OR($K$6="Square Grid", M441=1), M441*N441*$K$5, (INT((N441+1)/2)*M441 + INT(N441/2)*IF(($G$6-M441*H441)&gt;=0.5*H441, M441, M441-1))*$K$5))</f>
        <v/>
      </c>
      <c r="P441" s="41">
        <f>IF(L441&lt;=0, 0, INT($G$8/L441))</f>
        <v/>
      </c>
      <c r="Q441" s="42">
        <f>MIN(O441, P441)</f>
        <v/>
      </c>
      <c r="R441" s="43">
        <f>ROUND((Q441*L441)/1000, 2)</f>
        <v/>
      </c>
      <c r="S441" s="44">
        <f>IF($C$8&gt;0, R441/$C$8, 0)</f>
        <v/>
      </c>
      <c r="T441" s="44">
        <f>IF(O441&gt;0, Q441/O441, 0)</f>
        <v/>
      </c>
      <c r="U441" s="12">
        <f>IF(Q441=0, "Exceeds Limit", IF(P441&lt;=O441, "Weight Limited", "Volume Limited"))</f>
        <v/>
      </c>
    </row>
    <row r="442" ht="19" customHeight="1">
      <c r="A442" s="45" t="n">
        <v>432</v>
      </c>
      <c r="B442" s="50" t="inlineStr">
        <is>
          <t>Stainless Steel 304</t>
        </is>
      </c>
      <c r="C442" s="19" t="inlineStr">
        <is>
          <t>ASME B36.19M</t>
        </is>
      </c>
      <c r="D442" s="18" t="inlineStr">
        <is>
          <t>14''</t>
        </is>
      </c>
      <c r="E442" s="45" t="n">
        <v>350</v>
      </c>
      <c r="F442" s="18" t="inlineStr">
        <is>
          <t>160</t>
        </is>
      </c>
      <c r="G442" s="20" t="n">
        <v>14</v>
      </c>
      <c r="H442" s="47" t="n">
        <v>355.6</v>
      </c>
      <c r="I442" s="20" t="n">
        <v>1.406</v>
      </c>
      <c r="J442" s="47" t="n">
        <v>35.71</v>
      </c>
      <c r="K442" s="20">
        <f>ROUND((H442-J442)*J442*IF(B442="Carbon Steel",$K$7,IF(B442="Stainless Steel 304",$K$8,$L$8)), 3)</f>
        <v/>
      </c>
      <c r="L442" s="47">
        <f>ROUND(K442*$G$5, 2)</f>
        <v/>
      </c>
      <c r="M442" s="45">
        <f>INT($G$6/H442)</f>
        <v/>
      </c>
      <c r="N442" s="45">
        <f>IF(M442=0, 0, IF(OR($K$6="Square Grid", M442=1), INT($G$7/H442), IF($G$7&lt;H442, 0, 1+INT(($G$7-H442)/(0.8660254*H442)))))</f>
        <v/>
      </c>
      <c r="O442" s="48">
        <f>IF(OR(M442=0,N442=0), 0, IF(OR($K$6="Square Grid", M442=1), M442*N442*$K$5, (INT((N442+1)/2)*M442 + INT(N442/2)*IF(($G$6-M442*H442)&gt;=0.5*H442, M442, M442-1))*$K$5))</f>
        <v/>
      </c>
      <c r="P442" s="48">
        <f>IF(L442&lt;=0, 0, INT($G$8/L442))</f>
        <v/>
      </c>
      <c r="Q442" s="42">
        <f>MIN(O442, P442)</f>
        <v/>
      </c>
      <c r="R442" s="43">
        <f>ROUND((Q442*L442)/1000, 2)</f>
        <v/>
      </c>
      <c r="S442" s="49">
        <f>IF($C$8&gt;0, R442/$C$8, 0)</f>
        <v/>
      </c>
      <c r="T442" s="49">
        <f>IF(O442&gt;0, Q442/O442, 0)</f>
        <v/>
      </c>
      <c r="U442" s="18">
        <f>IF(Q442=0, "Exceeds Limit", IF(P442&lt;=O442, "Weight Limited", "Volume Limited"))</f>
        <v/>
      </c>
    </row>
    <row r="443" ht="19" customHeight="1">
      <c r="A443" s="38" t="n">
        <v>433</v>
      </c>
      <c r="B443" s="51" t="inlineStr">
        <is>
          <t>Stainless Steel 304</t>
        </is>
      </c>
      <c r="C443" s="13" t="inlineStr">
        <is>
          <t>ASME B36.19M</t>
        </is>
      </c>
      <c r="D443" s="12" t="inlineStr">
        <is>
          <t>16''</t>
        </is>
      </c>
      <c r="E443" s="38" t="n">
        <v>400</v>
      </c>
      <c r="F443" s="12" t="inlineStr">
        <is>
          <t>5S</t>
        </is>
      </c>
      <c r="G443" s="14" t="n">
        <v>16</v>
      </c>
      <c r="H443" s="40" t="n">
        <v>406.4</v>
      </c>
      <c r="I443" s="14" t="n">
        <v>0.165</v>
      </c>
      <c r="J443" s="40" t="n">
        <v>4.19</v>
      </c>
      <c r="K443" s="14">
        <f>ROUND((H443-J443)*J443*IF(B443="Carbon Steel",$K$7,IF(B443="Stainless Steel 304",$K$8,$L$8)), 3)</f>
        <v/>
      </c>
      <c r="L443" s="40">
        <f>ROUND(K443*$G$5, 2)</f>
        <v/>
      </c>
      <c r="M443" s="38">
        <f>INT($G$6/H443)</f>
        <v/>
      </c>
      <c r="N443" s="38">
        <f>IF(M443=0, 0, IF(OR($K$6="Square Grid", M443=1), INT($G$7/H443), IF($G$7&lt;H443, 0, 1+INT(($G$7-H443)/(0.8660254*H443)))))</f>
        <v/>
      </c>
      <c r="O443" s="41">
        <f>IF(OR(M443=0,N443=0), 0, IF(OR($K$6="Square Grid", M443=1), M443*N443*$K$5, (INT((N443+1)/2)*M443 + INT(N443/2)*IF(($G$6-M443*H443)&gt;=0.5*H443, M443, M443-1))*$K$5))</f>
        <v/>
      </c>
      <c r="P443" s="41">
        <f>IF(L443&lt;=0, 0, INT($G$8/L443))</f>
        <v/>
      </c>
      <c r="Q443" s="42">
        <f>MIN(O443, P443)</f>
        <v/>
      </c>
      <c r="R443" s="43">
        <f>ROUND((Q443*L443)/1000, 2)</f>
        <v/>
      </c>
      <c r="S443" s="44">
        <f>IF($C$8&gt;0, R443/$C$8, 0)</f>
        <v/>
      </c>
      <c r="T443" s="44">
        <f>IF(O443&gt;0, Q443/O443, 0)</f>
        <v/>
      </c>
      <c r="U443" s="12">
        <f>IF(Q443=0, "Exceeds Limit", IF(P443&lt;=O443, "Weight Limited", "Volume Limited"))</f>
        <v/>
      </c>
    </row>
    <row r="444" ht="19" customHeight="1">
      <c r="A444" s="45" t="n">
        <v>434</v>
      </c>
      <c r="B444" s="50" t="inlineStr">
        <is>
          <t>Stainless Steel 304</t>
        </is>
      </c>
      <c r="C444" s="19" t="inlineStr">
        <is>
          <t>ASME B36.19M</t>
        </is>
      </c>
      <c r="D444" s="18" t="inlineStr">
        <is>
          <t>16''</t>
        </is>
      </c>
      <c r="E444" s="45" t="n">
        <v>400</v>
      </c>
      <c r="F444" s="18" t="inlineStr">
        <is>
          <t>10S</t>
        </is>
      </c>
      <c r="G444" s="20" t="n">
        <v>16</v>
      </c>
      <c r="H444" s="47" t="n">
        <v>406.4</v>
      </c>
      <c r="I444" s="20" t="n">
        <v>0.188</v>
      </c>
      <c r="J444" s="47" t="n">
        <v>4.78</v>
      </c>
      <c r="K444" s="20">
        <f>ROUND((H444-J444)*J444*IF(B444="Carbon Steel",$K$7,IF(B444="Stainless Steel 304",$K$8,$L$8)), 3)</f>
        <v/>
      </c>
      <c r="L444" s="47">
        <f>ROUND(K444*$G$5, 2)</f>
        <v/>
      </c>
      <c r="M444" s="45">
        <f>INT($G$6/H444)</f>
        <v/>
      </c>
      <c r="N444" s="45">
        <f>IF(M444=0, 0, IF(OR($K$6="Square Grid", M444=1), INT($G$7/H444), IF($G$7&lt;H444, 0, 1+INT(($G$7-H444)/(0.8660254*H444)))))</f>
        <v/>
      </c>
      <c r="O444" s="48">
        <f>IF(OR(M444=0,N444=0), 0, IF(OR($K$6="Square Grid", M444=1), M444*N444*$K$5, (INT((N444+1)/2)*M444 + INT(N444/2)*IF(($G$6-M444*H444)&gt;=0.5*H444, M444, M444-1))*$K$5))</f>
        <v/>
      </c>
      <c r="P444" s="48">
        <f>IF(L444&lt;=0, 0, INT($G$8/L444))</f>
        <v/>
      </c>
      <c r="Q444" s="42">
        <f>MIN(O444, P444)</f>
        <v/>
      </c>
      <c r="R444" s="43">
        <f>ROUND((Q444*L444)/1000, 2)</f>
        <v/>
      </c>
      <c r="S444" s="49">
        <f>IF($C$8&gt;0, R444/$C$8, 0)</f>
        <v/>
      </c>
      <c r="T444" s="49">
        <f>IF(O444&gt;0, Q444/O444, 0)</f>
        <v/>
      </c>
      <c r="U444" s="18">
        <f>IF(Q444=0, "Exceeds Limit", IF(P444&lt;=O444, "Weight Limited", "Volume Limited"))</f>
        <v/>
      </c>
    </row>
    <row r="445" ht="19" customHeight="1">
      <c r="A445" s="38" t="n">
        <v>435</v>
      </c>
      <c r="B445" s="51" t="inlineStr">
        <is>
          <t>Stainless Steel 304</t>
        </is>
      </c>
      <c r="C445" s="13" t="inlineStr">
        <is>
          <t>ASME B36.19M</t>
        </is>
      </c>
      <c r="D445" s="12" t="inlineStr">
        <is>
          <t>16''</t>
        </is>
      </c>
      <c r="E445" s="38" t="n">
        <v>400</v>
      </c>
      <c r="F445" s="12" t="inlineStr">
        <is>
          <t>40S</t>
        </is>
      </c>
      <c r="G445" s="14" t="n">
        <v>16</v>
      </c>
      <c r="H445" s="40" t="n">
        <v>406.4</v>
      </c>
      <c r="I445" s="14" t="n">
        <v>0.375</v>
      </c>
      <c r="J445" s="40" t="n">
        <v>9.52</v>
      </c>
      <c r="K445" s="14">
        <f>ROUND((H445-J445)*J445*IF(B445="Carbon Steel",$K$7,IF(B445="Stainless Steel 304",$K$8,$L$8)), 3)</f>
        <v/>
      </c>
      <c r="L445" s="40">
        <f>ROUND(K445*$G$5, 2)</f>
        <v/>
      </c>
      <c r="M445" s="38">
        <f>INT($G$6/H445)</f>
        <v/>
      </c>
      <c r="N445" s="38">
        <f>IF(M445=0, 0, IF(OR($K$6="Square Grid", M445=1), INT($G$7/H445), IF($G$7&lt;H445, 0, 1+INT(($G$7-H445)/(0.8660254*H445)))))</f>
        <v/>
      </c>
      <c r="O445" s="41">
        <f>IF(OR(M445=0,N445=0), 0, IF(OR($K$6="Square Grid", M445=1), M445*N445*$K$5, (INT((N445+1)/2)*M445 + INT(N445/2)*IF(($G$6-M445*H445)&gt;=0.5*H445, M445, M445-1))*$K$5))</f>
        <v/>
      </c>
      <c r="P445" s="41">
        <f>IF(L445&lt;=0, 0, INT($G$8/L445))</f>
        <v/>
      </c>
      <c r="Q445" s="42">
        <f>MIN(O445, P445)</f>
        <v/>
      </c>
      <c r="R445" s="43">
        <f>ROUND((Q445*L445)/1000, 2)</f>
        <v/>
      </c>
      <c r="S445" s="44">
        <f>IF($C$8&gt;0, R445/$C$8, 0)</f>
        <v/>
      </c>
      <c r="T445" s="44">
        <f>IF(O445&gt;0, Q445/O445, 0)</f>
        <v/>
      </c>
      <c r="U445" s="12">
        <f>IF(Q445=0, "Exceeds Limit", IF(P445&lt;=O445, "Weight Limited", "Volume Limited"))</f>
        <v/>
      </c>
    </row>
    <row r="446" ht="19" customHeight="1">
      <c r="A446" s="45" t="n">
        <v>436</v>
      </c>
      <c r="B446" s="50" t="inlineStr">
        <is>
          <t>Stainless Steel 304</t>
        </is>
      </c>
      <c r="C446" s="19" t="inlineStr">
        <is>
          <t>ASME B36.19M</t>
        </is>
      </c>
      <c r="D446" s="18" t="inlineStr">
        <is>
          <t>16''</t>
        </is>
      </c>
      <c r="E446" s="45" t="n">
        <v>400</v>
      </c>
      <c r="F446" s="18" t="inlineStr">
        <is>
          <t>80S</t>
        </is>
      </c>
      <c r="G446" s="20" t="n">
        <v>16</v>
      </c>
      <c r="H446" s="47" t="n">
        <v>406.4</v>
      </c>
      <c r="I446" s="20" t="n">
        <v>0.5</v>
      </c>
      <c r="J446" s="47" t="n">
        <v>12.7</v>
      </c>
      <c r="K446" s="20">
        <f>ROUND((H446-J446)*J446*IF(B446="Carbon Steel",$K$7,IF(B446="Stainless Steel 304",$K$8,$L$8)), 3)</f>
        <v/>
      </c>
      <c r="L446" s="47">
        <f>ROUND(K446*$G$5, 2)</f>
        <v/>
      </c>
      <c r="M446" s="45">
        <f>INT($G$6/H446)</f>
        <v/>
      </c>
      <c r="N446" s="45">
        <f>IF(M446=0, 0, IF(OR($K$6="Square Grid", M446=1), INT($G$7/H446), IF($G$7&lt;H446, 0, 1+INT(($G$7-H446)/(0.8660254*H446)))))</f>
        <v/>
      </c>
      <c r="O446" s="48">
        <f>IF(OR(M446=0,N446=0), 0, IF(OR($K$6="Square Grid", M446=1), M446*N446*$K$5, (INT((N446+1)/2)*M446 + INT(N446/2)*IF(($G$6-M446*H446)&gt;=0.5*H446, M446, M446-1))*$K$5))</f>
        <v/>
      </c>
      <c r="P446" s="48">
        <f>IF(L446&lt;=0, 0, INT($G$8/L446))</f>
        <v/>
      </c>
      <c r="Q446" s="42">
        <f>MIN(O446, P446)</f>
        <v/>
      </c>
      <c r="R446" s="43">
        <f>ROUND((Q446*L446)/1000, 2)</f>
        <v/>
      </c>
      <c r="S446" s="49">
        <f>IF($C$8&gt;0, R446/$C$8, 0)</f>
        <v/>
      </c>
      <c r="T446" s="49">
        <f>IF(O446&gt;0, Q446/O446, 0)</f>
        <v/>
      </c>
      <c r="U446" s="18">
        <f>IF(Q446=0, "Exceeds Limit", IF(P446&lt;=O446, "Weight Limited", "Volume Limited"))</f>
        <v/>
      </c>
    </row>
    <row r="447" ht="19" customHeight="1">
      <c r="A447" s="38" t="n">
        <v>437</v>
      </c>
      <c r="B447" s="51" t="inlineStr">
        <is>
          <t>Stainless Steel 304</t>
        </is>
      </c>
      <c r="C447" s="13" t="inlineStr">
        <is>
          <t>ASME B36.19M</t>
        </is>
      </c>
      <c r="D447" s="12" t="inlineStr">
        <is>
          <t>16''</t>
        </is>
      </c>
      <c r="E447" s="38" t="n">
        <v>400</v>
      </c>
      <c r="F447" s="12" t="inlineStr">
        <is>
          <t>STD</t>
        </is>
      </c>
      <c r="G447" s="14" t="n">
        <v>16</v>
      </c>
      <c r="H447" s="40" t="n">
        <v>406.4</v>
      </c>
      <c r="I447" s="14" t="n">
        <v>0.375</v>
      </c>
      <c r="J447" s="40" t="n">
        <v>9.52</v>
      </c>
      <c r="K447" s="14">
        <f>ROUND((H447-J447)*J447*IF(B447="Carbon Steel",$K$7,IF(B447="Stainless Steel 304",$K$8,$L$8)), 3)</f>
        <v/>
      </c>
      <c r="L447" s="40">
        <f>ROUND(K447*$G$5, 2)</f>
        <v/>
      </c>
      <c r="M447" s="38">
        <f>INT($G$6/H447)</f>
        <v/>
      </c>
      <c r="N447" s="38">
        <f>IF(M447=0, 0, IF(OR($K$6="Square Grid", M447=1), INT($G$7/H447), IF($G$7&lt;H447, 0, 1+INT(($G$7-H447)/(0.8660254*H447)))))</f>
        <v/>
      </c>
      <c r="O447" s="41">
        <f>IF(OR(M447=0,N447=0), 0, IF(OR($K$6="Square Grid", M447=1), M447*N447*$K$5, (INT((N447+1)/2)*M447 + INT(N447/2)*IF(($G$6-M447*H447)&gt;=0.5*H447, M447, M447-1))*$K$5))</f>
        <v/>
      </c>
      <c r="P447" s="41">
        <f>IF(L447&lt;=0, 0, INT($G$8/L447))</f>
        <v/>
      </c>
      <c r="Q447" s="42">
        <f>MIN(O447, P447)</f>
        <v/>
      </c>
      <c r="R447" s="43">
        <f>ROUND((Q447*L447)/1000, 2)</f>
        <v/>
      </c>
      <c r="S447" s="44">
        <f>IF($C$8&gt;0, R447/$C$8, 0)</f>
        <v/>
      </c>
      <c r="T447" s="44">
        <f>IF(O447&gt;0, Q447/O447, 0)</f>
        <v/>
      </c>
      <c r="U447" s="12">
        <f>IF(Q447=0, "Exceeds Limit", IF(P447&lt;=O447, "Weight Limited", "Volume Limited"))</f>
        <v/>
      </c>
    </row>
    <row r="448" ht="19" customHeight="1">
      <c r="A448" s="45" t="n">
        <v>438</v>
      </c>
      <c r="B448" s="50" t="inlineStr">
        <is>
          <t>Stainless Steel 304</t>
        </is>
      </c>
      <c r="C448" s="19" t="inlineStr">
        <is>
          <t>ASME B36.19M</t>
        </is>
      </c>
      <c r="D448" s="18" t="inlineStr">
        <is>
          <t>16''</t>
        </is>
      </c>
      <c r="E448" s="45" t="n">
        <v>400</v>
      </c>
      <c r="F448" s="18" t="inlineStr">
        <is>
          <t>XS</t>
        </is>
      </c>
      <c r="G448" s="20" t="n">
        <v>16</v>
      </c>
      <c r="H448" s="47" t="n">
        <v>406.4</v>
      </c>
      <c r="I448" s="20" t="n">
        <v>0.5</v>
      </c>
      <c r="J448" s="47" t="n">
        <v>12.7</v>
      </c>
      <c r="K448" s="20">
        <f>ROUND((H448-J448)*J448*IF(B448="Carbon Steel",$K$7,IF(B448="Stainless Steel 304",$K$8,$L$8)), 3)</f>
        <v/>
      </c>
      <c r="L448" s="47">
        <f>ROUND(K448*$G$5, 2)</f>
        <v/>
      </c>
      <c r="M448" s="45">
        <f>INT($G$6/H448)</f>
        <v/>
      </c>
      <c r="N448" s="45">
        <f>IF(M448=0, 0, IF(OR($K$6="Square Grid", M448=1), INT($G$7/H448), IF($G$7&lt;H448, 0, 1+INT(($G$7-H448)/(0.8660254*H448)))))</f>
        <v/>
      </c>
      <c r="O448" s="48">
        <f>IF(OR(M448=0,N448=0), 0, IF(OR($K$6="Square Grid", M448=1), M448*N448*$K$5, (INT((N448+1)/2)*M448 + INT(N448/2)*IF(($G$6-M448*H448)&gt;=0.5*H448, M448, M448-1))*$K$5))</f>
        <v/>
      </c>
      <c r="P448" s="48">
        <f>IF(L448&lt;=0, 0, INT($G$8/L448))</f>
        <v/>
      </c>
      <c r="Q448" s="42">
        <f>MIN(O448, P448)</f>
        <v/>
      </c>
      <c r="R448" s="43">
        <f>ROUND((Q448*L448)/1000, 2)</f>
        <v/>
      </c>
      <c r="S448" s="49">
        <f>IF($C$8&gt;0, R448/$C$8, 0)</f>
        <v/>
      </c>
      <c r="T448" s="49">
        <f>IF(O448&gt;0, Q448/O448, 0)</f>
        <v/>
      </c>
      <c r="U448" s="18">
        <f>IF(Q448=0, "Exceeds Limit", IF(P448&lt;=O448, "Weight Limited", "Volume Limited"))</f>
        <v/>
      </c>
    </row>
    <row r="449" ht="19" customHeight="1">
      <c r="A449" s="38" t="n">
        <v>439</v>
      </c>
      <c r="B449" s="51" t="inlineStr">
        <is>
          <t>Stainless Steel 304</t>
        </is>
      </c>
      <c r="C449" s="13" t="inlineStr">
        <is>
          <t>ASME B36.19M</t>
        </is>
      </c>
      <c r="D449" s="12" t="inlineStr">
        <is>
          <t>16''</t>
        </is>
      </c>
      <c r="E449" s="38" t="n">
        <v>400</v>
      </c>
      <c r="F449" s="12" t="inlineStr">
        <is>
          <t>160</t>
        </is>
      </c>
      <c r="G449" s="14" t="n">
        <v>16</v>
      </c>
      <c r="H449" s="40" t="n">
        <v>406.4</v>
      </c>
      <c r="I449" s="14" t="n">
        <v>1.594</v>
      </c>
      <c r="J449" s="40" t="n">
        <v>40.49</v>
      </c>
      <c r="K449" s="14">
        <f>ROUND((H449-J449)*J449*IF(B449="Carbon Steel",$K$7,IF(B449="Stainless Steel 304",$K$8,$L$8)), 3)</f>
        <v/>
      </c>
      <c r="L449" s="40">
        <f>ROUND(K449*$G$5, 2)</f>
        <v/>
      </c>
      <c r="M449" s="38">
        <f>INT($G$6/H449)</f>
        <v/>
      </c>
      <c r="N449" s="38">
        <f>IF(M449=0, 0, IF(OR($K$6="Square Grid", M449=1), INT($G$7/H449), IF($G$7&lt;H449, 0, 1+INT(($G$7-H449)/(0.8660254*H449)))))</f>
        <v/>
      </c>
      <c r="O449" s="41">
        <f>IF(OR(M449=0,N449=0), 0, IF(OR($K$6="Square Grid", M449=1), M449*N449*$K$5, (INT((N449+1)/2)*M449 + INT(N449/2)*IF(($G$6-M449*H449)&gt;=0.5*H449, M449, M449-1))*$K$5))</f>
        <v/>
      </c>
      <c r="P449" s="41">
        <f>IF(L449&lt;=0, 0, INT($G$8/L449))</f>
        <v/>
      </c>
      <c r="Q449" s="42">
        <f>MIN(O449, P449)</f>
        <v/>
      </c>
      <c r="R449" s="43">
        <f>ROUND((Q449*L449)/1000, 2)</f>
        <v/>
      </c>
      <c r="S449" s="44">
        <f>IF($C$8&gt;0, R449/$C$8, 0)</f>
        <v/>
      </c>
      <c r="T449" s="44">
        <f>IF(O449&gt;0, Q449/O449, 0)</f>
        <v/>
      </c>
      <c r="U449" s="12">
        <f>IF(Q449=0, "Exceeds Limit", IF(P449&lt;=O449, "Weight Limited", "Volume Limited"))</f>
        <v/>
      </c>
    </row>
    <row r="450" ht="19" customHeight="1">
      <c r="A450" s="45" t="n">
        <v>440</v>
      </c>
      <c r="B450" s="50" t="inlineStr">
        <is>
          <t>Stainless Steel 304</t>
        </is>
      </c>
      <c r="C450" s="19" t="inlineStr">
        <is>
          <t>ASME B36.19M</t>
        </is>
      </c>
      <c r="D450" s="18" t="inlineStr">
        <is>
          <t>18''</t>
        </is>
      </c>
      <c r="E450" s="45" t="n">
        <v>450</v>
      </c>
      <c r="F450" s="18" t="inlineStr">
        <is>
          <t>5S</t>
        </is>
      </c>
      <c r="G450" s="20" t="n">
        <v>18</v>
      </c>
      <c r="H450" s="47" t="n">
        <v>457.2</v>
      </c>
      <c r="I450" s="20" t="n">
        <v>0.165</v>
      </c>
      <c r="J450" s="47" t="n">
        <v>4.19</v>
      </c>
      <c r="K450" s="20">
        <f>ROUND((H450-J450)*J450*IF(B450="Carbon Steel",$K$7,IF(B450="Stainless Steel 304",$K$8,$L$8)), 3)</f>
        <v/>
      </c>
      <c r="L450" s="47">
        <f>ROUND(K450*$G$5, 2)</f>
        <v/>
      </c>
      <c r="M450" s="45">
        <f>INT($G$6/H450)</f>
        <v/>
      </c>
      <c r="N450" s="45">
        <f>IF(M450=0, 0, IF(OR($K$6="Square Grid", M450=1), INT($G$7/H450), IF($G$7&lt;H450, 0, 1+INT(($G$7-H450)/(0.8660254*H450)))))</f>
        <v/>
      </c>
      <c r="O450" s="48">
        <f>IF(OR(M450=0,N450=0), 0, IF(OR($K$6="Square Grid", M450=1), M450*N450*$K$5, (INT((N450+1)/2)*M450 + INT(N450/2)*IF(($G$6-M450*H450)&gt;=0.5*H450, M450, M450-1))*$K$5))</f>
        <v/>
      </c>
      <c r="P450" s="48">
        <f>IF(L450&lt;=0, 0, INT($G$8/L450))</f>
        <v/>
      </c>
      <c r="Q450" s="42">
        <f>MIN(O450, P450)</f>
        <v/>
      </c>
      <c r="R450" s="43">
        <f>ROUND((Q450*L450)/1000, 2)</f>
        <v/>
      </c>
      <c r="S450" s="49">
        <f>IF($C$8&gt;0, R450/$C$8, 0)</f>
        <v/>
      </c>
      <c r="T450" s="49">
        <f>IF(O450&gt;0, Q450/O450, 0)</f>
        <v/>
      </c>
      <c r="U450" s="18">
        <f>IF(Q450=0, "Exceeds Limit", IF(P450&lt;=O450, "Weight Limited", "Volume Limited"))</f>
        <v/>
      </c>
    </row>
    <row r="451" ht="19" customHeight="1">
      <c r="A451" s="38" t="n">
        <v>441</v>
      </c>
      <c r="B451" s="51" t="inlineStr">
        <is>
          <t>Stainless Steel 304</t>
        </is>
      </c>
      <c r="C451" s="13" t="inlineStr">
        <is>
          <t>ASME B36.19M</t>
        </is>
      </c>
      <c r="D451" s="12" t="inlineStr">
        <is>
          <t>18''</t>
        </is>
      </c>
      <c r="E451" s="38" t="n">
        <v>450</v>
      </c>
      <c r="F451" s="12" t="inlineStr">
        <is>
          <t>10S</t>
        </is>
      </c>
      <c r="G451" s="14" t="n">
        <v>18</v>
      </c>
      <c r="H451" s="40" t="n">
        <v>457.2</v>
      </c>
      <c r="I451" s="14" t="n">
        <v>0.188</v>
      </c>
      <c r="J451" s="40" t="n">
        <v>4.78</v>
      </c>
      <c r="K451" s="14">
        <f>ROUND((H451-J451)*J451*IF(B451="Carbon Steel",$K$7,IF(B451="Stainless Steel 304",$K$8,$L$8)), 3)</f>
        <v/>
      </c>
      <c r="L451" s="40">
        <f>ROUND(K451*$G$5, 2)</f>
        <v/>
      </c>
      <c r="M451" s="38">
        <f>INT($G$6/H451)</f>
        <v/>
      </c>
      <c r="N451" s="38">
        <f>IF(M451=0, 0, IF(OR($K$6="Square Grid", M451=1), INT($G$7/H451), IF($G$7&lt;H451, 0, 1+INT(($G$7-H451)/(0.8660254*H451)))))</f>
        <v/>
      </c>
      <c r="O451" s="41">
        <f>IF(OR(M451=0,N451=0), 0, IF(OR($K$6="Square Grid", M451=1), M451*N451*$K$5, (INT((N451+1)/2)*M451 + INT(N451/2)*IF(($G$6-M451*H451)&gt;=0.5*H451, M451, M451-1))*$K$5))</f>
        <v/>
      </c>
      <c r="P451" s="41">
        <f>IF(L451&lt;=0, 0, INT($G$8/L451))</f>
        <v/>
      </c>
      <c r="Q451" s="42">
        <f>MIN(O451, P451)</f>
        <v/>
      </c>
      <c r="R451" s="43">
        <f>ROUND((Q451*L451)/1000, 2)</f>
        <v/>
      </c>
      <c r="S451" s="44">
        <f>IF($C$8&gt;0, R451/$C$8, 0)</f>
        <v/>
      </c>
      <c r="T451" s="44">
        <f>IF(O451&gt;0, Q451/O451, 0)</f>
        <v/>
      </c>
      <c r="U451" s="12">
        <f>IF(Q451=0, "Exceeds Limit", IF(P451&lt;=O451, "Weight Limited", "Volume Limited"))</f>
        <v/>
      </c>
    </row>
    <row r="452" ht="19" customHeight="1">
      <c r="A452" s="45" t="n">
        <v>442</v>
      </c>
      <c r="B452" s="50" t="inlineStr">
        <is>
          <t>Stainless Steel 304</t>
        </is>
      </c>
      <c r="C452" s="19" t="inlineStr">
        <is>
          <t>ASME B36.19M</t>
        </is>
      </c>
      <c r="D452" s="18" t="inlineStr">
        <is>
          <t>18''</t>
        </is>
      </c>
      <c r="E452" s="45" t="n">
        <v>450</v>
      </c>
      <c r="F452" s="18" t="inlineStr">
        <is>
          <t>40S</t>
        </is>
      </c>
      <c r="G452" s="20" t="n">
        <v>18</v>
      </c>
      <c r="H452" s="47" t="n">
        <v>457.2</v>
      </c>
      <c r="I452" s="20" t="n">
        <v>0.375</v>
      </c>
      <c r="J452" s="47" t="n">
        <v>9.52</v>
      </c>
      <c r="K452" s="20">
        <f>ROUND((H452-J452)*J452*IF(B452="Carbon Steel",$K$7,IF(B452="Stainless Steel 304",$K$8,$L$8)), 3)</f>
        <v/>
      </c>
      <c r="L452" s="47">
        <f>ROUND(K452*$G$5, 2)</f>
        <v/>
      </c>
      <c r="M452" s="45">
        <f>INT($G$6/H452)</f>
        <v/>
      </c>
      <c r="N452" s="45">
        <f>IF(M452=0, 0, IF(OR($K$6="Square Grid", M452=1), INT($G$7/H452), IF($G$7&lt;H452, 0, 1+INT(($G$7-H452)/(0.8660254*H452)))))</f>
        <v/>
      </c>
      <c r="O452" s="48">
        <f>IF(OR(M452=0,N452=0), 0, IF(OR($K$6="Square Grid", M452=1), M452*N452*$K$5, (INT((N452+1)/2)*M452 + INT(N452/2)*IF(($G$6-M452*H452)&gt;=0.5*H452, M452, M452-1))*$K$5))</f>
        <v/>
      </c>
      <c r="P452" s="48">
        <f>IF(L452&lt;=0, 0, INT($G$8/L452))</f>
        <v/>
      </c>
      <c r="Q452" s="42">
        <f>MIN(O452, P452)</f>
        <v/>
      </c>
      <c r="R452" s="43">
        <f>ROUND((Q452*L452)/1000, 2)</f>
        <v/>
      </c>
      <c r="S452" s="49">
        <f>IF($C$8&gt;0, R452/$C$8, 0)</f>
        <v/>
      </c>
      <c r="T452" s="49">
        <f>IF(O452&gt;0, Q452/O452, 0)</f>
        <v/>
      </c>
      <c r="U452" s="18">
        <f>IF(Q452=0, "Exceeds Limit", IF(P452&lt;=O452, "Weight Limited", "Volume Limited"))</f>
        <v/>
      </c>
    </row>
    <row r="453" ht="19" customHeight="1">
      <c r="A453" s="38" t="n">
        <v>443</v>
      </c>
      <c r="B453" s="51" t="inlineStr">
        <is>
          <t>Stainless Steel 304</t>
        </is>
      </c>
      <c r="C453" s="13" t="inlineStr">
        <is>
          <t>ASME B36.19M</t>
        </is>
      </c>
      <c r="D453" s="12" t="inlineStr">
        <is>
          <t>18''</t>
        </is>
      </c>
      <c r="E453" s="38" t="n">
        <v>450</v>
      </c>
      <c r="F453" s="12" t="inlineStr">
        <is>
          <t>80S</t>
        </is>
      </c>
      <c r="G453" s="14" t="n">
        <v>18</v>
      </c>
      <c r="H453" s="40" t="n">
        <v>457.2</v>
      </c>
      <c r="I453" s="14" t="n">
        <v>0.5</v>
      </c>
      <c r="J453" s="40" t="n">
        <v>12.7</v>
      </c>
      <c r="K453" s="14">
        <f>ROUND((H453-J453)*J453*IF(B453="Carbon Steel",$K$7,IF(B453="Stainless Steel 304",$K$8,$L$8)), 3)</f>
        <v/>
      </c>
      <c r="L453" s="40">
        <f>ROUND(K453*$G$5, 2)</f>
        <v/>
      </c>
      <c r="M453" s="38">
        <f>INT($G$6/H453)</f>
        <v/>
      </c>
      <c r="N453" s="38">
        <f>IF(M453=0, 0, IF(OR($K$6="Square Grid", M453=1), INT($G$7/H453), IF($G$7&lt;H453, 0, 1+INT(($G$7-H453)/(0.8660254*H453)))))</f>
        <v/>
      </c>
      <c r="O453" s="41">
        <f>IF(OR(M453=0,N453=0), 0, IF(OR($K$6="Square Grid", M453=1), M453*N453*$K$5, (INT((N453+1)/2)*M453 + INT(N453/2)*IF(($G$6-M453*H453)&gt;=0.5*H453, M453, M453-1))*$K$5))</f>
        <v/>
      </c>
      <c r="P453" s="41">
        <f>IF(L453&lt;=0, 0, INT($G$8/L453))</f>
        <v/>
      </c>
      <c r="Q453" s="42">
        <f>MIN(O453, P453)</f>
        <v/>
      </c>
      <c r="R453" s="43">
        <f>ROUND((Q453*L453)/1000, 2)</f>
        <v/>
      </c>
      <c r="S453" s="44">
        <f>IF($C$8&gt;0, R453/$C$8, 0)</f>
        <v/>
      </c>
      <c r="T453" s="44">
        <f>IF(O453&gt;0, Q453/O453, 0)</f>
        <v/>
      </c>
      <c r="U453" s="12">
        <f>IF(Q453=0, "Exceeds Limit", IF(P453&lt;=O453, "Weight Limited", "Volume Limited"))</f>
        <v/>
      </c>
    </row>
    <row r="454" ht="19" customHeight="1">
      <c r="A454" s="45" t="n">
        <v>444</v>
      </c>
      <c r="B454" s="50" t="inlineStr">
        <is>
          <t>Stainless Steel 304</t>
        </is>
      </c>
      <c r="C454" s="19" t="inlineStr">
        <is>
          <t>ASME B36.19M</t>
        </is>
      </c>
      <c r="D454" s="18" t="inlineStr">
        <is>
          <t>18''</t>
        </is>
      </c>
      <c r="E454" s="45" t="n">
        <v>450</v>
      </c>
      <c r="F454" s="18" t="inlineStr">
        <is>
          <t>STD</t>
        </is>
      </c>
      <c r="G454" s="20" t="n">
        <v>18</v>
      </c>
      <c r="H454" s="47" t="n">
        <v>457.2</v>
      </c>
      <c r="I454" s="20" t="n">
        <v>0.375</v>
      </c>
      <c r="J454" s="47" t="n">
        <v>9.52</v>
      </c>
      <c r="K454" s="20">
        <f>ROUND((H454-J454)*J454*IF(B454="Carbon Steel",$K$7,IF(B454="Stainless Steel 304",$K$8,$L$8)), 3)</f>
        <v/>
      </c>
      <c r="L454" s="47">
        <f>ROUND(K454*$G$5, 2)</f>
        <v/>
      </c>
      <c r="M454" s="45">
        <f>INT($G$6/H454)</f>
        <v/>
      </c>
      <c r="N454" s="45">
        <f>IF(M454=0, 0, IF(OR($K$6="Square Grid", M454=1), INT($G$7/H454), IF($G$7&lt;H454, 0, 1+INT(($G$7-H454)/(0.8660254*H454)))))</f>
        <v/>
      </c>
      <c r="O454" s="48">
        <f>IF(OR(M454=0,N454=0), 0, IF(OR($K$6="Square Grid", M454=1), M454*N454*$K$5, (INT((N454+1)/2)*M454 + INT(N454/2)*IF(($G$6-M454*H454)&gt;=0.5*H454, M454, M454-1))*$K$5))</f>
        <v/>
      </c>
      <c r="P454" s="48">
        <f>IF(L454&lt;=0, 0, INT($G$8/L454))</f>
        <v/>
      </c>
      <c r="Q454" s="42">
        <f>MIN(O454, P454)</f>
        <v/>
      </c>
      <c r="R454" s="43">
        <f>ROUND((Q454*L454)/1000, 2)</f>
        <v/>
      </c>
      <c r="S454" s="49">
        <f>IF($C$8&gt;0, R454/$C$8, 0)</f>
        <v/>
      </c>
      <c r="T454" s="49">
        <f>IF(O454&gt;0, Q454/O454, 0)</f>
        <v/>
      </c>
      <c r="U454" s="18">
        <f>IF(Q454=0, "Exceeds Limit", IF(P454&lt;=O454, "Weight Limited", "Volume Limited"))</f>
        <v/>
      </c>
    </row>
    <row r="455" ht="19" customHeight="1">
      <c r="A455" s="38" t="n">
        <v>445</v>
      </c>
      <c r="B455" s="51" t="inlineStr">
        <is>
          <t>Stainless Steel 304</t>
        </is>
      </c>
      <c r="C455" s="13" t="inlineStr">
        <is>
          <t>ASME B36.19M</t>
        </is>
      </c>
      <c r="D455" s="12" t="inlineStr">
        <is>
          <t>18''</t>
        </is>
      </c>
      <c r="E455" s="38" t="n">
        <v>450</v>
      </c>
      <c r="F455" s="12" t="inlineStr">
        <is>
          <t>XS</t>
        </is>
      </c>
      <c r="G455" s="14" t="n">
        <v>18</v>
      </c>
      <c r="H455" s="40" t="n">
        <v>457.2</v>
      </c>
      <c r="I455" s="14" t="n">
        <v>0.5</v>
      </c>
      <c r="J455" s="40" t="n">
        <v>12.7</v>
      </c>
      <c r="K455" s="14">
        <f>ROUND((H455-J455)*J455*IF(B455="Carbon Steel",$K$7,IF(B455="Stainless Steel 304",$K$8,$L$8)), 3)</f>
        <v/>
      </c>
      <c r="L455" s="40">
        <f>ROUND(K455*$G$5, 2)</f>
        <v/>
      </c>
      <c r="M455" s="38">
        <f>INT($G$6/H455)</f>
        <v/>
      </c>
      <c r="N455" s="38">
        <f>IF(M455=0, 0, IF(OR($K$6="Square Grid", M455=1), INT($G$7/H455), IF($G$7&lt;H455, 0, 1+INT(($G$7-H455)/(0.8660254*H455)))))</f>
        <v/>
      </c>
      <c r="O455" s="41">
        <f>IF(OR(M455=0,N455=0), 0, IF(OR($K$6="Square Grid", M455=1), M455*N455*$K$5, (INT((N455+1)/2)*M455 + INT(N455/2)*IF(($G$6-M455*H455)&gt;=0.5*H455, M455, M455-1))*$K$5))</f>
        <v/>
      </c>
      <c r="P455" s="41">
        <f>IF(L455&lt;=0, 0, INT($G$8/L455))</f>
        <v/>
      </c>
      <c r="Q455" s="42">
        <f>MIN(O455, P455)</f>
        <v/>
      </c>
      <c r="R455" s="43">
        <f>ROUND((Q455*L455)/1000, 2)</f>
        <v/>
      </c>
      <c r="S455" s="44">
        <f>IF($C$8&gt;0, R455/$C$8, 0)</f>
        <v/>
      </c>
      <c r="T455" s="44">
        <f>IF(O455&gt;0, Q455/O455, 0)</f>
        <v/>
      </c>
      <c r="U455" s="12">
        <f>IF(Q455=0, "Exceeds Limit", IF(P455&lt;=O455, "Weight Limited", "Volume Limited"))</f>
        <v/>
      </c>
    </row>
    <row r="456" ht="19" customHeight="1">
      <c r="A456" s="45" t="n">
        <v>446</v>
      </c>
      <c r="B456" s="50" t="inlineStr">
        <is>
          <t>Stainless Steel 304</t>
        </is>
      </c>
      <c r="C456" s="19" t="inlineStr">
        <is>
          <t>ASME B36.19M</t>
        </is>
      </c>
      <c r="D456" s="18" t="inlineStr">
        <is>
          <t>18''</t>
        </is>
      </c>
      <c r="E456" s="45" t="n">
        <v>450</v>
      </c>
      <c r="F456" s="18" t="inlineStr">
        <is>
          <t>160</t>
        </is>
      </c>
      <c r="G456" s="20" t="n">
        <v>18</v>
      </c>
      <c r="H456" s="47" t="n">
        <v>457.2</v>
      </c>
      <c r="I456" s="20" t="n">
        <v>1.781</v>
      </c>
      <c r="J456" s="47" t="n">
        <v>45.24</v>
      </c>
      <c r="K456" s="20">
        <f>ROUND((H456-J456)*J456*IF(B456="Carbon Steel",$K$7,IF(B456="Stainless Steel 304",$K$8,$L$8)), 3)</f>
        <v/>
      </c>
      <c r="L456" s="47">
        <f>ROUND(K456*$G$5, 2)</f>
        <v/>
      </c>
      <c r="M456" s="45">
        <f>INT($G$6/H456)</f>
        <v/>
      </c>
      <c r="N456" s="45">
        <f>IF(M456=0, 0, IF(OR($K$6="Square Grid", M456=1), INT($G$7/H456), IF($G$7&lt;H456, 0, 1+INT(($G$7-H456)/(0.8660254*H456)))))</f>
        <v/>
      </c>
      <c r="O456" s="48">
        <f>IF(OR(M456=0,N456=0), 0, IF(OR($K$6="Square Grid", M456=1), M456*N456*$K$5, (INT((N456+1)/2)*M456 + INT(N456/2)*IF(($G$6-M456*H456)&gt;=0.5*H456, M456, M456-1))*$K$5))</f>
        <v/>
      </c>
      <c r="P456" s="48">
        <f>IF(L456&lt;=0, 0, INT($G$8/L456))</f>
        <v/>
      </c>
      <c r="Q456" s="42">
        <f>MIN(O456, P456)</f>
        <v/>
      </c>
      <c r="R456" s="43">
        <f>ROUND((Q456*L456)/1000, 2)</f>
        <v/>
      </c>
      <c r="S456" s="49">
        <f>IF($C$8&gt;0, R456/$C$8, 0)</f>
        <v/>
      </c>
      <c r="T456" s="49">
        <f>IF(O456&gt;0, Q456/O456, 0)</f>
        <v/>
      </c>
      <c r="U456" s="18">
        <f>IF(Q456=0, "Exceeds Limit", IF(P456&lt;=O456, "Weight Limited", "Volume Limited"))</f>
        <v/>
      </c>
    </row>
    <row r="457" ht="19" customHeight="1">
      <c r="A457" s="38" t="n">
        <v>447</v>
      </c>
      <c r="B457" s="51" t="inlineStr">
        <is>
          <t>Stainless Steel 304</t>
        </is>
      </c>
      <c r="C457" s="13" t="inlineStr">
        <is>
          <t>ASME B36.19M</t>
        </is>
      </c>
      <c r="D457" s="12" t="inlineStr">
        <is>
          <t>20''</t>
        </is>
      </c>
      <c r="E457" s="38" t="n">
        <v>500</v>
      </c>
      <c r="F457" s="12" t="inlineStr">
        <is>
          <t>5S</t>
        </is>
      </c>
      <c r="G457" s="14" t="n">
        <v>20</v>
      </c>
      <c r="H457" s="40" t="n">
        <v>508</v>
      </c>
      <c r="I457" s="14" t="n">
        <v>0.188</v>
      </c>
      <c r="J457" s="40" t="n">
        <v>4.78</v>
      </c>
      <c r="K457" s="14">
        <f>ROUND((H457-J457)*J457*IF(B457="Carbon Steel",$K$7,IF(B457="Stainless Steel 304",$K$8,$L$8)), 3)</f>
        <v/>
      </c>
      <c r="L457" s="40">
        <f>ROUND(K457*$G$5, 2)</f>
        <v/>
      </c>
      <c r="M457" s="38">
        <f>INT($G$6/H457)</f>
        <v/>
      </c>
      <c r="N457" s="38">
        <f>IF(M457=0, 0, IF(OR($K$6="Square Grid", M457=1), INT($G$7/H457), IF($G$7&lt;H457, 0, 1+INT(($G$7-H457)/(0.8660254*H457)))))</f>
        <v/>
      </c>
      <c r="O457" s="41">
        <f>IF(OR(M457=0,N457=0), 0, IF(OR($K$6="Square Grid", M457=1), M457*N457*$K$5, (INT((N457+1)/2)*M457 + INT(N457/2)*IF(($G$6-M457*H457)&gt;=0.5*H457, M457, M457-1))*$K$5))</f>
        <v/>
      </c>
      <c r="P457" s="41">
        <f>IF(L457&lt;=0, 0, INT($G$8/L457))</f>
        <v/>
      </c>
      <c r="Q457" s="42">
        <f>MIN(O457, P457)</f>
        <v/>
      </c>
      <c r="R457" s="43">
        <f>ROUND((Q457*L457)/1000, 2)</f>
        <v/>
      </c>
      <c r="S457" s="44">
        <f>IF($C$8&gt;0, R457/$C$8, 0)</f>
        <v/>
      </c>
      <c r="T457" s="44">
        <f>IF(O457&gt;0, Q457/O457, 0)</f>
        <v/>
      </c>
      <c r="U457" s="12">
        <f>IF(Q457=0, "Exceeds Limit", IF(P457&lt;=O457, "Weight Limited", "Volume Limited"))</f>
        <v/>
      </c>
    </row>
    <row r="458" ht="19" customHeight="1">
      <c r="A458" s="45" t="n">
        <v>448</v>
      </c>
      <c r="B458" s="50" t="inlineStr">
        <is>
          <t>Stainless Steel 304</t>
        </is>
      </c>
      <c r="C458" s="19" t="inlineStr">
        <is>
          <t>ASME B36.19M</t>
        </is>
      </c>
      <c r="D458" s="18" t="inlineStr">
        <is>
          <t>20''</t>
        </is>
      </c>
      <c r="E458" s="45" t="n">
        <v>500</v>
      </c>
      <c r="F458" s="18" t="inlineStr">
        <is>
          <t>10S</t>
        </is>
      </c>
      <c r="G458" s="20" t="n">
        <v>20</v>
      </c>
      <c r="H458" s="47" t="n">
        <v>508</v>
      </c>
      <c r="I458" s="20" t="n">
        <v>0.218</v>
      </c>
      <c r="J458" s="47" t="n">
        <v>5.54</v>
      </c>
      <c r="K458" s="20">
        <f>ROUND((H458-J458)*J458*IF(B458="Carbon Steel",$K$7,IF(B458="Stainless Steel 304",$K$8,$L$8)), 3)</f>
        <v/>
      </c>
      <c r="L458" s="47">
        <f>ROUND(K458*$G$5, 2)</f>
        <v/>
      </c>
      <c r="M458" s="45">
        <f>INT($G$6/H458)</f>
        <v/>
      </c>
      <c r="N458" s="45">
        <f>IF(M458=0, 0, IF(OR($K$6="Square Grid", M458=1), INT($G$7/H458), IF($G$7&lt;H458, 0, 1+INT(($G$7-H458)/(0.8660254*H458)))))</f>
        <v/>
      </c>
      <c r="O458" s="48">
        <f>IF(OR(M458=0,N458=0), 0, IF(OR($K$6="Square Grid", M458=1), M458*N458*$K$5, (INT((N458+1)/2)*M458 + INT(N458/2)*IF(($G$6-M458*H458)&gt;=0.5*H458, M458, M458-1))*$K$5))</f>
        <v/>
      </c>
      <c r="P458" s="48">
        <f>IF(L458&lt;=0, 0, INT($G$8/L458))</f>
        <v/>
      </c>
      <c r="Q458" s="42">
        <f>MIN(O458, P458)</f>
        <v/>
      </c>
      <c r="R458" s="43">
        <f>ROUND((Q458*L458)/1000, 2)</f>
        <v/>
      </c>
      <c r="S458" s="49">
        <f>IF($C$8&gt;0, R458/$C$8, 0)</f>
        <v/>
      </c>
      <c r="T458" s="49">
        <f>IF(O458&gt;0, Q458/O458, 0)</f>
        <v/>
      </c>
      <c r="U458" s="18">
        <f>IF(Q458=0, "Exceeds Limit", IF(P458&lt;=O458, "Weight Limited", "Volume Limited"))</f>
        <v/>
      </c>
    </row>
    <row r="459" ht="19" customHeight="1">
      <c r="A459" s="38" t="n">
        <v>449</v>
      </c>
      <c r="B459" s="51" t="inlineStr">
        <is>
          <t>Stainless Steel 304</t>
        </is>
      </c>
      <c r="C459" s="13" t="inlineStr">
        <is>
          <t>ASME B36.19M</t>
        </is>
      </c>
      <c r="D459" s="12" t="inlineStr">
        <is>
          <t>20''</t>
        </is>
      </c>
      <c r="E459" s="38" t="n">
        <v>500</v>
      </c>
      <c r="F459" s="12" t="inlineStr">
        <is>
          <t>40S</t>
        </is>
      </c>
      <c r="G459" s="14" t="n">
        <v>20</v>
      </c>
      <c r="H459" s="40" t="n">
        <v>508</v>
      </c>
      <c r="I459" s="14" t="n">
        <v>0.375</v>
      </c>
      <c r="J459" s="40" t="n">
        <v>9.52</v>
      </c>
      <c r="K459" s="14">
        <f>ROUND((H459-J459)*J459*IF(B459="Carbon Steel",$K$7,IF(B459="Stainless Steel 304",$K$8,$L$8)), 3)</f>
        <v/>
      </c>
      <c r="L459" s="40">
        <f>ROUND(K459*$G$5, 2)</f>
        <v/>
      </c>
      <c r="M459" s="38">
        <f>INT($G$6/H459)</f>
        <v/>
      </c>
      <c r="N459" s="38">
        <f>IF(M459=0, 0, IF(OR($K$6="Square Grid", M459=1), INT($G$7/H459), IF($G$7&lt;H459, 0, 1+INT(($G$7-H459)/(0.8660254*H459)))))</f>
        <v/>
      </c>
      <c r="O459" s="41">
        <f>IF(OR(M459=0,N459=0), 0, IF(OR($K$6="Square Grid", M459=1), M459*N459*$K$5, (INT((N459+1)/2)*M459 + INT(N459/2)*IF(($G$6-M459*H459)&gt;=0.5*H459, M459, M459-1))*$K$5))</f>
        <v/>
      </c>
      <c r="P459" s="41">
        <f>IF(L459&lt;=0, 0, INT($G$8/L459))</f>
        <v/>
      </c>
      <c r="Q459" s="42">
        <f>MIN(O459, P459)</f>
        <v/>
      </c>
      <c r="R459" s="43">
        <f>ROUND((Q459*L459)/1000, 2)</f>
        <v/>
      </c>
      <c r="S459" s="44">
        <f>IF($C$8&gt;0, R459/$C$8, 0)</f>
        <v/>
      </c>
      <c r="T459" s="44">
        <f>IF(O459&gt;0, Q459/O459, 0)</f>
        <v/>
      </c>
      <c r="U459" s="12">
        <f>IF(Q459=0, "Exceeds Limit", IF(P459&lt;=O459, "Weight Limited", "Volume Limited"))</f>
        <v/>
      </c>
    </row>
    <row r="460" ht="19" customHeight="1">
      <c r="A460" s="45" t="n">
        <v>450</v>
      </c>
      <c r="B460" s="50" t="inlineStr">
        <is>
          <t>Stainless Steel 304</t>
        </is>
      </c>
      <c r="C460" s="19" t="inlineStr">
        <is>
          <t>ASME B36.19M</t>
        </is>
      </c>
      <c r="D460" s="18" t="inlineStr">
        <is>
          <t>20''</t>
        </is>
      </c>
      <c r="E460" s="45" t="n">
        <v>500</v>
      </c>
      <c r="F460" s="18" t="inlineStr">
        <is>
          <t>80S</t>
        </is>
      </c>
      <c r="G460" s="20" t="n">
        <v>20</v>
      </c>
      <c r="H460" s="47" t="n">
        <v>508</v>
      </c>
      <c r="I460" s="20" t="n">
        <v>0.5</v>
      </c>
      <c r="J460" s="47" t="n">
        <v>12.7</v>
      </c>
      <c r="K460" s="20">
        <f>ROUND((H460-J460)*J460*IF(B460="Carbon Steel",$K$7,IF(B460="Stainless Steel 304",$K$8,$L$8)), 3)</f>
        <v/>
      </c>
      <c r="L460" s="47">
        <f>ROUND(K460*$G$5, 2)</f>
        <v/>
      </c>
      <c r="M460" s="45">
        <f>INT($G$6/H460)</f>
        <v/>
      </c>
      <c r="N460" s="45">
        <f>IF(M460=0, 0, IF(OR($K$6="Square Grid", M460=1), INT($G$7/H460), IF($G$7&lt;H460, 0, 1+INT(($G$7-H460)/(0.8660254*H460)))))</f>
        <v/>
      </c>
      <c r="O460" s="48">
        <f>IF(OR(M460=0,N460=0), 0, IF(OR($K$6="Square Grid", M460=1), M460*N460*$K$5, (INT((N460+1)/2)*M460 + INT(N460/2)*IF(($G$6-M460*H460)&gt;=0.5*H460, M460, M460-1))*$K$5))</f>
        <v/>
      </c>
      <c r="P460" s="48">
        <f>IF(L460&lt;=0, 0, INT($G$8/L460))</f>
        <v/>
      </c>
      <c r="Q460" s="42">
        <f>MIN(O460, P460)</f>
        <v/>
      </c>
      <c r="R460" s="43">
        <f>ROUND((Q460*L460)/1000, 2)</f>
        <v/>
      </c>
      <c r="S460" s="49">
        <f>IF($C$8&gt;0, R460/$C$8, 0)</f>
        <v/>
      </c>
      <c r="T460" s="49">
        <f>IF(O460&gt;0, Q460/O460, 0)</f>
        <v/>
      </c>
      <c r="U460" s="18">
        <f>IF(Q460=0, "Exceeds Limit", IF(P460&lt;=O460, "Weight Limited", "Volume Limited"))</f>
        <v/>
      </c>
    </row>
    <row r="461" ht="19" customHeight="1">
      <c r="A461" s="38" t="n">
        <v>451</v>
      </c>
      <c r="B461" s="51" t="inlineStr">
        <is>
          <t>Stainless Steel 304</t>
        </is>
      </c>
      <c r="C461" s="13" t="inlineStr">
        <is>
          <t>ASME B36.19M</t>
        </is>
      </c>
      <c r="D461" s="12" t="inlineStr">
        <is>
          <t>20''</t>
        </is>
      </c>
      <c r="E461" s="38" t="n">
        <v>500</v>
      </c>
      <c r="F461" s="12" t="inlineStr">
        <is>
          <t>STD</t>
        </is>
      </c>
      <c r="G461" s="14" t="n">
        <v>20</v>
      </c>
      <c r="H461" s="40" t="n">
        <v>508</v>
      </c>
      <c r="I461" s="14" t="n">
        <v>0.375</v>
      </c>
      <c r="J461" s="40" t="n">
        <v>9.52</v>
      </c>
      <c r="K461" s="14">
        <f>ROUND((H461-J461)*J461*IF(B461="Carbon Steel",$K$7,IF(B461="Stainless Steel 304",$K$8,$L$8)), 3)</f>
        <v/>
      </c>
      <c r="L461" s="40">
        <f>ROUND(K461*$G$5, 2)</f>
        <v/>
      </c>
      <c r="M461" s="38">
        <f>INT($G$6/H461)</f>
        <v/>
      </c>
      <c r="N461" s="38">
        <f>IF(M461=0, 0, IF(OR($K$6="Square Grid", M461=1), INT($G$7/H461), IF($G$7&lt;H461, 0, 1+INT(($G$7-H461)/(0.8660254*H461)))))</f>
        <v/>
      </c>
      <c r="O461" s="41">
        <f>IF(OR(M461=0,N461=0), 0, IF(OR($K$6="Square Grid", M461=1), M461*N461*$K$5, (INT((N461+1)/2)*M461 + INT(N461/2)*IF(($G$6-M461*H461)&gt;=0.5*H461, M461, M461-1))*$K$5))</f>
        <v/>
      </c>
      <c r="P461" s="41">
        <f>IF(L461&lt;=0, 0, INT($G$8/L461))</f>
        <v/>
      </c>
      <c r="Q461" s="42">
        <f>MIN(O461, P461)</f>
        <v/>
      </c>
      <c r="R461" s="43">
        <f>ROUND((Q461*L461)/1000, 2)</f>
        <v/>
      </c>
      <c r="S461" s="44">
        <f>IF($C$8&gt;0, R461/$C$8, 0)</f>
        <v/>
      </c>
      <c r="T461" s="44">
        <f>IF(O461&gt;0, Q461/O461, 0)</f>
        <v/>
      </c>
      <c r="U461" s="12">
        <f>IF(Q461=0, "Exceeds Limit", IF(P461&lt;=O461, "Weight Limited", "Volume Limited"))</f>
        <v/>
      </c>
    </row>
    <row r="462" ht="19" customHeight="1">
      <c r="A462" s="45" t="n">
        <v>452</v>
      </c>
      <c r="B462" s="50" t="inlineStr">
        <is>
          <t>Stainless Steel 304</t>
        </is>
      </c>
      <c r="C462" s="19" t="inlineStr">
        <is>
          <t>ASME B36.19M</t>
        </is>
      </c>
      <c r="D462" s="18" t="inlineStr">
        <is>
          <t>20''</t>
        </is>
      </c>
      <c r="E462" s="45" t="n">
        <v>500</v>
      </c>
      <c r="F462" s="18" t="inlineStr">
        <is>
          <t>XS</t>
        </is>
      </c>
      <c r="G462" s="20" t="n">
        <v>20</v>
      </c>
      <c r="H462" s="47" t="n">
        <v>508</v>
      </c>
      <c r="I462" s="20" t="n">
        <v>0.5</v>
      </c>
      <c r="J462" s="47" t="n">
        <v>12.7</v>
      </c>
      <c r="K462" s="20">
        <f>ROUND((H462-J462)*J462*IF(B462="Carbon Steel",$K$7,IF(B462="Stainless Steel 304",$K$8,$L$8)), 3)</f>
        <v/>
      </c>
      <c r="L462" s="47">
        <f>ROUND(K462*$G$5, 2)</f>
        <v/>
      </c>
      <c r="M462" s="45">
        <f>INT($G$6/H462)</f>
        <v/>
      </c>
      <c r="N462" s="45">
        <f>IF(M462=0, 0, IF(OR($K$6="Square Grid", M462=1), INT($G$7/H462), IF($G$7&lt;H462, 0, 1+INT(($G$7-H462)/(0.8660254*H462)))))</f>
        <v/>
      </c>
      <c r="O462" s="48">
        <f>IF(OR(M462=0,N462=0), 0, IF(OR($K$6="Square Grid", M462=1), M462*N462*$K$5, (INT((N462+1)/2)*M462 + INT(N462/2)*IF(($G$6-M462*H462)&gt;=0.5*H462, M462, M462-1))*$K$5))</f>
        <v/>
      </c>
      <c r="P462" s="48">
        <f>IF(L462&lt;=0, 0, INT($G$8/L462))</f>
        <v/>
      </c>
      <c r="Q462" s="42">
        <f>MIN(O462, P462)</f>
        <v/>
      </c>
      <c r="R462" s="43">
        <f>ROUND((Q462*L462)/1000, 2)</f>
        <v/>
      </c>
      <c r="S462" s="49">
        <f>IF($C$8&gt;0, R462/$C$8, 0)</f>
        <v/>
      </c>
      <c r="T462" s="49">
        <f>IF(O462&gt;0, Q462/O462, 0)</f>
        <v/>
      </c>
      <c r="U462" s="18">
        <f>IF(Q462=0, "Exceeds Limit", IF(P462&lt;=O462, "Weight Limited", "Volume Limited"))</f>
        <v/>
      </c>
    </row>
    <row r="463" ht="19" customHeight="1">
      <c r="A463" s="38" t="n">
        <v>453</v>
      </c>
      <c r="B463" s="51" t="inlineStr">
        <is>
          <t>Stainless Steel 304</t>
        </is>
      </c>
      <c r="C463" s="13" t="inlineStr">
        <is>
          <t>ASME B36.19M</t>
        </is>
      </c>
      <c r="D463" s="12" t="inlineStr">
        <is>
          <t>20''</t>
        </is>
      </c>
      <c r="E463" s="38" t="n">
        <v>500</v>
      </c>
      <c r="F463" s="12" t="inlineStr">
        <is>
          <t>160</t>
        </is>
      </c>
      <c r="G463" s="14" t="n">
        <v>20</v>
      </c>
      <c r="H463" s="40" t="n">
        <v>508</v>
      </c>
      <c r="I463" s="14" t="n">
        <v>1.969</v>
      </c>
      <c r="J463" s="40" t="n">
        <v>50.01</v>
      </c>
      <c r="K463" s="14">
        <f>ROUND((H463-J463)*J463*IF(B463="Carbon Steel",$K$7,IF(B463="Stainless Steel 304",$K$8,$L$8)), 3)</f>
        <v/>
      </c>
      <c r="L463" s="40">
        <f>ROUND(K463*$G$5, 2)</f>
        <v/>
      </c>
      <c r="M463" s="38">
        <f>INT($G$6/H463)</f>
        <v/>
      </c>
      <c r="N463" s="38">
        <f>IF(M463=0, 0, IF(OR($K$6="Square Grid", M463=1), INT($G$7/H463), IF($G$7&lt;H463, 0, 1+INT(($G$7-H463)/(0.8660254*H463)))))</f>
        <v/>
      </c>
      <c r="O463" s="41">
        <f>IF(OR(M463=0,N463=0), 0, IF(OR($K$6="Square Grid", M463=1), M463*N463*$K$5, (INT((N463+1)/2)*M463 + INT(N463/2)*IF(($G$6-M463*H463)&gt;=0.5*H463, M463, M463-1))*$K$5))</f>
        <v/>
      </c>
      <c r="P463" s="41">
        <f>IF(L463&lt;=0, 0, INT($G$8/L463))</f>
        <v/>
      </c>
      <c r="Q463" s="42">
        <f>MIN(O463, P463)</f>
        <v/>
      </c>
      <c r="R463" s="43">
        <f>ROUND((Q463*L463)/1000, 2)</f>
        <v/>
      </c>
      <c r="S463" s="44">
        <f>IF($C$8&gt;0, R463/$C$8, 0)</f>
        <v/>
      </c>
      <c r="T463" s="44">
        <f>IF(O463&gt;0, Q463/O463, 0)</f>
        <v/>
      </c>
      <c r="U463" s="12">
        <f>IF(Q463=0, "Exceeds Limit", IF(P463&lt;=O463, "Weight Limited", "Volume Limited"))</f>
        <v/>
      </c>
    </row>
    <row r="464" ht="19" customHeight="1">
      <c r="A464" s="45" t="n">
        <v>454</v>
      </c>
      <c r="B464" s="50" t="inlineStr">
        <is>
          <t>Stainless Steel 304</t>
        </is>
      </c>
      <c r="C464" s="19" t="inlineStr">
        <is>
          <t>ASME B36.19M</t>
        </is>
      </c>
      <c r="D464" s="18" t="inlineStr">
        <is>
          <t>22''</t>
        </is>
      </c>
      <c r="E464" s="45" t="n">
        <v>550</v>
      </c>
      <c r="F464" s="18" t="inlineStr">
        <is>
          <t>5S</t>
        </is>
      </c>
      <c r="G464" s="20" t="n">
        <v>22</v>
      </c>
      <c r="H464" s="47" t="n">
        <v>558.8</v>
      </c>
      <c r="I464" s="20" t="n">
        <v>0.188</v>
      </c>
      <c r="J464" s="47" t="n">
        <v>4.78</v>
      </c>
      <c r="K464" s="20">
        <f>ROUND((H464-J464)*J464*IF(B464="Carbon Steel",$K$7,IF(B464="Stainless Steel 304",$K$8,$L$8)), 3)</f>
        <v/>
      </c>
      <c r="L464" s="47">
        <f>ROUND(K464*$G$5, 2)</f>
        <v/>
      </c>
      <c r="M464" s="45">
        <f>INT($G$6/H464)</f>
        <v/>
      </c>
      <c r="N464" s="45">
        <f>IF(M464=0, 0, IF(OR($K$6="Square Grid", M464=1), INT($G$7/H464), IF($G$7&lt;H464, 0, 1+INT(($G$7-H464)/(0.8660254*H464)))))</f>
        <v/>
      </c>
      <c r="O464" s="48">
        <f>IF(OR(M464=0,N464=0), 0, IF(OR($K$6="Square Grid", M464=1), M464*N464*$K$5, (INT((N464+1)/2)*M464 + INT(N464/2)*IF(($G$6-M464*H464)&gt;=0.5*H464, M464, M464-1))*$K$5))</f>
        <v/>
      </c>
      <c r="P464" s="48">
        <f>IF(L464&lt;=0, 0, INT($G$8/L464))</f>
        <v/>
      </c>
      <c r="Q464" s="42">
        <f>MIN(O464, P464)</f>
        <v/>
      </c>
      <c r="R464" s="43">
        <f>ROUND((Q464*L464)/1000, 2)</f>
        <v/>
      </c>
      <c r="S464" s="49">
        <f>IF($C$8&gt;0, R464/$C$8, 0)</f>
        <v/>
      </c>
      <c r="T464" s="49">
        <f>IF(O464&gt;0, Q464/O464, 0)</f>
        <v/>
      </c>
      <c r="U464" s="18">
        <f>IF(Q464=0, "Exceeds Limit", IF(P464&lt;=O464, "Weight Limited", "Volume Limited"))</f>
        <v/>
      </c>
    </row>
    <row r="465" ht="19" customHeight="1">
      <c r="A465" s="38" t="n">
        <v>455</v>
      </c>
      <c r="B465" s="51" t="inlineStr">
        <is>
          <t>Stainless Steel 304</t>
        </is>
      </c>
      <c r="C465" s="13" t="inlineStr">
        <is>
          <t>ASME B36.19M</t>
        </is>
      </c>
      <c r="D465" s="12" t="inlineStr">
        <is>
          <t>22''</t>
        </is>
      </c>
      <c r="E465" s="38" t="n">
        <v>550</v>
      </c>
      <c r="F465" s="12" t="inlineStr">
        <is>
          <t>10S</t>
        </is>
      </c>
      <c r="G465" s="14" t="n">
        <v>22</v>
      </c>
      <c r="H465" s="40" t="n">
        <v>558.8</v>
      </c>
      <c r="I465" s="14" t="n">
        <v>0.218</v>
      </c>
      <c r="J465" s="40" t="n">
        <v>5.54</v>
      </c>
      <c r="K465" s="14">
        <f>ROUND((H465-J465)*J465*IF(B465="Carbon Steel",$K$7,IF(B465="Stainless Steel 304",$K$8,$L$8)), 3)</f>
        <v/>
      </c>
      <c r="L465" s="40">
        <f>ROUND(K465*$G$5, 2)</f>
        <v/>
      </c>
      <c r="M465" s="38">
        <f>INT($G$6/H465)</f>
        <v/>
      </c>
      <c r="N465" s="38">
        <f>IF(M465=0, 0, IF(OR($K$6="Square Grid", M465=1), INT($G$7/H465), IF($G$7&lt;H465, 0, 1+INT(($G$7-H465)/(0.8660254*H465)))))</f>
        <v/>
      </c>
      <c r="O465" s="41">
        <f>IF(OR(M465=0,N465=0), 0, IF(OR($K$6="Square Grid", M465=1), M465*N465*$K$5, (INT((N465+1)/2)*M465 + INT(N465/2)*IF(($G$6-M465*H465)&gt;=0.5*H465, M465, M465-1))*$K$5))</f>
        <v/>
      </c>
      <c r="P465" s="41">
        <f>IF(L465&lt;=0, 0, INT($G$8/L465))</f>
        <v/>
      </c>
      <c r="Q465" s="42">
        <f>MIN(O465, P465)</f>
        <v/>
      </c>
      <c r="R465" s="43">
        <f>ROUND((Q465*L465)/1000, 2)</f>
        <v/>
      </c>
      <c r="S465" s="44">
        <f>IF($C$8&gt;0, R465/$C$8, 0)</f>
        <v/>
      </c>
      <c r="T465" s="44">
        <f>IF(O465&gt;0, Q465/O465, 0)</f>
        <v/>
      </c>
      <c r="U465" s="12">
        <f>IF(Q465=0, "Exceeds Limit", IF(P465&lt;=O465, "Weight Limited", "Volume Limited"))</f>
        <v/>
      </c>
    </row>
    <row r="466" ht="19" customHeight="1">
      <c r="A466" s="45" t="n">
        <v>456</v>
      </c>
      <c r="B466" s="50" t="inlineStr">
        <is>
          <t>Stainless Steel 304</t>
        </is>
      </c>
      <c r="C466" s="19" t="inlineStr">
        <is>
          <t>ASME B36.19M</t>
        </is>
      </c>
      <c r="D466" s="18" t="inlineStr">
        <is>
          <t>22''</t>
        </is>
      </c>
      <c r="E466" s="45" t="n">
        <v>550</v>
      </c>
      <c r="F466" s="18" t="inlineStr">
        <is>
          <t>40S</t>
        </is>
      </c>
      <c r="G466" s="20" t="n">
        <v>22</v>
      </c>
      <c r="H466" s="47" t="n">
        <v>558.8</v>
      </c>
      <c r="I466" s="20" t="n">
        <v>0.375</v>
      </c>
      <c r="J466" s="47" t="n">
        <v>9.52</v>
      </c>
      <c r="K466" s="20">
        <f>ROUND((H466-J466)*J466*IF(B466="Carbon Steel",$K$7,IF(B466="Stainless Steel 304",$K$8,$L$8)), 3)</f>
        <v/>
      </c>
      <c r="L466" s="47">
        <f>ROUND(K466*$G$5, 2)</f>
        <v/>
      </c>
      <c r="M466" s="45">
        <f>INT($G$6/H466)</f>
        <v/>
      </c>
      <c r="N466" s="45">
        <f>IF(M466=0, 0, IF(OR($K$6="Square Grid", M466=1), INT($G$7/H466), IF($G$7&lt;H466, 0, 1+INT(($G$7-H466)/(0.8660254*H466)))))</f>
        <v/>
      </c>
      <c r="O466" s="48">
        <f>IF(OR(M466=0,N466=0), 0, IF(OR($K$6="Square Grid", M466=1), M466*N466*$K$5, (INT((N466+1)/2)*M466 + INT(N466/2)*IF(($G$6-M466*H466)&gt;=0.5*H466, M466, M466-1))*$K$5))</f>
        <v/>
      </c>
      <c r="P466" s="48">
        <f>IF(L466&lt;=0, 0, INT($G$8/L466))</f>
        <v/>
      </c>
      <c r="Q466" s="42">
        <f>MIN(O466, P466)</f>
        <v/>
      </c>
      <c r="R466" s="43">
        <f>ROUND((Q466*L466)/1000, 2)</f>
        <v/>
      </c>
      <c r="S466" s="49">
        <f>IF($C$8&gt;0, R466/$C$8, 0)</f>
        <v/>
      </c>
      <c r="T466" s="49">
        <f>IF(O466&gt;0, Q466/O466, 0)</f>
        <v/>
      </c>
      <c r="U466" s="18">
        <f>IF(Q466=0, "Exceeds Limit", IF(P466&lt;=O466, "Weight Limited", "Volume Limited"))</f>
        <v/>
      </c>
    </row>
    <row r="467" ht="19" customHeight="1">
      <c r="A467" s="38" t="n">
        <v>457</v>
      </c>
      <c r="B467" s="51" t="inlineStr">
        <is>
          <t>Stainless Steel 304</t>
        </is>
      </c>
      <c r="C467" s="13" t="inlineStr">
        <is>
          <t>ASME B36.19M</t>
        </is>
      </c>
      <c r="D467" s="12" t="inlineStr">
        <is>
          <t>22''</t>
        </is>
      </c>
      <c r="E467" s="38" t="n">
        <v>550</v>
      </c>
      <c r="F467" s="12" t="inlineStr">
        <is>
          <t>80S</t>
        </is>
      </c>
      <c r="G467" s="14" t="n">
        <v>22</v>
      </c>
      <c r="H467" s="40" t="n">
        <v>558.8</v>
      </c>
      <c r="I467" s="14" t="n">
        <v>0.5</v>
      </c>
      <c r="J467" s="40" t="n">
        <v>12.7</v>
      </c>
      <c r="K467" s="14">
        <f>ROUND((H467-J467)*J467*IF(B467="Carbon Steel",$K$7,IF(B467="Stainless Steel 304",$K$8,$L$8)), 3)</f>
        <v/>
      </c>
      <c r="L467" s="40">
        <f>ROUND(K467*$G$5, 2)</f>
        <v/>
      </c>
      <c r="M467" s="38">
        <f>INT($G$6/H467)</f>
        <v/>
      </c>
      <c r="N467" s="38">
        <f>IF(M467=0, 0, IF(OR($K$6="Square Grid", M467=1), INT($G$7/H467), IF($G$7&lt;H467, 0, 1+INT(($G$7-H467)/(0.8660254*H467)))))</f>
        <v/>
      </c>
      <c r="O467" s="41">
        <f>IF(OR(M467=0,N467=0), 0, IF(OR($K$6="Square Grid", M467=1), M467*N467*$K$5, (INT((N467+1)/2)*M467 + INT(N467/2)*IF(($G$6-M467*H467)&gt;=0.5*H467, M467, M467-1))*$K$5))</f>
        <v/>
      </c>
      <c r="P467" s="41">
        <f>IF(L467&lt;=0, 0, INT($G$8/L467))</f>
        <v/>
      </c>
      <c r="Q467" s="42">
        <f>MIN(O467, P467)</f>
        <v/>
      </c>
      <c r="R467" s="43">
        <f>ROUND((Q467*L467)/1000, 2)</f>
        <v/>
      </c>
      <c r="S467" s="44">
        <f>IF($C$8&gt;0, R467/$C$8, 0)</f>
        <v/>
      </c>
      <c r="T467" s="44">
        <f>IF(O467&gt;0, Q467/O467, 0)</f>
        <v/>
      </c>
      <c r="U467" s="12">
        <f>IF(Q467=0, "Exceeds Limit", IF(P467&lt;=O467, "Weight Limited", "Volume Limited"))</f>
        <v/>
      </c>
    </row>
    <row r="468" ht="19" customHeight="1">
      <c r="A468" s="45" t="n">
        <v>458</v>
      </c>
      <c r="B468" s="50" t="inlineStr">
        <is>
          <t>Stainless Steel 304</t>
        </is>
      </c>
      <c r="C468" s="19" t="inlineStr">
        <is>
          <t>ASME B36.19M</t>
        </is>
      </c>
      <c r="D468" s="18" t="inlineStr">
        <is>
          <t>22''</t>
        </is>
      </c>
      <c r="E468" s="45" t="n">
        <v>550</v>
      </c>
      <c r="F468" s="18" t="inlineStr">
        <is>
          <t>STD</t>
        </is>
      </c>
      <c r="G468" s="20" t="n">
        <v>22</v>
      </c>
      <c r="H468" s="47" t="n">
        <v>558.8</v>
      </c>
      <c r="I468" s="20" t="n">
        <v>0.375</v>
      </c>
      <c r="J468" s="47" t="n">
        <v>9.52</v>
      </c>
      <c r="K468" s="20">
        <f>ROUND((H468-J468)*J468*IF(B468="Carbon Steel",$K$7,IF(B468="Stainless Steel 304",$K$8,$L$8)), 3)</f>
        <v/>
      </c>
      <c r="L468" s="47">
        <f>ROUND(K468*$G$5, 2)</f>
        <v/>
      </c>
      <c r="M468" s="45">
        <f>INT($G$6/H468)</f>
        <v/>
      </c>
      <c r="N468" s="45">
        <f>IF(M468=0, 0, IF(OR($K$6="Square Grid", M468=1), INT($G$7/H468), IF($G$7&lt;H468, 0, 1+INT(($G$7-H468)/(0.8660254*H468)))))</f>
        <v/>
      </c>
      <c r="O468" s="48">
        <f>IF(OR(M468=0,N468=0), 0, IF(OR($K$6="Square Grid", M468=1), M468*N468*$K$5, (INT((N468+1)/2)*M468 + INT(N468/2)*IF(($G$6-M468*H468)&gt;=0.5*H468, M468, M468-1))*$K$5))</f>
        <v/>
      </c>
      <c r="P468" s="48">
        <f>IF(L468&lt;=0, 0, INT($G$8/L468))</f>
        <v/>
      </c>
      <c r="Q468" s="42">
        <f>MIN(O468, P468)</f>
        <v/>
      </c>
      <c r="R468" s="43">
        <f>ROUND((Q468*L468)/1000, 2)</f>
        <v/>
      </c>
      <c r="S468" s="49">
        <f>IF($C$8&gt;0, R468/$C$8, 0)</f>
        <v/>
      </c>
      <c r="T468" s="49">
        <f>IF(O468&gt;0, Q468/O468, 0)</f>
        <v/>
      </c>
      <c r="U468" s="18">
        <f>IF(Q468=0, "Exceeds Limit", IF(P468&lt;=O468, "Weight Limited", "Volume Limited"))</f>
        <v/>
      </c>
    </row>
    <row r="469" ht="19" customHeight="1">
      <c r="A469" s="38" t="n">
        <v>459</v>
      </c>
      <c r="B469" s="51" t="inlineStr">
        <is>
          <t>Stainless Steel 304</t>
        </is>
      </c>
      <c r="C469" s="13" t="inlineStr">
        <is>
          <t>ASME B36.19M</t>
        </is>
      </c>
      <c r="D469" s="12" t="inlineStr">
        <is>
          <t>22''</t>
        </is>
      </c>
      <c r="E469" s="38" t="n">
        <v>550</v>
      </c>
      <c r="F469" s="12" t="inlineStr">
        <is>
          <t>XS</t>
        </is>
      </c>
      <c r="G469" s="14" t="n">
        <v>22</v>
      </c>
      <c r="H469" s="40" t="n">
        <v>558.8</v>
      </c>
      <c r="I469" s="14" t="n">
        <v>0.5</v>
      </c>
      <c r="J469" s="40" t="n">
        <v>12.7</v>
      </c>
      <c r="K469" s="14">
        <f>ROUND((H469-J469)*J469*IF(B469="Carbon Steel",$K$7,IF(B469="Stainless Steel 304",$K$8,$L$8)), 3)</f>
        <v/>
      </c>
      <c r="L469" s="40">
        <f>ROUND(K469*$G$5, 2)</f>
        <v/>
      </c>
      <c r="M469" s="38">
        <f>INT($G$6/H469)</f>
        <v/>
      </c>
      <c r="N469" s="38">
        <f>IF(M469=0, 0, IF(OR($K$6="Square Grid", M469=1), INT($G$7/H469), IF($G$7&lt;H469, 0, 1+INT(($G$7-H469)/(0.8660254*H469)))))</f>
        <v/>
      </c>
      <c r="O469" s="41">
        <f>IF(OR(M469=0,N469=0), 0, IF(OR($K$6="Square Grid", M469=1), M469*N469*$K$5, (INT((N469+1)/2)*M469 + INT(N469/2)*IF(($G$6-M469*H469)&gt;=0.5*H469, M469, M469-1))*$K$5))</f>
        <v/>
      </c>
      <c r="P469" s="41">
        <f>IF(L469&lt;=0, 0, INT($G$8/L469))</f>
        <v/>
      </c>
      <c r="Q469" s="42">
        <f>MIN(O469, P469)</f>
        <v/>
      </c>
      <c r="R469" s="43">
        <f>ROUND((Q469*L469)/1000, 2)</f>
        <v/>
      </c>
      <c r="S469" s="44">
        <f>IF($C$8&gt;0, R469/$C$8, 0)</f>
        <v/>
      </c>
      <c r="T469" s="44">
        <f>IF(O469&gt;0, Q469/O469, 0)</f>
        <v/>
      </c>
      <c r="U469" s="12">
        <f>IF(Q469=0, "Exceeds Limit", IF(P469&lt;=O469, "Weight Limited", "Volume Limited"))</f>
        <v/>
      </c>
    </row>
    <row r="470" ht="19" customHeight="1">
      <c r="A470" s="45" t="n">
        <v>460</v>
      </c>
      <c r="B470" s="50" t="inlineStr">
        <is>
          <t>Stainless Steel 304</t>
        </is>
      </c>
      <c r="C470" s="19" t="inlineStr">
        <is>
          <t>ASME B36.19M</t>
        </is>
      </c>
      <c r="D470" s="18" t="inlineStr">
        <is>
          <t>22''</t>
        </is>
      </c>
      <c r="E470" s="45" t="n">
        <v>550</v>
      </c>
      <c r="F470" s="18" t="inlineStr">
        <is>
          <t>160</t>
        </is>
      </c>
      <c r="G470" s="20" t="n">
        <v>22</v>
      </c>
      <c r="H470" s="47" t="n">
        <v>558.8</v>
      </c>
      <c r="I470" s="20" t="n">
        <v>2.125</v>
      </c>
      <c r="J470" s="47" t="n">
        <v>53.97</v>
      </c>
      <c r="K470" s="20">
        <f>ROUND((H470-J470)*J470*IF(B470="Carbon Steel",$K$7,IF(B470="Stainless Steel 304",$K$8,$L$8)), 3)</f>
        <v/>
      </c>
      <c r="L470" s="47">
        <f>ROUND(K470*$G$5, 2)</f>
        <v/>
      </c>
      <c r="M470" s="45">
        <f>INT($G$6/H470)</f>
        <v/>
      </c>
      <c r="N470" s="45">
        <f>IF(M470=0, 0, IF(OR($K$6="Square Grid", M470=1), INT($G$7/H470), IF($G$7&lt;H470, 0, 1+INT(($G$7-H470)/(0.8660254*H470)))))</f>
        <v/>
      </c>
      <c r="O470" s="48">
        <f>IF(OR(M470=0,N470=0), 0, IF(OR($K$6="Square Grid", M470=1), M470*N470*$K$5, (INT((N470+1)/2)*M470 + INT(N470/2)*IF(($G$6-M470*H470)&gt;=0.5*H470, M470, M470-1))*$K$5))</f>
        <v/>
      </c>
      <c r="P470" s="48">
        <f>IF(L470&lt;=0, 0, INT($G$8/L470))</f>
        <v/>
      </c>
      <c r="Q470" s="42">
        <f>MIN(O470, P470)</f>
        <v/>
      </c>
      <c r="R470" s="43">
        <f>ROUND((Q470*L470)/1000, 2)</f>
        <v/>
      </c>
      <c r="S470" s="49">
        <f>IF($C$8&gt;0, R470/$C$8, 0)</f>
        <v/>
      </c>
      <c r="T470" s="49">
        <f>IF(O470&gt;0, Q470/O470, 0)</f>
        <v/>
      </c>
      <c r="U470" s="18">
        <f>IF(Q470=0, "Exceeds Limit", IF(P470&lt;=O470, "Weight Limited", "Volume Limited"))</f>
        <v/>
      </c>
    </row>
    <row r="471" ht="19" customHeight="1">
      <c r="A471" s="38" t="n">
        <v>461</v>
      </c>
      <c r="B471" s="51" t="inlineStr">
        <is>
          <t>Stainless Steel 304</t>
        </is>
      </c>
      <c r="C471" s="13" t="inlineStr">
        <is>
          <t>ASME B36.19M</t>
        </is>
      </c>
      <c r="D471" s="12" t="inlineStr">
        <is>
          <t>24''</t>
        </is>
      </c>
      <c r="E471" s="38" t="n">
        <v>600</v>
      </c>
      <c r="F471" s="12" t="inlineStr">
        <is>
          <t>5S</t>
        </is>
      </c>
      <c r="G471" s="14" t="n">
        <v>24</v>
      </c>
      <c r="H471" s="40" t="n">
        <v>609.6</v>
      </c>
      <c r="I471" s="14" t="n">
        <v>0.218</v>
      </c>
      <c r="J471" s="40" t="n">
        <v>5.54</v>
      </c>
      <c r="K471" s="14">
        <f>ROUND((H471-J471)*J471*IF(B471="Carbon Steel",$K$7,IF(B471="Stainless Steel 304",$K$8,$L$8)), 3)</f>
        <v/>
      </c>
      <c r="L471" s="40">
        <f>ROUND(K471*$G$5, 2)</f>
        <v/>
      </c>
      <c r="M471" s="38">
        <f>INT($G$6/H471)</f>
        <v/>
      </c>
      <c r="N471" s="38">
        <f>IF(M471=0, 0, IF(OR($K$6="Square Grid", M471=1), INT($G$7/H471), IF($G$7&lt;H471, 0, 1+INT(($G$7-H471)/(0.8660254*H471)))))</f>
        <v/>
      </c>
      <c r="O471" s="41">
        <f>IF(OR(M471=0,N471=0), 0, IF(OR($K$6="Square Grid", M471=1), M471*N471*$K$5, (INT((N471+1)/2)*M471 + INT(N471/2)*IF(($G$6-M471*H471)&gt;=0.5*H471, M471, M471-1))*$K$5))</f>
        <v/>
      </c>
      <c r="P471" s="41">
        <f>IF(L471&lt;=0, 0, INT($G$8/L471))</f>
        <v/>
      </c>
      <c r="Q471" s="42">
        <f>MIN(O471, P471)</f>
        <v/>
      </c>
      <c r="R471" s="43">
        <f>ROUND((Q471*L471)/1000, 2)</f>
        <v/>
      </c>
      <c r="S471" s="44">
        <f>IF($C$8&gt;0, R471/$C$8, 0)</f>
        <v/>
      </c>
      <c r="T471" s="44">
        <f>IF(O471&gt;0, Q471/O471, 0)</f>
        <v/>
      </c>
      <c r="U471" s="12">
        <f>IF(Q471=0, "Exceeds Limit", IF(P471&lt;=O471, "Weight Limited", "Volume Limited"))</f>
        <v/>
      </c>
    </row>
    <row r="472" ht="19" customHeight="1">
      <c r="A472" s="45" t="n">
        <v>462</v>
      </c>
      <c r="B472" s="50" t="inlineStr">
        <is>
          <t>Stainless Steel 304</t>
        </is>
      </c>
      <c r="C472" s="19" t="inlineStr">
        <is>
          <t>ASME B36.19M</t>
        </is>
      </c>
      <c r="D472" s="18" t="inlineStr">
        <is>
          <t>24''</t>
        </is>
      </c>
      <c r="E472" s="45" t="n">
        <v>600</v>
      </c>
      <c r="F472" s="18" t="inlineStr">
        <is>
          <t>10S</t>
        </is>
      </c>
      <c r="G472" s="20" t="n">
        <v>24</v>
      </c>
      <c r="H472" s="47" t="n">
        <v>609.6</v>
      </c>
      <c r="I472" s="20" t="n">
        <v>0.25</v>
      </c>
      <c r="J472" s="47" t="n">
        <v>6.35</v>
      </c>
      <c r="K472" s="20">
        <f>ROUND((H472-J472)*J472*IF(B472="Carbon Steel",$K$7,IF(B472="Stainless Steel 304",$K$8,$L$8)), 3)</f>
        <v/>
      </c>
      <c r="L472" s="47">
        <f>ROUND(K472*$G$5, 2)</f>
        <v/>
      </c>
      <c r="M472" s="45">
        <f>INT($G$6/H472)</f>
        <v/>
      </c>
      <c r="N472" s="45">
        <f>IF(M472=0, 0, IF(OR($K$6="Square Grid", M472=1), INT($G$7/H472), IF($G$7&lt;H472, 0, 1+INT(($G$7-H472)/(0.8660254*H472)))))</f>
        <v/>
      </c>
      <c r="O472" s="48">
        <f>IF(OR(M472=0,N472=0), 0, IF(OR($K$6="Square Grid", M472=1), M472*N472*$K$5, (INT((N472+1)/2)*M472 + INT(N472/2)*IF(($G$6-M472*H472)&gt;=0.5*H472, M472, M472-1))*$K$5))</f>
        <v/>
      </c>
      <c r="P472" s="48">
        <f>IF(L472&lt;=0, 0, INT($G$8/L472))</f>
        <v/>
      </c>
      <c r="Q472" s="42">
        <f>MIN(O472, P472)</f>
        <v/>
      </c>
      <c r="R472" s="43">
        <f>ROUND((Q472*L472)/1000, 2)</f>
        <v/>
      </c>
      <c r="S472" s="49">
        <f>IF($C$8&gt;0, R472/$C$8, 0)</f>
        <v/>
      </c>
      <c r="T472" s="49">
        <f>IF(O472&gt;0, Q472/O472, 0)</f>
        <v/>
      </c>
      <c r="U472" s="18">
        <f>IF(Q472=0, "Exceeds Limit", IF(P472&lt;=O472, "Weight Limited", "Volume Limited"))</f>
        <v/>
      </c>
    </row>
    <row r="473" ht="19" customHeight="1">
      <c r="A473" s="38" t="n">
        <v>463</v>
      </c>
      <c r="B473" s="51" t="inlineStr">
        <is>
          <t>Stainless Steel 304</t>
        </is>
      </c>
      <c r="C473" s="13" t="inlineStr">
        <is>
          <t>ASME B36.19M</t>
        </is>
      </c>
      <c r="D473" s="12" t="inlineStr">
        <is>
          <t>24''</t>
        </is>
      </c>
      <c r="E473" s="38" t="n">
        <v>600</v>
      </c>
      <c r="F473" s="12" t="inlineStr">
        <is>
          <t>40S</t>
        </is>
      </c>
      <c r="G473" s="14" t="n">
        <v>24</v>
      </c>
      <c r="H473" s="40" t="n">
        <v>609.6</v>
      </c>
      <c r="I473" s="14" t="n">
        <v>0.375</v>
      </c>
      <c r="J473" s="40" t="n">
        <v>9.52</v>
      </c>
      <c r="K473" s="14">
        <f>ROUND((H473-J473)*J473*IF(B473="Carbon Steel",$K$7,IF(B473="Stainless Steel 304",$K$8,$L$8)), 3)</f>
        <v/>
      </c>
      <c r="L473" s="40">
        <f>ROUND(K473*$G$5, 2)</f>
        <v/>
      </c>
      <c r="M473" s="38">
        <f>INT($G$6/H473)</f>
        <v/>
      </c>
      <c r="N473" s="38">
        <f>IF(M473=0, 0, IF(OR($K$6="Square Grid", M473=1), INT($G$7/H473), IF($G$7&lt;H473, 0, 1+INT(($G$7-H473)/(0.8660254*H473)))))</f>
        <v/>
      </c>
      <c r="O473" s="41">
        <f>IF(OR(M473=0,N473=0), 0, IF(OR($K$6="Square Grid", M473=1), M473*N473*$K$5, (INT((N473+1)/2)*M473 + INT(N473/2)*IF(($G$6-M473*H473)&gt;=0.5*H473, M473, M473-1))*$K$5))</f>
        <v/>
      </c>
      <c r="P473" s="41">
        <f>IF(L473&lt;=0, 0, INT($G$8/L473))</f>
        <v/>
      </c>
      <c r="Q473" s="42">
        <f>MIN(O473, P473)</f>
        <v/>
      </c>
      <c r="R473" s="43">
        <f>ROUND((Q473*L473)/1000, 2)</f>
        <v/>
      </c>
      <c r="S473" s="44">
        <f>IF($C$8&gt;0, R473/$C$8, 0)</f>
        <v/>
      </c>
      <c r="T473" s="44">
        <f>IF(O473&gt;0, Q473/O473, 0)</f>
        <v/>
      </c>
      <c r="U473" s="12">
        <f>IF(Q473=0, "Exceeds Limit", IF(P473&lt;=O473, "Weight Limited", "Volume Limited"))</f>
        <v/>
      </c>
    </row>
    <row r="474" ht="19" customHeight="1">
      <c r="A474" s="45" t="n">
        <v>464</v>
      </c>
      <c r="B474" s="50" t="inlineStr">
        <is>
          <t>Stainless Steel 304</t>
        </is>
      </c>
      <c r="C474" s="19" t="inlineStr">
        <is>
          <t>ASME B36.19M</t>
        </is>
      </c>
      <c r="D474" s="18" t="inlineStr">
        <is>
          <t>24''</t>
        </is>
      </c>
      <c r="E474" s="45" t="n">
        <v>600</v>
      </c>
      <c r="F474" s="18" t="inlineStr">
        <is>
          <t>80S</t>
        </is>
      </c>
      <c r="G474" s="20" t="n">
        <v>24</v>
      </c>
      <c r="H474" s="47" t="n">
        <v>609.6</v>
      </c>
      <c r="I474" s="20" t="n">
        <v>0.5</v>
      </c>
      <c r="J474" s="47" t="n">
        <v>12.7</v>
      </c>
      <c r="K474" s="20">
        <f>ROUND((H474-J474)*J474*IF(B474="Carbon Steel",$K$7,IF(B474="Stainless Steel 304",$K$8,$L$8)), 3)</f>
        <v/>
      </c>
      <c r="L474" s="47">
        <f>ROUND(K474*$G$5, 2)</f>
        <v/>
      </c>
      <c r="M474" s="45">
        <f>INT($G$6/H474)</f>
        <v/>
      </c>
      <c r="N474" s="45">
        <f>IF(M474=0, 0, IF(OR($K$6="Square Grid", M474=1), INT($G$7/H474), IF($G$7&lt;H474, 0, 1+INT(($G$7-H474)/(0.8660254*H474)))))</f>
        <v/>
      </c>
      <c r="O474" s="48">
        <f>IF(OR(M474=0,N474=0), 0, IF(OR($K$6="Square Grid", M474=1), M474*N474*$K$5, (INT((N474+1)/2)*M474 + INT(N474/2)*IF(($G$6-M474*H474)&gt;=0.5*H474, M474, M474-1))*$K$5))</f>
        <v/>
      </c>
      <c r="P474" s="48">
        <f>IF(L474&lt;=0, 0, INT($G$8/L474))</f>
        <v/>
      </c>
      <c r="Q474" s="42">
        <f>MIN(O474, P474)</f>
        <v/>
      </c>
      <c r="R474" s="43">
        <f>ROUND((Q474*L474)/1000, 2)</f>
        <v/>
      </c>
      <c r="S474" s="49">
        <f>IF($C$8&gt;0, R474/$C$8, 0)</f>
        <v/>
      </c>
      <c r="T474" s="49">
        <f>IF(O474&gt;0, Q474/O474, 0)</f>
        <v/>
      </c>
      <c r="U474" s="18">
        <f>IF(Q474=0, "Exceeds Limit", IF(P474&lt;=O474, "Weight Limited", "Volume Limited"))</f>
        <v/>
      </c>
    </row>
    <row r="475" ht="19" customHeight="1">
      <c r="A475" s="38" t="n">
        <v>465</v>
      </c>
      <c r="B475" s="51" t="inlineStr">
        <is>
          <t>Stainless Steel 304</t>
        </is>
      </c>
      <c r="C475" s="13" t="inlineStr">
        <is>
          <t>ASME B36.19M</t>
        </is>
      </c>
      <c r="D475" s="12" t="inlineStr">
        <is>
          <t>24''</t>
        </is>
      </c>
      <c r="E475" s="38" t="n">
        <v>600</v>
      </c>
      <c r="F475" s="12" t="inlineStr">
        <is>
          <t>STD</t>
        </is>
      </c>
      <c r="G475" s="14" t="n">
        <v>24</v>
      </c>
      <c r="H475" s="40" t="n">
        <v>609.6</v>
      </c>
      <c r="I475" s="14" t="n">
        <v>0.375</v>
      </c>
      <c r="J475" s="40" t="n">
        <v>9.52</v>
      </c>
      <c r="K475" s="14">
        <f>ROUND((H475-J475)*J475*IF(B475="Carbon Steel",$K$7,IF(B475="Stainless Steel 304",$K$8,$L$8)), 3)</f>
        <v/>
      </c>
      <c r="L475" s="40">
        <f>ROUND(K475*$G$5, 2)</f>
        <v/>
      </c>
      <c r="M475" s="38">
        <f>INT($G$6/H475)</f>
        <v/>
      </c>
      <c r="N475" s="38">
        <f>IF(M475=0, 0, IF(OR($K$6="Square Grid", M475=1), INT($G$7/H475), IF($G$7&lt;H475, 0, 1+INT(($G$7-H475)/(0.8660254*H475)))))</f>
        <v/>
      </c>
      <c r="O475" s="41">
        <f>IF(OR(M475=0,N475=0), 0, IF(OR($K$6="Square Grid", M475=1), M475*N475*$K$5, (INT((N475+1)/2)*M475 + INT(N475/2)*IF(($G$6-M475*H475)&gt;=0.5*H475, M475, M475-1))*$K$5))</f>
        <v/>
      </c>
      <c r="P475" s="41">
        <f>IF(L475&lt;=0, 0, INT($G$8/L475))</f>
        <v/>
      </c>
      <c r="Q475" s="42">
        <f>MIN(O475, P475)</f>
        <v/>
      </c>
      <c r="R475" s="43">
        <f>ROUND((Q475*L475)/1000, 2)</f>
        <v/>
      </c>
      <c r="S475" s="44">
        <f>IF($C$8&gt;0, R475/$C$8, 0)</f>
        <v/>
      </c>
      <c r="T475" s="44">
        <f>IF(O475&gt;0, Q475/O475, 0)</f>
        <v/>
      </c>
      <c r="U475" s="12">
        <f>IF(Q475=0, "Exceeds Limit", IF(P475&lt;=O475, "Weight Limited", "Volume Limited"))</f>
        <v/>
      </c>
    </row>
    <row r="476" ht="19" customHeight="1">
      <c r="A476" s="45" t="n">
        <v>466</v>
      </c>
      <c r="B476" s="50" t="inlineStr">
        <is>
          <t>Stainless Steel 304</t>
        </is>
      </c>
      <c r="C476" s="19" t="inlineStr">
        <is>
          <t>ASME B36.19M</t>
        </is>
      </c>
      <c r="D476" s="18" t="inlineStr">
        <is>
          <t>24''</t>
        </is>
      </c>
      <c r="E476" s="45" t="n">
        <v>600</v>
      </c>
      <c r="F476" s="18" t="inlineStr">
        <is>
          <t>XS</t>
        </is>
      </c>
      <c r="G476" s="20" t="n">
        <v>24</v>
      </c>
      <c r="H476" s="47" t="n">
        <v>609.6</v>
      </c>
      <c r="I476" s="20" t="n">
        <v>0.5</v>
      </c>
      <c r="J476" s="47" t="n">
        <v>12.7</v>
      </c>
      <c r="K476" s="20">
        <f>ROUND((H476-J476)*J476*IF(B476="Carbon Steel",$K$7,IF(B476="Stainless Steel 304",$K$8,$L$8)), 3)</f>
        <v/>
      </c>
      <c r="L476" s="47">
        <f>ROUND(K476*$G$5, 2)</f>
        <v/>
      </c>
      <c r="M476" s="45">
        <f>INT($G$6/H476)</f>
        <v/>
      </c>
      <c r="N476" s="45">
        <f>IF(M476=0, 0, IF(OR($K$6="Square Grid", M476=1), INT($G$7/H476), IF($G$7&lt;H476, 0, 1+INT(($G$7-H476)/(0.8660254*H476)))))</f>
        <v/>
      </c>
      <c r="O476" s="48">
        <f>IF(OR(M476=0,N476=0), 0, IF(OR($K$6="Square Grid", M476=1), M476*N476*$K$5, (INT((N476+1)/2)*M476 + INT(N476/2)*IF(($G$6-M476*H476)&gt;=0.5*H476, M476, M476-1))*$K$5))</f>
        <v/>
      </c>
      <c r="P476" s="48">
        <f>IF(L476&lt;=0, 0, INT($G$8/L476))</f>
        <v/>
      </c>
      <c r="Q476" s="42">
        <f>MIN(O476, P476)</f>
        <v/>
      </c>
      <c r="R476" s="43">
        <f>ROUND((Q476*L476)/1000, 2)</f>
        <v/>
      </c>
      <c r="S476" s="49">
        <f>IF($C$8&gt;0, R476/$C$8, 0)</f>
        <v/>
      </c>
      <c r="T476" s="49">
        <f>IF(O476&gt;0, Q476/O476, 0)</f>
        <v/>
      </c>
      <c r="U476" s="18">
        <f>IF(Q476=0, "Exceeds Limit", IF(P476&lt;=O476, "Weight Limited", "Volume Limited"))</f>
        <v/>
      </c>
    </row>
    <row r="477" ht="19" customHeight="1">
      <c r="A477" s="38" t="n">
        <v>467</v>
      </c>
      <c r="B477" s="51" t="inlineStr">
        <is>
          <t>Stainless Steel 304</t>
        </is>
      </c>
      <c r="C477" s="13" t="inlineStr">
        <is>
          <t>ASME B36.19M</t>
        </is>
      </c>
      <c r="D477" s="12" t="inlineStr">
        <is>
          <t>24''</t>
        </is>
      </c>
      <c r="E477" s="38" t="n">
        <v>600</v>
      </c>
      <c r="F477" s="12" t="inlineStr">
        <is>
          <t>160</t>
        </is>
      </c>
      <c r="G477" s="14" t="n">
        <v>24</v>
      </c>
      <c r="H477" s="40" t="n">
        <v>609.6</v>
      </c>
      <c r="I477" s="14" t="n">
        <v>2.344</v>
      </c>
      <c r="J477" s="40" t="n">
        <v>59.54</v>
      </c>
      <c r="K477" s="14">
        <f>ROUND((H477-J477)*J477*IF(B477="Carbon Steel",$K$7,IF(B477="Stainless Steel 304",$K$8,$L$8)), 3)</f>
        <v/>
      </c>
      <c r="L477" s="40">
        <f>ROUND(K477*$G$5, 2)</f>
        <v/>
      </c>
      <c r="M477" s="38">
        <f>INT($G$6/H477)</f>
        <v/>
      </c>
      <c r="N477" s="38">
        <f>IF(M477=0, 0, IF(OR($K$6="Square Grid", M477=1), INT($G$7/H477), IF($G$7&lt;H477, 0, 1+INT(($G$7-H477)/(0.8660254*H477)))))</f>
        <v/>
      </c>
      <c r="O477" s="41">
        <f>IF(OR(M477=0,N477=0), 0, IF(OR($K$6="Square Grid", M477=1), M477*N477*$K$5, (INT((N477+1)/2)*M477 + INT(N477/2)*IF(($G$6-M477*H477)&gt;=0.5*H477, M477, M477-1))*$K$5))</f>
        <v/>
      </c>
      <c r="P477" s="41">
        <f>IF(L477&lt;=0, 0, INT($G$8/L477))</f>
        <v/>
      </c>
      <c r="Q477" s="42">
        <f>MIN(O477, P477)</f>
        <v/>
      </c>
      <c r="R477" s="43">
        <f>ROUND((Q477*L477)/1000, 2)</f>
        <v/>
      </c>
      <c r="S477" s="44">
        <f>IF($C$8&gt;0, R477/$C$8, 0)</f>
        <v/>
      </c>
      <c r="T477" s="44">
        <f>IF(O477&gt;0, Q477/O477, 0)</f>
        <v/>
      </c>
      <c r="U477" s="12">
        <f>IF(Q477=0, "Exceeds Limit", IF(P477&lt;=O477, "Weight Limited", "Volume Limited"))</f>
        <v/>
      </c>
    </row>
    <row r="478" ht="19" customHeight="1">
      <c r="A478" s="45" t="n">
        <v>468</v>
      </c>
      <c r="B478" s="50" t="inlineStr">
        <is>
          <t>Stainless Steel 304</t>
        </is>
      </c>
      <c r="C478" s="19" t="inlineStr">
        <is>
          <t>ASME B36.19M</t>
        </is>
      </c>
      <c r="D478" s="18" t="inlineStr">
        <is>
          <t>26''</t>
        </is>
      </c>
      <c r="E478" s="45" t="n">
        <v>650</v>
      </c>
      <c r="F478" s="18" t="inlineStr">
        <is>
          <t>STD</t>
        </is>
      </c>
      <c r="G478" s="20" t="n">
        <v>26</v>
      </c>
      <c r="H478" s="47" t="n">
        <v>660.4</v>
      </c>
      <c r="I478" s="20" t="n">
        <v>0.375</v>
      </c>
      <c r="J478" s="47" t="n">
        <v>9.52</v>
      </c>
      <c r="K478" s="20">
        <f>ROUND((H478-J478)*J478*IF(B478="Carbon Steel",$K$7,IF(B478="Stainless Steel 304",$K$8,$L$8)), 3)</f>
        <v/>
      </c>
      <c r="L478" s="47">
        <f>ROUND(K478*$G$5, 2)</f>
        <v/>
      </c>
      <c r="M478" s="45">
        <f>INT($G$6/H478)</f>
        <v/>
      </c>
      <c r="N478" s="45">
        <f>IF(M478=0, 0, IF(OR($K$6="Square Grid", M478=1), INT($G$7/H478), IF($G$7&lt;H478, 0, 1+INT(($G$7-H478)/(0.8660254*H478)))))</f>
        <v/>
      </c>
      <c r="O478" s="48">
        <f>IF(OR(M478=0,N478=0), 0, IF(OR($K$6="Square Grid", M478=1), M478*N478*$K$5, (INT((N478+1)/2)*M478 + INT(N478/2)*IF(($G$6-M478*H478)&gt;=0.5*H478, M478, M478-1))*$K$5))</f>
        <v/>
      </c>
      <c r="P478" s="48">
        <f>IF(L478&lt;=0, 0, INT($G$8/L478))</f>
        <v/>
      </c>
      <c r="Q478" s="42">
        <f>MIN(O478, P478)</f>
        <v/>
      </c>
      <c r="R478" s="43">
        <f>ROUND((Q478*L478)/1000, 2)</f>
        <v/>
      </c>
      <c r="S478" s="49">
        <f>IF($C$8&gt;0, R478/$C$8, 0)</f>
        <v/>
      </c>
      <c r="T478" s="49">
        <f>IF(O478&gt;0, Q478/O478, 0)</f>
        <v/>
      </c>
      <c r="U478" s="18">
        <f>IF(Q478=0, "Exceeds Limit", IF(P478&lt;=O478, "Weight Limited", "Volume Limited"))</f>
        <v/>
      </c>
    </row>
    <row r="479" ht="19" customHeight="1">
      <c r="A479" s="38" t="n">
        <v>469</v>
      </c>
      <c r="B479" s="51" t="inlineStr">
        <is>
          <t>Stainless Steel 304</t>
        </is>
      </c>
      <c r="C479" s="13" t="inlineStr">
        <is>
          <t>ASME B36.19M</t>
        </is>
      </c>
      <c r="D479" s="12" t="inlineStr">
        <is>
          <t>26''</t>
        </is>
      </c>
      <c r="E479" s="38" t="n">
        <v>650</v>
      </c>
      <c r="F479" s="12" t="inlineStr">
        <is>
          <t>XS</t>
        </is>
      </c>
      <c r="G479" s="14" t="n">
        <v>26</v>
      </c>
      <c r="H479" s="40" t="n">
        <v>660.4</v>
      </c>
      <c r="I479" s="14" t="n">
        <v>0.5</v>
      </c>
      <c r="J479" s="40" t="n">
        <v>12.7</v>
      </c>
      <c r="K479" s="14">
        <f>ROUND((H479-J479)*J479*IF(B479="Carbon Steel",$K$7,IF(B479="Stainless Steel 304",$K$8,$L$8)), 3)</f>
        <v/>
      </c>
      <c r="L479" s="40">
        <f>ROUND(K479*$G$5, 2)</f>
        <v/>
      </c>
      <c r="M479" s="38">
        <f>INT($G$6/H479)</f>
        <v/>
      </c>
      <c r="N479" s="38">
        <f>IF(M479=0, 0, IF(OR($K$6="Square Grid", M479=1), INT($G$7/H479), IF($G$7&lt;H479, 0, 1+INT(($G$7-H479)/(0.8660254*H479)))))</f>
        <v/>
      </c>
      <c r="O479" s="41">
        <f>IF(OR(M479=0,N479=0), 0, IF(OR($K$6="Square Grid", M479=1), M479*N479*$K$5, (INT((N479+1)/2)*M479 + INT(N479/2)*IF(($G$6-M479*H479)&gt;=0.5*H479, M479, M479-1))*$K$5))</f>
        <v/>
      </c>
      <c r="P479" s="41">
        <f>IF(L479&lt;=0, 0, INT($G$8/L479))</f>
        <v/>
      </c>
      <c r="Q479" s="42">
        <f>MIN(O479, P479)</f>
        <v/>
      </c>
      <c r="R479" s="43">
        <f>ROUND((Q479*L479)/1000, 2)</f>
        <v/>
      </c>
      <c r="S479" s="44">
        <f>IF($C$8&gt;0, R479/$C$8, 0)</f>
        <v/>
      </c>
      <c r="T479" s="44">
        <f>IF(O479&gt;0, Q479/O479, 0)</f>
        <v/>
      </c>
      <c r="U479" s="12">
        <f>IF(Q479=0, "Exceeds Limit", IF(P479&lt;=O479, "Weight Limited", "Volume Limited"))</f>
        <v/>
      </c>
    </row>
    <row r="480" ht="19" customHeight="1">
      <c r="A480" s="45" t="n">
        <v>470</v>
      </c>
      <c r="B480" s="50" t="inlineStr">
        <is>
          <t>Stainless Steel 304</t>
        </is>
      </c>
      <c r="C480" s="19" t="inlineStr">
        <is>
          <t>ASME B36.19M</t>
        </is>
      </c>
      <c r="D480" s="18" t="inlineStr">
        <is>
          <t>28''</t>
        </is>
      </c>
      <c r="E480" s="45" t="n">
        <v>700</v>
      </c>
      <c r="F480" s="18" t="inlineStr">
        <is>
          <t>STD</t>
        </is>
      </c>
      <c r="G480" s="20" t="n">
        <v>28</v>
      </c>
      <c r="H480" s="47" t="n">
        <v>711.2</v>
      </c>
      <c r="I480" s="20" t="n">
        <v>0.375</v>
      </c>
      <c r="J480" s="47" t="n">
        <v>9.52</v>
      </c>
      <c r="K480" s="20">
        <f>ROUND((H480-J480)*J480*IF(B480="Carbon Steel",$K$7,IF(B480="Stainless Steel 304",$K$8,$L$8)), 3)</f>
        <v/>
      </c>
      <c r="L480" s="47">
        <f>ROUND(K480*$G$5, 2)</f>
        <v/>
      </c>
      <c r="M480" s="45">
        <f>INT($G$6/H480)</f>
        <v/>
      </c>
      <c r="N480" s="45">
        <f>IF(M480=0, 0, IF(OR($K$6="Square Grid", M480=1), INT($G$7/H480), IF($G$7&lt;H480, 0, 1+INT(($G$7-H480)/(0.8660254*H480)))))</f>
        <v/>
      </c>
      <c r="O480" s="48">
        <f>IF(OR(M480=0,N480=0), 0, IF(OR($K$6="Square Grid", M480=1), M480*N480*$K$5, (INT((N480+1)/2)*M480 + INT(N480/2)*IF(($G$6-M480*H480)&gt;=0.5*H480, M480, M480-1))*$K$5))</f>
        <v/>
      </c>
      <c r="P480" s="48">
        <f>IF(L480&lt;=0, 0, INT($G$8/L480))</f>
        <v/>
      </c>
      <c r="Q480" s="42">
        <f>MIN(O480, P480)</f>
        <v/>
      </c>
      <c r="R480" s="43">
        <f>ROUND((Q480*L480)/1000, 2)</f>
        <v/>
      </c>
      <c r="S480" s="49">
        <f>IF($C$8&gt;0, R480/$C$8, 0)</f>
        <v/>
      </c>
      <c r="T480" s="49">
        <f>IF(O480&gt;0, Q480/O480, 0)</f>
        <v/>
      </c>
      <c r="U480" s="18">
        <f>IF(Q480=0, "Exceeds Limit", IF(P480&lt;=O480, "Weight Limited", "Volume Limited"))</f>
        <v/>
      </c>
    </row>
    <row r="481" ht="19" customHeight="1">
      <c r="A481" s="38" t="n">
        <v>471</v>
      </c>
      <c r="B481" s="51" t="inlineStr">
        <is>
          <t>Stainless Steel 304</t>
        </is>
      </c>
      <c r="C481" s="13" t="inlineStr">
        <is>
          <t>ASME B36.19M</t>
        </is>
      </c>
      <c r="D481" s="12" t="inlineStr">
        <is>
          <t>28''</t>
        </is>
      </c>
      <c r="E481" s="38" t="n">
        <v>700</v>
      </c>
      <c r="F481" s="12" t="inlineStr">
        <is>
          <t>XS</t>
        </is>
      </c>
      <c r="G481" s="14" t="n">
        <v>28</v>
      </c>
      <c r="H481" s="40" t="n">
        <v>711.2</v>
      </c>
      <c r="I481" s="14" t="n">
        <v>0.5</v>
      </c>
      <c r="J481" s="40" t="n">
        <v>12.7</v>
      </c>
      <c r="K481" s="14">
        <f>ROUND((H481-J481)*J481*IF(B481="Carbon Steel",$K$7,IF(B481="Stainless Steel 304",$K$8,$L$8)), 3)</f>
        <v/>
      </c>
      <c r="L481" s="40">
        <f>ROUND(K481*$G$5, 2)</f>
        <v/>
      </c>
      <c r="M481" s="38">
        <f>INT($G$6/H481)</f>
        <v/>
      </c>
      <c r="N481" s="38">
        <f>IF(M481=0, 0, IF(OR($K$6="Square Grid", M481=1), INT($G$7/H481), IF($G$7&lt;H481, 0, 1+INT(($G$7-H481)/(0.8660254*H481)))))</f>
        <v/>
      </c>
      <c r="O481" s="41">
        <f>IF(OR(M481=0,N481=0), 0, IF(OR($K$6="Square Grid", M481=1), M481*N481*$K$5, (INT((N481+1)/2)*M481 + INT(N481/2)*IF(($G$6-M481*H481)&gt;=0.5*H481, M481, M481-1))*$K$5))</f>
        <v/>
      </c>
      <c r="P481" s="41">
        <f>IF(L481&lt;=0, 0, INT($G$8/L481))</f>
        <v/>
      </c>
      <c r="Q481" s="42">
        <f>MIN(O481, P481)</f>
        <v/>
      </c>
      <c r="R481" s="43">
        <f>ROUND((Q481*L481)/1000, 2)</f>
        <v/>
      </c>
      <c r="S481" s="44">
        <f>IF($C$8&gt;0, R481/$C$8, 0)</f>
        <v/>
      </c>
      <c r="T481" s="44">
        <f>IF(O481&gt;0, Q481/O481, 0)</f>
        <v/>
      </c>
      <c r="U481" s="12">
        <f>IF(Q481=0, "Exceeds Limit", IF(P481&lt;=O481, "Weight Limited", "Volume Limited"))</f>
        <v/>
      </c>
    </row>
    <row r="482" ht="19" customHeight="1">
      <c r="A482" s="45" t="n">
        <v>472</v>
      </c>
      <c r="B482" s="50" t="inlineStr">
        <is>
          <t>Stainless Steel 304</t>
        </is>
      </c>
      <c r="C482" s="19" t="inlineStr">
        <is>
          <t>ASME B36.19M</t>
        </is>
      </c>
      <c r="D482" s="18" t="inlineStr">
        <is>
          <t>30''</t>
        </is>
      </c>
      <c r="E482" s="45" t="n">
        <v>750</v>
      </c>
      <c r="F482" s="18" t="inlineStr">
        <is>
          <t>5S</t>
        </is>
      </c>
      <c r="G482" s="20" t="n">
        <v>30</v>
      </c>
      <c r="H482" s="47" t="n">
        <v>762</v>
      </c>
      <c r="I482" s="20" t="n">
        <v>0.25</v>
      </c>
      <c r="J482" s="47" t="n">
        <v>6.35</v>
      </c>
      <c r="K482" s="20">
        <f>ROUND((H482-J482)*J482*IF(B482="Carbon Steel",$K$7,IF(B482="Stainless Steel 304",$K$8,$L$8)), 3)</f>
        <v/>
      </c>
      <c r="L482" s="47">
        <f>ROUND(K482*$G$5, 2)</f>
        <v/>
      </c>
      <c r="M482" s="45">
        <f>INT($G$6/H482)</f>
        <v/>
      </c>
      <c r="N482" s="45">
        <f>IF(M482=0, 0, IF(OR($K$6="Square Grid", M482=1), INT($G$7/H482), IF($G$7&lt;H482, 0, 1+INT(($G$7-H482)/(0.8660254*H482)))))</f>
        <v/>
      </c>
      <c r="O482" s="48">
        <f>IF(OR(M482=0,N482=0), 0, IF(OR($K$6="Square Grid", M482=1), M482*N482*$K$5, (INT((N482+1)/2)*M482 + INT(N482/2)*IF(($G$6-M482*H482)&gt;=0.5*H482, M482, M482-1))*$K$5))</f>
        <v/>
      </c>
      <c r="P482" s="48">
        <f>IF(L482&lt;=0, 0, INT($G$8/L482))</f>
        <v/>
      </c>
      <c r="Q482" s="42">
        <f>MIN(O482, P482)</f>
        <v/>
      </c>
      <c r="R482" s="43">
        <f>ROUND((Q482*L482)/1000, 2)</f>
        <v/>
      </c>
      <c r="S482" s="49">
        <f>IF($C$8&gt;0, R482/$C$8, 0)</f>
        <v/>
      </c>
      <c r="T482" s="49">
        <f>IF(O482&gt;0, Q482/O482, 0)</f>
        <v/>
      </c>
      <c r="U482" s="18">
        <f>IF(Q482=0, "Exceeds Limit", IF(P482&lt;=O482, "Weight Limited", "Volume Limited"))</f>
        <v/>
      </c>
    </row>
    <row r="483" ht="19" customHeight="1">
      <c r="A483" s="38" t="n">
        <v>473</v>
      </c>
      <c r="B483" s="51" t="inlineStr">
        <is>
          <t>Stainless Steel 304</t>
        </is>
      </c>
      <c r="C483" s="13" t="inlineStr">
        <is>
          <t>ASME B36.19M</t>
        </is>
      </c>
      <c r="D483" s="12" t="inlineStr">
        <is>
          <t>30''</t>
        </is>
      </c>
      <c r="E483" s="38" t="n">
        <v>750</v>
      </c>
      <c r="F483" s="12" t="inlineStr">
        <is>
          <t>10S</t>
        </is>
      </c>
      <c r="G483" s="14" t="n">
        <v>30</v>
      </c>
      <c r="H483" s="40" t="n">
        <v>762</v>
      </c>
      <c r="I483" s="14" t="n">
        <v>0.312</v>
      </c>
      <c r="J483" s="40" t="n">
        <v>7.92</v>
      </c>
      <c r="K483" s="14">
        <f>ROUND((H483-J483)*J483*IF(B483="Carbon Steel",$K$7,IF(B483="Stainless Steel 304",$K$8,$L$8)), 3)</f>
        <v/>
      </c>
      <c r="L483" s="40">
        <f>ROUND(K483*$G$5, 2)</f>
        <v/>
      </c>
      <c r="M483" s="38">
        <f>INT($G$6/H483)</f>
        <v/>
      </c>
      <c r="N483" s="38">
        <f>IF(M483=0, 0, IF(OR($K$6="Square Grid", M483=1), INT($G$7/H483), IF($G$7&lt;H483, 0, 1+INT(($G$7-H483)/(0.8660254*H483)))))</f>
        <v/>
      </c>
      <c r="O483" s="41">
        <f>IF(OR(M483=0,N483=0), 0, IF(OR($K$6="Square Grid", M483=1), M483*N483*$K$5, (INT((N483+1)/2)*M483 + INT(N483/2)*IF(($G$6-M483*H483)&gt;=0.5*H483, M483, M483-1))*$K$5))</f>
        <v/>
      </c>
      <c r="P483" s="41">
        <f>IF(L483&lt;=0, 0, INT($G$8/L483))</f>
        <v/>
      </c>
      <c r="Q483" s="42">
        <f>MIN(O483, P483)</f>
        <v/>
      </c>
      <c r="R483" s="43">
        <f>ROUND((Q483*L483)/1000, 2)</f>
        <v/>
      </c>
      <c r="S483" s="44">
        <f>IF($C$8&gt;0, R483/$C$8, 0)</f>
        <v/>
      </c>
      <c r="T483" s="44">
        <f>IF(O483&gt;0, Q483/O483, 0)</f>
        <v/>
      </c>
      <c r="U483" s="12">
        <f>IF(Q483=0, "Exceeds Limit", IF(P483&lt;=O483, "Weight Limited", "Volume Limited"))</f>
        <v/>
      </c>
    </row>
    <row r="484" ht="19" customHeight="1">
      <c r="A484" s="45" t="n">
        <v>474</v>
      </c>
      <c r="B484" s="50" t="inlineStr">
        <is>
          <t>Stainless Steel 304</t>
        </is>
      </c>
      <c r="C484" s="19" t="inlineStr">
        <is>
          <t>ASME B36.19M</t>
        </is>
      </c>
      <c r="D484" s="18" t="inlineStr">
        <is>
          <t>30''</t>
        </is>
      </c>
      <c r="E484" s="45" t="n">
        <v>750</v>
      </c>
      <c r="F484" s="18" t="inlineStr">
        <is>
          <t>40S</t>
        </is>
      </c>
      <c r="G484" s="20" t="n">
        <v>30</v>
      </c>
      <c r="H484" s="47" t="n">
        <v>762</v>
      </c>
      <c r="I484" s="20" t="n">
        <v>0.375</v>
      </c>
      <c r="J484" s="47" t="n">
        <v>9.52</v>
      </c>
      <c r="K484" s="20">
        <f>ROUND((H484-J484)*J484*IF(B484="Carbon Steel",$K$7,IF(B484="Stainless Steel 304",$K$8,$L$8)), 3)</f>
        <v/>
      </c>
      <c r="L484" s="47">
        <f>ROUND(K484*$G$5, 2)</f>
        <v/>
      </c>
      <c r="M484" s="45">
        <f>INT($G$6/H484)</f>
        <v/>
      </c>
      <c r="N484" s="45">
        <f>IF(M484=0, 0, IF(OR($K$6="Square Grid", M484=1), INT($G$7/H484), IF($G$7&lt;H484, 0, 1+INT(($G$7-H484)/(0.8660254*H484)))))</f>
        <v/>
      </c>
      <c r="O484" s="48">
        <f>IF(OR(M484=0,N484=0), 0, IF(OR($K$6="Square Grid", M484=1), M484*N484*$K$5, (INT((N484+1)/2)*M484 + INT(N484/2)*IF(($G$6-M484*H484)&gt;=0.5*H484, M484, M484-1))*$K$5))</f>
        <v/>
      </c>
      <c r="P484" s="48">
        <f>IF(L484&lt;=0, 0, INT($G$8/L484))</f>
        <v/>
      </c>
      <c r="Q484" s="42">
        <f>MIN(O484, P484)</f>
        <v/>
      </c>
      <c r="R484" s="43">
        <f>ROUND((Q484*L484)/1000, 2)</f>
        <v/>
      </c>
      <c r="S484" s="49">
        <f>IF($C$8&gt;0, R484/$C$8, 0)</f>
        <v/>
      </c>
      <c r="T484" s="49">
        <f>IF(O484&gt;0, Q484/O484, 0)</f>
        <v/>
      </c>
      <c r="U484" s="18">
        <f>IF(Q484=0, "Exceeds Limit", IF(P484&lt;=O484, "Weight Limited", "Volume Limited"))</f>
        <v/>
      </c>
    </row>
    <row r="485" ht="19" customHeight="1">
      <c r="A485" s="38" t="n">
        <v>475</v>
      </c>
      <c r="B485" s="51" t="inlineStr">
        <is>
          <t>Stainless Steel 304</t>
        </is>
      </c>
      <c r="C485" s="13" t="inlineStr">
        <is>
          <t>ASME B36.19M</t>
        </is>
      </c>
      <c r="D485" s="12" t="inlineStr">
        <is>
          <t>30''</t>
        </is>
      </c>
      <c r="E485" s="38" t="n">
        <v>750</v>
      </c>
      <c r="F485" s="12" t="inlineStr">
        <is>
          <t>80S</t>
        </is>
      </c>
      <c r="G485" s="14" t="n">
        <v>30</v>
      </c>
      <c r="H485" s="40" t="n">
        <v>762</v>
      </c>
      <c r="I485" s="14" t="n">
        <v>0.5</v>
      </c>
      <c r="J485" s="40" t="n">
        <v>12.7</v>
      </c>
      <c r="K485" s="14">
        <f>ROUND((H485-J485)*J485*IF(B485="Carbon Steel",$K$7,IF(B485="Stainless Steel 304",$K$8,$L$8)), 3)</f>
        <v/>
      </c>
      <c r="L485" s="40">
        <f>ROUND(K485*$G$5, 2)</f>
        <v/>
      </c>
      <c r="M485" s="38">
        <f>INT($G$6/H485)</f>
        <v/>
      </c>
      <c r="N485" s="38">
        <f>IF(M485=0, 0, IF(OR($K$6="Square Grid", M485=1), INT($G$7/H485), IF($G$7&lt;H485, 0, 1+INT(($G$7-H485)/(0.8660254*H485)))))</f>
        <v/>
      </c>
      <c r="O485" s="41">
        <f>IF(OR(M485=0,N485=0), 0, IF(OR($K$6="Square Grid", M485=1), M485*N485*$K$5, (INT((N485+1)/2)*M485 + INT(N485/2)*IF(($G$6-M485*H485)&gt;=0.5*H485, M485, M485-1))*$K$5))</f>
        <v/>
      </c>
      <c r="P485" s="41">
        <f>IF(L485&lt;=0, 0, INT($G$8/L485))</f>
        <v/>
      </c>
      <c r="Q485" s="42">
        <f>MIN(O485, P485)</f>
        <v/>
      </c>
      <c r="R485" s="43">
        <f>ROUND((Q485*L485)/1000, 2)</f>
        <v/>
      </c>
      <c r="S485" s="44">
        <f>IF($C$8&gt;0, R485/$C$8, 0)</f>
        <v/>
      </c>
      <c r="T485" s="44">
        <f>IF(O485&gt;0, Q485/O485, 0)</f>
        <v/>
      </c>
      <c r="U485" s="12">
        <f>IF(Q485=0, "Exceeds Limit", IF(P485&lt;=O485, "Weight Limited", "Volume Limited"))</f>
        <v/>
      </c>
    </row>
    <row r="486" ht="19" customHeight="1">
      <c r="A486" s="45" t="n">
        <v>476</v>
      </c>
      <c r="B486" s="50" t="inlineStr">
        <is>
          <t>Stainless Steel 304</t>
        </is>
      </c>
      <c r="C486" s="19" t="inlineStr">
        <is>
          <t>ASME B36.19M</t>
        </is>
      </c>
      <c r="D486" s="18" t="inlineStr">
        <is>
          <t>30''</t>
        </is>
      </c>
      <c r="E486" s="45" t="n">
        <v>750</v>
      </c>
      <c r="F486" s="18" t="inlineStr">
        <is>
          <t>STD</t>
        </is>
      </c>
      <c r="G486" s="20" t="n">
        <v>30</v>
      </c>
      <c r="H486" s="47" t="n">
        <v>762</v>
      </c>
      <c r="I486" s="20" t="n">
        <v>0.375</v>
      </c>
      <c r="J486" s="47" t="n">
        <v>9.52</v>
      </c>
      <c r="K486" s="20">
        <f>ROUND((H486-J486)*J486*IF(B486="Carbon Steel",$K$7,IF(B486="Stainless Steel 304",$K$8,$L$8)), 3)</f>
        <v/>
      </c>
      <c r="L486" s="47">
        <f>ROUND(K486*$G$5, 2)</f>
        <v/>
      </c>
      <c r="M486" s="45">
        <f>INT($G$6/H486)</f>
        <v/>
      </c>
      <c r="N486" s="45">
        <f>IF(M486=0, 0, IF(OR($K$6="Square Grid", M486=1), INT($G$7/H486), IF($G$7&lt;H486, 0, 1+INT(($G$7-H486)/(0.8660254*H486)))))</f>
        <v/>
      </c>
      <c r="O486" s="48">
        <f>IF(OR(M486=0,N486=0), 0, IF(OR($K$6="Square Grid", M486=1), M486*N486*$K$5, (INT((N486+1)/2)*M486 + INT(N486/2)*IF(($G$6-M486*H486)&gt;=0.5*H486, M486, M486-1))*$K$5))</f>
        <v/>
      </c>
      <c r="P486" s="48">
        <f>IF(L486&lt;=0, 0, INT($G$8/L486))</f>
        <v/>
      </c>
      <c r="Q486" s="42">
        <f>MIN(O486, P486)</f>
        <v/>
      </c>
      <c r="R486" s="43">
        <f>ROUND((Q486*L486)/1000, 2)</f>
        <v/>
      </c>
      <c r="S486" s="49">
        <f>IF($C$8&gt;0, R486/$C$8, 0)</f>
        <v/>
      </c>
      <c r="T486" s="49">
        <f>IF(O486&gt;0, Q486/O486, 0)</f>
        <v/>
      </c>
      <c r="U486" s="18">
        <f>IF(Q486=0, "Exceeds Limit", IF(P486&lt;=O486, "Weight Limited", "Volume Limited"))</f>
        <v/>
      </c>
    </row>
    <row r="487" ht="19" customHeight="1">
      <c r="A487" s="38" t="n">
        <v>477</v>
      </c>
      <c r="B487" s="51" t="inlineStr">
        <is>
          <t>Stainless Steel 304</t>
        </is>
      </c>
      <c r="C487" s="13" t="inlineStr">
        <is>
          <t>ASME B36.19M</t>
        </is>
      </c>
      <c r="D487" s="12" t="inlineStr">
        <is>
          <t>30''</t>
        </is>
      </c>
      <c r="E487" s="38" t="n">
        <v>750</v>
      </c>
      <c r="F487" s="12" t="inlineStr">
        <is>
          <t>XS</t>
        </is>
      </c>
      <c r="G487" s="14" t="n">
        <v>30</v>
      </c>
      <c r="H487" s="40" t="n">
        <v>762</v>
      </c>
      <c r="I487" s="14" t="n">
        <v>0.5</v>
      </c>
      <c r="J487" s="40" t="n">
        <v>12.7</v>
      </c>
      <c r="K487" s="14">
        <f>ROUND((H487-J487)*J487*IF(B487="Carbon Steel",$K$7,IF(B487="Stainless Steel 304",$K$8,$L$8)), 3)</f>
        <v/>
      </c>
      <c r="L487" s="40">
        <f>ROUND(K487*$G$5, 2)</f>
        <v/>
      </c>
      <c r="M487" s="38">
        <f>INT($G$6/H487)</f>
        <v/>
      </c>
      <c r="N487" s="38">
        <f>IF(M487=0, 0, IF(OR($K$6="Square Grid", M487=1), INT($G$7/H487), IF($G$7&lt;H487, 0, 1+INT(($G$7-H487)/(0.8660254*H487)))))</f>
        <v/>
      </c>
      <c r="O487" s="41">
        <f>IF(OR(M487=0,N487=0), 0, IF(OR($K$6="Square Grid", M487=1), M487*N487*$K$5, (INT((N487+1)/2)*M487 + INT(N487/2)*IF(($G$6-M487*H487)&gt;=0.5*H487, M487, M487-1))*$K$5))</f>
        <v/>
      </c>
      <c r="P487" s="41">
        <f>IF(L487&lt;=0, 0, INT($G$8/L487))</f>
        <v/>
      </c>
      <c r="Q487" s="42">
        <f>MIN(O487, P487)</f>
        <v/>
      </c>
      <c r="R487" s="43">
        <f>ROUND((Q487*L487)/1000, 2)</f>
        <v/>
      </c>
      <c r="S487" s="44">
        <f>IF($C$8&gt;0, R487/$C$8, 0)</f>
        <v/>
      </c>
      <c r="T487" s="44">
        <f>IF(O487&gt;0, Q487/O487, 0)</f>
        <v/>
      </c>
      <c r="U487" s="12">
        <f>IF(Q487=0, "Exceeds Limit", IF(P487&lt;=O487, "Weight Limited", "Volume Limited"))</f>
        <v/>
      </c>
    </row>
    <row r="488" ht="19" customHeight="1">
      <c r="A488" s="45" t="n">
        <v>478</v>
      </c>
      <c r="B488" s="50" t="inlineStr">
        <is>
          <t>Stainless Steel 304</t>
        </is>
      </c>
      <c r="C488" s="19" t="inlineStr">
        <is>
          <t>ASME B36.19M</t>
        </is>
      </c>
      <c r="D488" s="18" t="inlineStr">
        <is>
          <t>32''</t>
        </is>
      </c>
      <c r="E488" s="45" t="n">
        <v>800</v>
      </c>
      <c r="F488" s="18" t="inlineStr">
        <is>
          <t>STD</t>
        </is>
      </c>
      <c r="G488" s="20" t="n">
        <v>32</v>
      </c>
      <c r="H488" s="47" t="n">
        <v>812.8</v>
      </c>
      <c r="I488" s="20" t="n">
        <v>0.375</v>
      </c>
      <c r="J488" s="47" t="n">
        <v>9.52</v>
      </c>
      <c r="K488" s="20">
        <f>ROUND((H488-J488)*J488*IF(B488="Carbon Steel",$K$7,IF(B488="Stainless Steel 304",$K$8,$L$8)), 3)</f>
        <v/>
      </c>
      <c r="L488" s="47">
        <f>ROUND(K488*$G$5, 2)</f>
        <v/>
      </c>
      <c r="M488" s="45">
        <f>INT($G$6/H488)</f>
        <v/>
      </c>
      <c r="N488" s="45">
        <f>IF(M488=0, 0, IF(OR($K$6="Square Grid", M488=1), INT($G$7/H488), IF($G$7&lt;H488, 0, 1+INT(($G$7-H488)/(0.8660254*H488)))))</f>
        <v/>
      </c>
      <c r="O488" s="48">
        <f>IF(OR(M488=0,N488=0), 0, IF(OR($K$6="Square Grid", M488=1), M488*N488*$K$5, (INT((N488+1)/2)*M488 + INT(N488/2)*IF(($G$6-M488*H488)&gt;=0.5*H488, M488, M488-1))*$K$5))</f>
        <v/>
      </c>
      <c r="P488" s="48">
        <f>IF(L488&lt;=0, 0, INT($G$8/L488))</f>
        <v/>
      </c>
      <c r="Q488" s="42">
        <f>MIN(O488, P488)</f>
        <v/>
      </c>
      <c r="R488" s="43">
        <f>ROUND((Q488*L488)/1000, 2)</f>
        <v/>
      </c>
      <c r="S488" s="49">
        <f>IF($C$8&gt;0, R488/$C$8, 0)</f>
        <v/>
      </c>
      <c r="T488" s="49">
        <f>IF(O488&gt;0, Q488/O488, 0)</f>
        <v/>
      </c>
      <c r="U488" s="18">
        <f>IF(Q488=0, "Exceeds Limit", IF(P488&lt;=O488, "Weight Limited", "Volume Limited"))</f>
        <v/>
      </c>
    </row>
    <row r="489" ht="19" customHeight="1">
      <c r="A489" s="38" t="n">
        <v>479</v>
      </c>
      <c r="B489" s="51" t="inlineStr">
        <is>
          <t>Stainless Steel 304</t>
        </is>
      </c>
      <c r="C489" s="13" t="inlineStr">
        <is>
          <t>ASME B36.19M</t>
        </is>
      </c>
      <c r="D489" s="12" t="inlineStr">
        <is>
          <t>32''</t>
        </is>
      </c>
      <c r="E489" s="38" t="n">
        <v>800</v>
      </c>
      <c r="F489" s="12" t="inlineStr">
        <is>
          <t>XS</t>
        </is>
      </c>
      <c r="G489" s="14" t="n">
        <v>32</v>
      </c>
      <c r="H489" s="40" t="n">
        <v>812.8</v>
      </c>
      <c r="I489" s="14" t="n">
        <v>0.5</v>
      </c>
      <c r="J489" s="40" t="n">
        <v>12.7</v>
      </c>
      <c r="K489" s="14">
        <f>ROUND((H489-J489)*J489*IF(B489="Carbon Steel",$K$7,IF(B489="Stainless Steel 304",$K$8,$L$8)), 3)</f>
        <v/>
      </c>
      <c r="L489" s="40">
        <f>ROUND(K489*$G$5, 2)</f>
        <v/>
      </c>
      <c r="M489" s="38">
        <f>INT($G$6/H489)</f>
        <v/>
      </c>
      <c r="N489" s="38">
        <f>IF(M489=0, 0, IF(OR($K$6="Square Grid", M489=1), INT($G$7/H489), IF($G$7&lt;H489, 0, 1+INT(($G$7-H489)/(0.8660254*H489)))))</f>
        <v/>
      </c>
      <c r="O489" s="41">
        <f>IF(OR(M489=0,N489=0), 0, IF(OR($K$6="Square Grid", M489=1), M489*N489*$K$5, (INT((N489+1)/2)*M489 + INT(N489/2)*IF(($G$6-M489*H489)&gt;=0.5*H489, M489, M489-1))*$K$5))</f>
        <v/>
      </c>
      <c r="P489" s="41">
        <f>IF(L489&lt;=0, 0, INT($G$8/L489))</f>
        <v/>
      </c>
      <c r="Q489" s="42">
        <f>MIN(O489, P489)</f>
        <v/>
      </c>
      <c r="R489" s="43">
        <f>ROUND((Q489*L489)/1000, 2)</f>
        <v/>
      </c>
      <c r="S489" s="44">
        <f>IF($C$8&gt;0, R489/$C$8, 0)</f>
        <v/>
      </c>
      <c r="T489" s="44">
        <f>IF(O489&gt;0, Q489/O489, 0)</f>
        <v/>
      </c>
      <c r="U489" s="12">
        <f>IF(Q489=0, "Exceeds Limit", IF(P489&lt;=O489, "Weight Limited", "Volume Limited"))</f>
        <v/>
      </c>
    </row>
    <row r="490" ht="19" customHeight="1">
      <c r="A490" s="45" t="n">
        <v>480</v>
      </c>
      <c r="B490" s="50" t="inlineStr">
        <is>
          <t>Stainless Steel 304</t>
        </is>
      </c>
      <c r="C490" s="19" t="inlineStr">
        <is>
          <t>ASME B36.19M</t>
        </is>
      </c>
      <c r="D490" s="18" t="inlineStr">
        <is>
          <t>34''</t>
        </is>
      </c>
      <c r="E490" s="45" t="n">
        <v>850</v>
      </c>
      <c r="F490" s="18" t="inlineStr">
        <is>
          <t>STD</t>
        </is>
      </c>
      <c r="G490" s="20" t="n">
        <v>34</v>
      </c>
      <c r="H490" s="47" t="n">
        <v>863.6</v>
      </c>
      <c r="I490" s="20" t="n">
        <v>0.375</v>
      </c>
      <c r="J490" s="47" t="n">
        <v>9.52</v>
      </c>
      <c r="K490" s="20">
        <f>ROUND((H490-J490)*J490*IF(B490="Carbon Steel",$K$7,IF(B490="Stainless Steel 304",$K$8,$L$8)), 3)</f>
        <v/>
      </c>
      <c r="L490" s="47">
        <f>ROUND(K490*$G$5, 2)</f>
        <v/>
      </c>
      <c r="M490" s="45">
        <f>INT($G$6/H490)</f>
        <v/>
      </c>
      <c r="N490" s="45">
        <f>IF(M490=0, 0, IF(OR($K$6="Square Grid", M490=1), INT($G$7/H490), IF($G$7&lt;H490, 0, 1+INT(($G$7-H490)/(0.8660254*H490)))))</f>
        <v/>
      </c>
      <c r="O490" s="48">
        <f>IF(OR(M490=0,N490=0), 0, IF(OR($K$6="Square Grid", M490=1), M490*N490*$K$5, (INT((N490+1)/2)*M490 + INT(N490/2)*IF(($G$6-M490*H490)&gt;=0.5*H490, M490, M490-1))*$K$5))</f>
        <v/>
      </c>
      <c r="P490" s="48">
        <f>IF(L490&lt;=0, 0, INT($G$8/L490))</f>
        <v/>
      </c>
      <c r="Q490" s="42">
        <f>MIN(O490, P490)</f>
        <v/>
      </c>
      <c r="R490" s="43">
        <f>ROUND((Q490*L490)/1000, 2)</f>
        <v/>
      </c>
      <c r="S490" s="49">
        <f>IF($C$8&gt;0, R490/$C$8, 0)</f>
        <v/>
      </c>
      <c r="T490" s="49">
        <f>IF(O490&gt;0, Q490/O490, 0)</f>
        <v/>
      </c>
      <c r="U490" s="18">
        <f>IF(Q490=0, "Exceeds Limit", IF(P490&lt;=O490, "Weight Limited", "Volume Limited"))</f>
        <v/>
      </c>
    </row>
    <row r="491" ht="19" customHeight="1">
      <c r="A491" s="38" t="n">
        <v>481</v>
      </c>
      <c r="B491" s="51" t="inlineStr">
        <is>
          <t>Stainless Steel 304</t>
        </is>
      </c>
      <c r="C491" s="13" t="inlineStr">
        <is>
          <t>ASME B36.19M</t>
        </is>
      </c>
      <c r="D491" s="12" t="inlineStr">
        <is>
          <t>34''</t>
        </is>
      </c>
      <c r="E491" s="38" t="n">
        <v>850</v>
      </c>
      <c r="F491" s="12" t="inlineStr">
        <is>
          <t>XS</t>
        </is>
      </c>
      <c r="G491" s="14" t="n">
        <v>34</v>
      </c>
      <c r="H491" s="40" t="n">
        <v>863.6</v>
      </c>
      <c r="I491" s="14" t="n">
        <v>0.5</v>
      </c>
      <c r="J491" s="40" t="n">
        <v>12.7</v>
      </c>
      <c r="K491" s="14">
        <f>ROUND((H491-J491)*J491*IF(B491="Carbon Steel",$K$7,IF(B491="Stainless Steel 304",$K$8,$L$8)), 3)</f>
        <v/>
      </c>
      <c r="L491" s="40">
        <f>ROUND(K491*$G$5, 2)</f>
        <v/>
      </c>
      <c r="M491" s="38">
        <f>INT($G$6/H491)</f>
        <v/>
      </c>
      <c r="N491" s="38">
        <f>IF(M491=0, 0, IF(OR($K$6="Square Grid", M491=1), INT($G$7/H491), IF($G$7&lt;H491, 0, 1+INT(($G$7-H491)/(0.8660254*H491)))))</f>
        <v/>
      </c>
      <c r="O491" s="41">
        <f>IF(OR(M491=0,N491=0), 0, IF(OR($K$6="Square Grid", M491=1), M491*N491*$K$5, (INT((N491+1)/2)*M491 + INT(N491/2)*IF(($G$6-M491*H491)&gt;=0.5*H491, M491, M491-1))*$K$5))</f>
        <v/>
      </c>
      <c r="P491" s="41">
        <f>IF(L491&lt;=0, 0, INT($G$8/L491))</f>
        <v/>
      </c>
      <c r="Q491" s="42">
        <f>MIN(O491, P491)</f>
        <v/>
      </c>
      <c r="R491" s="43">
        <f>ROUND((Q491*L491)/1000, 2)</f>
        <v/>
      </c>
      <c r="S491" s="44">
        <f>IF($C$8&gt;0, R491/$C$8, 0)</f>
        <v/>
      </c>
      <c r="T491" s="44">
        <f>IF(O491&gt;0, Q491/O491, 0)</f>
        <v/>
      </c>
      <c r="U491" s="12">
        <f>IF(Q491=0, "Exceeds Limit", IF(P491&lt;=O491, "Weight Limited", "Volume Limited"))</f>
        <v/>
      </c>
    </row>
    <row r="492" ht="19" customHeight="1">
      <c r="A492" s="45" t="n">
        <v>482</v>
      </c>
      <c r="B492" s="50" t="inlineStr">
        <is>
          <t>Stainless Steel 304</t>
        </is>
      </c>
      <c r="C492" s="19" t="inlineStr">
        <is>
          <t>ASME B36.19M</t>
        </is>
      </c>
      <c r="D492" s="18" t="inlineStr">
        <is>
          <t>36''</t>
        </is>
      </c>
      <c r="E492" s="45" t="n">
        <v>900</v>
      </c>
      <c r="F492" s="18" t="inlineStr">
        <is>
          <t>40S</t>
        </is>
      </c>
      <c r="G492" s="20" t="n">
        <v>36</v>
      </c>
      <c r="H492" s="47" t="n">
        <v>914.4</v>
      </c>
      <c r="I492" s="20" t="n">
        <v>0.375</v>
      </c>
      <c r="J492" s="47" t="n">
        <v>9.52</v>
      </c>
      <c r="K492" s="20">
        <f>ROUND((H492-J492)*J492*IF(B492="Carbon Steel",$K$7,IF(B492="Stainless Steel 304",$K$8,$L$8)), 3)</f>
        <v/>
      </c>
      <c r="L492" s="47">
        <f>ROUND(K492*$G$5, 2)</f>
        <v/>
      </c>
      <c r="M492" s="45">
        <f>INT($G$6/H492)</f>
        <v/>
      </c>
      <c r="N492" s="45">
        <f>IF(M492=0, 0, IF(OR($K$6="Square Grid", M492=1), INT($G$7/H492), IF($G$7&lt;H492, 0, 1+INT(($G$7-H492)/(0.8660254*H492)))))</f>
        <v/>
      </c>
      <c r="O492" s="48">
        <f>IF(OR(M492=0,N492=0), 0, IF(OR($K$6="Square Grid", M492=1), M492*N492*$K$5, (INT((N492+1)/2)*M492 + INT(N492/2)*IF(($G$6-M492*H492)&gt;=0.5*H492, M492, M492-1))*$K$5))</f>
        <v/>
      </c>
      <c r="P492" s="48">
        <f>IF(L492&lt;=0, 0, INT($G$8/L492))</f>
        <v/>
      </c>
      <c r="Q492" s="42">
        <f>MIN(O492, P492)</f>
        <v/>
      </c>
      <c r="R492" s="43">
        <f>ROUND((Q492*L492)/1000, 2)</f>
        <v/>
      </c>
      <c r="S492" s="49">
        <f>IF($C$8&gt;0, R492/$C$8, 0)</f>
        <v/>
      </c>
      <c r="T492" s="49">
        <f>IF(O492&gt;0, Q492/O492, 0)</f>
        <v/>
      </c>
      <c r="U492" s="18">
        <f>IF(Q492=0, "Exceeds Limit", IF(P492&lt;=O492, "Weight Limited", "Volume Limited"))</f>
        <v/>
      </c>
    </row>
    <row r="493" ht="19" customHeight="1">
      <c r="A493" s="38" t="n">
        <v>483</v>
      </c>
      <c r="B493" s="51" t="inlineStr">
        <is>
          <t>Stainless Steel 304</t>
        </is>
      </c>
      <c r="C493" s="13" t="inlineStr">
        <is>
          <t>ASME B36.19M</t>
        </is>
      </c>
      <c r="D493" s="12" t="inlineStr">
        <is>
          <t>36''</t>
        </is>
      </c>
      <c r="E493" s="38" t="n">
        <v>900</v>
      </c>
      <c r="F493" s="12" t="inlineStr">
        <is>
          <t>80S</t>
        </is>
      </c>
      <c r="G493" s="14" t="n">
        <v>36</v>
      </c>
      <c r="H493" s="40" t="n">
        <v>914.4</v>
      </c>
      <c r="I493" s="14" t="n">
        <v>0.5</v>
      </c>
      <c r="J493" s="40" t="n">
        <v>12.7</v>
      </c>
      <c r="K493" s="14">
        <f>ROUND((H493-J493)*J493*IF(B493="Carbon Steel",$K$7,IF(B493="Stainless Steel 304",$K$8,$L$8)), 3)</f>
        <v/>
      </c>
      <c r="L493" s="40">
        <f>ROUND(K493*$G$5, 2)</f>
        <v/>
      </c>
      <c r="M493" s="38">
        <f>INT($G$6/H493)</f>
        <v/>
      </c>
      <c r="N493" s="38">
        <f>IF(M493=0, 0, IF(OR($K$6="Square Grid", M493=1), INT($G$7/H493), IF($G$7&lt;H493, 0, 1+INT(($G$7-H493)/(0.8660254*H493)))))</f>
        <v/>
      </c>
      <c r="O493" s="41">
        <f>IF(OR(M493=0,N493=0), 0, IF(OR($K$6="Square Grid", M493=1), M493*N493*$K$5, (INT((N493+1)/2)*M493 + INT(N493/2)*IF(($G$6-M493*H493)&gt;=0.5*H493, M493, M493-1))*$K$5))</f>
        <v/>
      </c>
      <c r="P493" s="41">
        <f>IF(L493&lt;=0, 0, INT($G$8/L493))</f>
        <v/>
      </c>
      <c r="Q493" s="42">
        <f>MIN(O493, P493)</f>
        <v/>
      </c>
      <c r="R493" s="43">
        <f>ROUND((Q493*L493)/1000, 2)</f>
        <v/>
      </c>
      <c r="S493" s="44">
        <f>IF($C$8&gt;0, R493/$C$8, 0)</f>
        <v/>
      </c>
      <c r="T493" s="44">
        <f>IF(O493&gt;0, Q493/O493, 0)</f>
        <v/>
      </c>
      <c r="U493" s="12">
        <f>IF(Q493=0, "Exceeds Limit", IF(P493&lt;=O493, "Weight Limited", "Volume Limited"))</f>
        <v/>
      </c>
    </row>
    <row r="494" ht="19" customHeight="1">
      <c r="A494" s="45" t="n">
        <v>484</v>
      </c>
      <c r="B494" s="50" t="inlineStr">
        <is>
          <t>Stainless Steel 304</t>
        </is>
      </c>
      <c r="C494" s="19" t="inlineStr">
        <is>
          <t>ASME B36.19M</t>
        </is>
      </c>
      <c r="D494" s="18" t="inlineStr">
        <is>
          <t>36''</t>
        </is>
      </c>
      <c r="E494" s="45" t="n">
        <v>900</v>
      </c>
      <c r="F494" s="18" t="inlineStr">
        <is>
          <t>STD</t>
        </is>
      </c>
      <c r="G494" s="20" t="n">
        <v>36</v>
      </c>
      <c r="H494" s="47" t="n">
        <v>914.4</v>
      </c>
      <c r="I494" s="20" t="n">
        <v>0.375</v>
      </c>
      <c r="J494" s="47" t="n">
        <v>9.52</v>
      </c>
      <c r="K494" s="20">
        <f>ROUND((H494-J494)*J494*IF(B494="Carbon Steel",$K$7,IF(B494="Stainless Steel 304",$K$8,$L$8)), 3)</f>
        <v/>
      </c>
      <c r="L494" s="47">
        <f>ROUND(K494*$G$5, 2)</f>
        <v/>
      </c>
      <c r="M494" s="45">
        <f>INT($G$6/H494)</f>
        <v/>
      </c>
      <c r="N494" s="45">
        <f>IF(M494=0, 0, IF(OR($K$6="Square Grid", M494=1), INT($G$7/H494), IF($G$7&lt;H494, 0, 1+INT(($G$7-H494)/(0.8660254*H494)))))</f>
        <v/>
      </c>
      <c r="O494" s="48">
        <f>IF(OR(M494=0,N494=0), 0, IF(OR($K$6="Square Grid", M494=1), M494*N494*$K$5, (INT((N494+1)/2)*M494 + INT(N494/2)*IF(($G$6-M494*H494)&gt;=0.5*H494, M494, M494-1))*$K$5))</f>
        <v/>
      </c>
      <c r="P494" s="48">
        <f>IF(L494&lt;=0, 0, INT($G$8/L494))</f>
        <v/>
      </c>
      <c r="Q494" s="42">
        <f>MIN(O494, P494)</f>
        <v/>
      </c>
      <c r="R494" s="43">
        <f>ROUND((Q494*L494)/1000, 2)</f>
        <v/>
      </c>
      <c r="S494" s="49">
        <f>IF($C$8&gt;0, R494/$C$8, 0)</f>
        <v/>
      </c>
      <c r="T494" s="49">
        <f>IF(O494&gt;0, Q494/O494, 0)</f>
        <v/>
      </c>
      <c r="U494" s="18">
        <f>IF(Q494=0, "Exceeds Limit", IF(P494&lt;=O494, "Weight Limited", "Volume Limited"))</f>
        <v/>
      </c>
    </row>
    <row r="495" ht="19" customHeight="1">
      <c r="A495" s="38" t="n">
        <v>485</v>
      </c>
      <c r="B495" s="51" t="inlineStr">
        <is>
          <t>Stainless Steel 304</t>
        </is>
      </c>
      <c r="C495" s="13" t="inlineStr">
        <is>
          <t>ASME B36.19M</t>
        </is>
      </c>
      <c r="D495" s="12" t="inlineStr">
        <is>
          <t>36''</t>
        </is>
      </c>
      <c r="E495" s="38" t="n">
        <v>900</v>
      </c>
      <c r="F495" s="12" t="inlineStr">
        <is>
          <t>XS</t>
        </is>
      </c>
      <c r="G495" s="14" t="n">
        <v>36</v>
      </c>
      <c r="H495" s="40" t="n">
        <v>914.4</v>
      </c>
      <c r="I495" s="14" t="n">
        <v>0.5</v>
      </c>
      <c r="J495" s="40" t="n">
        <v>12.7</v>
      </c>
      <c r="K495" s="14">
        <f>ROUND((H495-J495)*J495*IF(B495="Carbon Steel",$K$7,IF(B495="Stainless Steel 304",$K$8,$L$8)), 3)</f>
        <v/>
      </c>
      <c r="L495" s="40">
        <f>ROUND(K495*$G$5, 2)</f>
        <v/>
      </c>
      <c r="M495" s="38">
        <f>INT($G$6/H495)</f>
        <v/>
      </c>
      <c r="N495" s="38">
        <f>IF(M495=0, 0, IF(OR($K$6="Square Grid", M495=1), INT($G$7/H495), IF($G$7&lt;H495, 0, 1+INT(($G$7-H495)/(0.8660254*H495)))))</f>
        <v/>
      </c>
      <c r="O495" s="41">
        <f>IF(OR(M495=0,N495=0), 0, IF(OR($K$6="Square Grid", M495=1), M495*N495*$K$5, (INT((N495+1)/2)*M495 + INT(N495/2)*IF(($G$6-M495*H495)&gt;=0.5*H495, M495, M495-1))*$K$5))</f>
        <v/>
      </c>
      <c r="P495" s="41">
        <f>IF(L495&lt;=0, 0, INT($G$8/L495))</f>
        <v/>
      </c>
      <c r="Q495" s="42">
        <f>MIN(O495, P495)</f>
        <v/>
      </c>
      <c r="R495" s="43">
        <f>ROUND((Q495*L495)/1000, 2)</f>
        <v/>
      </c>
      <c r="S495" s="44">
        <f>IF($C$8&gt;0, R495/$C$8, 0)</f>
        <v/>
      </c>
      <c r="T495" s="44">
        <f>IF(O495&gt;0, Q495/O495, 0)</f>
        <v/>
      </c>
      <c r="U495" s="12">
        <f>IF(Q495=0, "Exceeds Limit", IF(P495&lt;=O495, "Weight Limited", "Volume Limited"))</f>
        <v/>
      </c>
    </row>
    <row r="496" ht="19" customHeight="1">
      <c r="A496" s="45" t="n">
        <v>486</v>
      </c>
      <c r="B496" s="50" t="inlineStr">
        <is>
          <t>Stainless Steel 304</t>
        </is>
      </c>
      <c r="C496" s="19" t="inlineStr">
        <is>
          <t>ASME B36.19M</t>
        </is>
      </c>
      <c r="D496" s="18" t="inlineStr">
        <is>
          <t>38''</t>
        </is>
      </c>
      <c r="E496" s="45" t="n">
        <v>950</v>
      </c>
      <c r="F496" s="18" t="inlineStr">
        <is>
          <t>STD</t>
        </is>
      </c>
      <c r="G496" s="20" t="n">
        <v>38</v>
      </c>
      <c r="H496" s="47" t="n">
        <v>965.2</v>
      </c>
      <c r="I496" s="20" t="n">
        <v>0.375</v>
      </c>
      <c r="J496" s="47" t="n">
        <v>9.52</v>
      </c>
      <c r="K496" s="20">
        <f>ROUND((H496-J496)*J496*IF(B496="Carbon Steel",$K$7,IF(B496="Stainless Steel 304",$K$8,$L$8)), 3)</f>
        <v/>
      </c>
      <c r="L496" s="47">
        <f>ROUND(K496*$G$5, 2)</f>
        <v/>
      </c>
      <c r="M496" s="45">
        <f>INT($G$6/H496)</f>
        <v/>
      </c>
      <c r="N496" s="45">
        <f>IF(M496=0, 0, IF(OR($K$6="Square Grid", M496=1), INT($G$7/H496), IF($G$7&lt;H496, 0, 1+INT(($G$7-H496)/(0.8660254*H496)))))</f>
        <v/>
      </c>
      <c r="O496" s="48">
        <f>IF(OR(M496=0,N496=0), 0, IF(OR($K$6="Square Grid", M496=1), M496*N496*$K$5, (INT((N496+1)/2)*M496 + INT(N496/2)*IF(($G$6-M496*H496)&gt;=0.5*H496, M496, M496-1))*$K$5))</f>
        <v/>
      </c>
      <c r="P496" s="48">
        <f>IF(L496&lt;=0, 0, INT($G$8/L496))</f>
        <v/>
      </c>
      <c r="Q496" s="42">
        <f>MIN(O496, P496)</f>
        <v/>
      </c>
      <c r="R496" s="43">
        <f>ROUND((Q496*L496)/1000, 2)</f>
        <v/>
      </c>
      <c r="S496" s="49">
        <f>IF($C$8&gt;0, R496/$C$8, 0)</f>
        <v/>
      </c>
      <c r="T496" s="49">
        <f>IF(O496&gt;0, Q496/O496, 0)</f>
        <v/>
      </c>
      <c r="U496" s="18">
        <f>IF(Q496=0, "Exceeds Limit", IF(P496&lt;=O496, "Weight Limited", "Volume Limited"))</f>
        <v/>
      </c>
    </row>
    <row r="497" ht="19" customHeight="1">
      <c r="A497" s="38" t="n">
        <v>487</v>
      </c>
      <c r="B497" s="51" t="inlineStr">
        <is>
          <t>Stainless Steel 304</t>
        </is>
      </c>
      <c r="C497" s="13" t="inlineStr">
        <is>
          <t>ASME B36.19M</t>
        </is>
      </c>
      <c r="D497" s="12" t="inlineStr">
        <is>
          <t>38''</t>
        </is>
      </c>
      <c r="E497" s="38" t="n">
        <v>950</v>
      </c>
      <c r="F497" s="12" t="inlineStr">
        <is>
          <t>XS</t>
        </is>
      </c>
      <c r="G497" s="14" t="n">
        <v>38</v>
      </c>
      <c r="H497" s="40" t="n">
        <v>965.2</v>
      </c>
      <c r="I497" s="14" t="n">
        <v>0.5</v>
      </c>
      <c r="J497" s="40" t="n">
        <v>12.7</v>
      </c>
      <c r="K497" s="14">
        <f>ROUND((H497-J497)*J497*IF(B497="Carbon Steel",$K$7,IF(B497="Stainless Steel 304",$K$8,$L$8)), 3)</f>
        <v/>
      </c>
      <c r="L497" s="40">
        <f>ROUND(K497*$G$5, 2)</f>
        <v/>
      </c>
      <c r="M497" s="38">
        <f>INT($G$6/H497)</f>
        <v/>
      </c>
      <c r="N497" s="38">
        <f>IF(M497=0, 0, IF(OR($K$6="Square Grid", M497=1), INT($G$7/H497), IF($G$7&lt;H497, 0, 1+INT(($G$7-H497)/(0.8660254*H497)))))</f>
        <v/>
      </c>
      <c r="O497" s="41">
        <f>IF(OR(M497=0,N497=0), 0, IF(OR($K$6="Square Grid", M497=1), M497*N497*$K$5, (INT((N497+1)/2)*M497 + INT(N497/2)*IF(($G$6-M497*H497)&gt;=0.5*H497, M497, M497-1))*$K$5))</f>
        <v/>
      </c>
      <c r="P497" s="41">
        <f>IF(L497&lt;=0, 0, INT($G$8/L497))</f>
        <v/>
      </c>
      <c r="Q497" s="42">
        <f>MIN(O497, P497)</f>
        <v/>
      </c>
      <c r="R497" s="43">
        <f>ROUND((Q497*L497)/1000, 2)</f>
        <v/>
      </c>
      <c r="S497" s="44">
        <f>IF($C$8&gt;0, R497/$C$8, 0)</f>
        <v/>
      </c>
      <c r="T497" s="44">
        <f>IF(O497&gt;0, Q497/O497, 0)</f>
        <v/>
      </c>
      <c r="U497" s="12">
        <f>IF(Q497=0, "Exceeds Limit", IF(P497&lt;=O497, "Weight Limited", "Volume Limited"))</f>
        <v/>
      </c>
    </row>
    <row r="498" ht="19" customHeight="1">
      <c r="A498" s="45" t="n">
        <v>488</v>
      </c>
      <c r="B498" s="50" t="inlineStr">
        <is>
          <t>Stainless Steel 304</t>
        </is>
      </c>
      <c r="C498" s="19" t="inlineStr">
        <is>
          <t>ASME B36.19M</t>
        </is>
      </c>
      <c r="D498" s="18" t="inlineStr">
        <is>
          <t>40''</t>
        </is>
      </c>
      <c r="E498" s="45" t="n">
        <v>1000</v>
      </c>
      <c r="F498" s="18" t="inlineStr">
        <is>
          <t>STD</t>
        </is>
      </c>
      <c r="G498" s="20" t="n">
        <v>40</v>
      </c>
      <c r="H498" s="47" t="n">
        <v>1016</v>
      </c>
      <c r="I498" s="20" t="n">
        <v>0.375</v>
      </c>
      <c r="J498" s="47" t="n">
        <v>9.52</v>
      </c>
      <c r="K498" s="20">
        <f>ROUND((H498-J498)*J498*IF(B498="Carbon Steel",$K$7,IF(B498="Stainless Steel 304",$K$8,$L$8)), 3)</f>
        <v/>
      </c>
      <c r="L498" s="47">
        <f>ROUND(K498*$G$5, 2)</f>
        <v/>
      </c>
      <c r="M498" s="45">
        <f>INT($G$6/H498)</f>
        <v/>
      </c>
      <c r="N498" s="45">
        <f>IF(M498=0, 0, IF(OR($K$6="Square Grid", M498=1), INT($G$7/H498), IF($G$7&lt;H498, 0, 1+INT(($G$7-H498)/(0.8660254*H498)))))</f>
        <v/>
      </c>
      <c r="O498" s="48">
        <f>IF(OR(M498=0,N498=0), 0, IF(OR($K$6="Square Grid", M498=1), M498*N498*$K$5, (INT((N498+1)/2)*M498 + INT(N498/2)*IF(($G$6-M498*H498)&gt;=0.5*H498, M498, M498-1))*$K$5))</f>
        <v/>
      </c>
      <c r="P498" s="48">
        <f>IF(L498&lt;=0, 0, INT($G$8/L498))</f>
        <v/>
      </c>
      <c r="Q498" s="42">
        <f>MIN(O498, P498)</f>
        <v/>
      </c>
      <c r="R498" s="43">
        <f>ROUND((Q498*L498)/1000, 2)</f>
        <v/>
      </c>
      <c r="S498" s="49">
        <f>IF($C$8&gt;0, R498/$C$8, 0)</f>
        <v/>
      </c>
      <c r="T498" s="49">
        <f>IF(O498&gt;0, Q498/O498, 0)</f>
        <v/>
      </c>
      <c r="U498" s="18">
        <f>IF(Q498=0, "Exceeds Limit", IF(P498&lt;=O498, "Weight Limited", "Volume Limited"))</f>
        <v/>
      </c>
    </row>
    <row r="499" ht="19" customHeight="1">
      <c r="A499" s="38" t="n">
        <v>489</v>
      </c>
      <c r="B499" s="51" t="inlineStr">
        <is>
          <t>Stainless Steel 304</t>
        </is>
      </c>
      <c r="C499" s="13" t="inlineStr">
        <is>
          <t>ASME B36.19M</t>
        </is>
      </c>
      <c r="D499" s="12" t="inlineStr">
        <is>
          <t>40''</t>
        </is>
      </c>
      <c r="E499" s="38" t="n">
        <v>1000</v>
      </c>
      <c r="F499" s="12" t="inlineStr">
        <is>
          <t>XS</t>
        </is>
      </c>
      <c r="G499" s="14" t="n">
        <v>40</v>
      </c>
      <c r="H499" s="40" t="n">
        <v>1016</v>
      </c>
      <c r="I499" s="14" t="n">
        <v>0.5</v>
      </c>
      <c r="J499" s="40" t="n">
        <v>12.7</v>
      </c>
      <c r="K499" s="14">
        <f>ROUND((H499-J499)*J499*IF(B499="Carbon Steel",$K$7,IF(B499="Stainless Steel 304",$K$8,$L$8)), 3)</f>
        <v/>
      </c>
      <c r="L499" s="40">
        <f>ROUND(K499*$G$5, 2)</f>
        <v/>
      </c>
      <c r="M499" s="38">
        <f>INT($G$6/H499)</f>
        <v/>
      </c>
      <c r="N499" s="38">
        <f>IF(M499=0, 0, IF(OR($K$6="Square Grid", M499=1), INT($G$7/H499), IF($G$7&lt;H499, 0, 1+INT(($G$7-H499)/(0.8660254*H499)))))</f>
        <v/>
      </c>
      <c r="O499" s="41">
        <f>IF(OR(M499=0,N499=0), 0, IF(OR($K$6="Square Grid", M499=1), M499*N499*$K$5, (INT((N499+1)/2)*M499 + INT(N499/2)*IF(($G$6-M499*H499)&gt;=0.5*H499, M499, M499-1))*$K$5))</f>
        <v/>
      </c>
      <c r="P499" s="41">
        <f>IF(L499&lt;=0, 0, INT($G$8/L499))</f>
        <v/>
      </c>
      <c r="Q499" s="42">
        <f>MIN(O499, P499)</f>
        <v/>
      </c>
      <c r="R499" s="43">
        <f>ROUND((Q499*L499)/1000, 2)</f>
        <v/>
      </c>
      <c r="S499" s="44">
        <f>IF($C$8&gt;0, R499/$C$8, 0)</f>
        <v/>
      </c>
      <c r="T499" s="44">
        <f>IF(O499&gt;0, Q499/O499, 0)</f>
        <v/>
      </c>
      <c r="U499" s="12">
        <f>IF(Q499=0, "Exceeds Limit", IF(P499&lt;=O499, "Weight Limited", "Volume Limited"))</f>
        <v/>
      </c>
    </row>
    <row r="500" ht="19" customHeight="1">
      <c r="A500" s="45" t="n">
        <v>490</v>
      </c>
      <c r="B500" s="50" t="inlineStr">
        <is>
          <t>Stainless Steel 304</t>
        </is>
      </c>
      <c r="C500" s="19" t="inlineStr">
        <is>
          <t>ASME B36.19M</t>
        </is>
      </c>
      <c r="D500" s="18" t="inlineStr">
        <is>
          <t>42''</t>
        </is>
      </c>
      <c r="E500" s="45" t="n">
        <v>1050</v>
      </c>
      <c r="F500" s="18" t="inlineStr">
        <is>
          <t>STD</t>
        </is>
      </c>
      <c r="G500" s="20" t="n">
        <v>42</v>
      </c>
      <c r="H500" s="47" t="n">
        <v>1066.8</v>
      </c>
      <c r="I500" s="20" t="n">
        <v>0.375</v>
      </c>
      <c r="J500" s="47" t="n">
        <v>9.52</v>
      </c>
      <c r="K500" s="20">
        <f>ROUND((H500-J500)*J500*IF(B500="Carbon Steel",$K$7,IF(B500="Stainless Steel 304",$K$8,$L$8)), 3)</f>
        <v/>
      </c>
      <c r="L500" s="47">
        <f>ROUND(K500*$G$5, 2)</f>
        <v/>
      </c>
      <c r="M500" s="45">
        <f>INT($G$6/H500)</f>
        <v/>
      </c>
      <c r="N500" s="45">
        <f>IF(M500=0, 0, IF(OR($K$6="Square Grid", M500=1), INT($G$7/H500), IF($G$7&lt;H500, 0, 1+INT(($G$7-H500)/(0.8660254*H500)))))</f>
        <v/>
      </c>
      <c r="O500" s="48">
        <f>IF(OR(M500=0,N500=0), 0, IF(OR($K$6="Square Grid", M500=1), M500*N500*$K$5, (INT((N500+1)/2)*M500 + INT(N500/2)*IF(($G$6-M500*H500)&gt;=0.5*H500, M500, M500-1))*$K$5))</f>
        <v/>
      </c>
      <c r="P500" s="48">
        <f>IF(L500&lt;=0, 0, INT($G$8/L500))</f>
        <v/>
      </c>
      <c r="Q500" s="42">
        <f>MIN(O500, P500)</f>
        <v/>
      </c>
      <c r="R500" s="43">
        <f>ROUND((Q500*L500)/1000, 2)</f>
        <v/>
      </c>
      <c r="S500" s="49">
        <f>IF($C$8&gt;0, R500/$C$8, 0)</f>
        <v/>
      </c>
      <c r="T500" s="49">
        <f>IF(O500&gt;0, Q500/O500, 0)</f>
        <v/>
      </c>
      <c r="U500" s="18">
        <f>IF(Q500=0, "Exceeds Limit", IF(P500&lt;=O500, "Weight Limited", "Volume Limited"))</f>
        <v/>
      </c>
    </row>
    <row r="501" ht="19" customHeight="1">
      <c r="A501" s="38" t="n">
        <v>491</v>
      </c>
      <c r="B501" s="51" t="inlineStr">
        <is>
          <t>Stainless Steel 304</t>
        </is>
      </c>
      <c r="C501" s="13" t="inlineStr">
        <is>
          <t>ASME B36.19M</t>
        </is>
      </c>
      <c r="D501" s="12" t="inlineStr">
        <is>
          <t>42''</t>
        </is>
      </c>
      <c r="E501" s="38" t="n">
        <v>1050</v>
      </c>
      <c r="F501" s="12" t="inlineStr">
        <is>
          <t>XS</t>
        </is>
      </c>
      <c r="G501" s="14" t="n">
        <v>42</v>
      </c>
      <c r="H501" s="40" t="n">
        <v>1066.8</v>
      </c>
      <c r="I501" s="14" t="n">
        <v>0.5</v>
      </c>
      <c r="J501" s="40" t="n">
        <v>12.7</v>
      </c>
      <c r="K501" s="14">
        <f>ROUND((H501-J501)*J501*IF(B501="Carbon Steel",$K$7,IF(B501="Stainless Steel 304",$K$8,$L$8)), 3)</f>
        <v/>
      </c>
      <c r="L501" s="40">
        <f>ROUND(K501*$G$5, 2)</f>
        <v/>
      </c>
      <c r="M501" s="38">
        <f>INT($G$6/H501)</f>
        <v/>
      </c>
      <c r="N501" s="38">
        <f>IF(M501=0, 0, IF(OR($K$6="Square Grid", M501=1), INT($G$7/H501), IF($G$7&lt;H501, 0, 1+INT(($G$7-H501)/(0.8660254*H501)))))</f>
        <v/>
      </c>
      <c r="O501" s="41">
        <f>IF(OR(M501=0,N501=0), 0, IF(OR($K$6="Square Grid", M501=1), M501*N501*$K$5, (INT((N501+1)/2)*M501 + INT(N501/2)*IF(($G$6-M501*H501)&gt;=0.5*H501, M501, M501-1))*$K$5))</f>
        <v/>
      </c>
      <c r="P501" s="41">
        <f>IF(L501&lt;=0, 0, INT($G$8/L501))</f>
        <v/>
      </c>
      <c r="Q501" s="42">
        <f>MIN(O501, P501)</f>
        <v/>
      </c>
      <c r="R501" s="43">
        <f>ROUND((Q501*L501)/1000, 2)</f>
        <v/>
      </c>
      <c r="S501" s="44">
        <f>IF($C$8&gt;0, R501/$C$8, 0)</f>
        <v/>
      </c>
      <c r="T501" s="44">
        <f>IF(O501&gt;0, Q501/O501, 0)</f>
        <v/>
      </c>
      <c r="U501" s="12">
        <f>IF(Q501=0, "Exceeds Limit", IF(P501&lt;=O501, "Weight Limited", "Volume Limited"))</f>
        <v/>
      </c>
    </row>
    <row r="502" ht="19" customHeight="1">
      <c r="A502" s="45" t="n">
        <v>492</v>
      </c>
      <c r="B502" s="50" t="inlineStr">
        <is>
          <t>Stainless Steel 304</t>
        </is>
      </c>
      <c r="C502" s="19" t="inlineStr">
        <is>
          <t>ASME B36.19M</t>
        </is>
      </c>
      <c r="D502" s="18" t="inlineStr">
        <is>
          <t>44''</t>
        </is>
      </c>
      <c r="E502" s="45" t="n">
        <v>1100</v>
      </c>
      <c r="F502" s="18" t="inlineStr">
        <is>
          <t>STD</t>
        </is>
      </c>
      <c r="G502" s="20" t="n">
        <v>44</v>
      </c>
      <c r="H502" s="47" t="n">
        <v>1117.6</v>
      </c>
      <c r="I502" s="20" t="n">
        <v>0.375</v>
      </c>
      <c r="J502" s="47" t="n">
        <v>9.52</v>
      </c>
      <c r="K502" s="20">
        <f>ROUND((H502-J502)*J502*IF(B502="Carbon Steel",$K$7,IF(B502="Stainless Steel 304",$K$8,$L$8)), 3)</f>
        <v/>
      </c>
      <c r="L502" s="47">
        <f>ROUND(K502*$G$5, 2)</f>
        <v/>
      </c>
      <c r="M502" s="45">
        <f>INT($G$6/H502)</f>
        <v/>
      </c>
      <c r="N502" s="45">
        <f>IF(M502=0, 0, IF(OR($K$6="Square Grid", M502=1), INT($G$7/H502), IF($G$7&lt;H502, 0, 1+INT(($G$7-H502)/(0.8660254*H502)))))</f>
        <v/>
      </c>
      <c r="O502" s="48">
        <f>IF(OR(M502=0,N502=0), 0, IF(OR($K$6="Square Grid", M502=1), M502*N502*$K$5, (INT((N502+1)/2)*M502 + INT(N502/2)*IF(($G$6-M502*H502)&gt;=0.5*H502, M502, M502-1))*$K$5))</f>
        <v/>
      </c>
      <c r="P502" s="48">
        <f>IF(L502&lt;=0, 0, INT($G$8/L502))</f>
        <v/>
      </c>
      <c r="Q502" s="42">
        <f>MIN(O502, P502)</f>
        <v/>
      </c>
      <c r="R502" s="43">
        <f>ROUND((Q502*L502)/1000, 2)</f>
        <v/>
      </c>
      <c r="S502" s="49">
        <f>IF($C$8&gt;0, R502/$C$8, 0)</f>
        <v/>
      </c>
      <c r="T502" s="49">
        <f>IF(O502&gt;0, Q502/O502, 0)</f>
        <v/>
      </c>
      <c r="U502" s="18">
        <f>IF(Q502=0, "Exceeds Limit", IF(P502&lt;=O502, "Weight Limited", "Volume Limited"))</f>
        <v/>
      </c>
    </row>
    <row r="503" ht="19" customHeight="1">
      <c r="A503" s="38" t="n">
        <v>493</v>
      </c>
      <c r="B503" s="51" t="inlineStr">
        <is>
          <t>Stainless Steel 304</t>
        </is>
      </c>
      <c r="C503" s="13" t="inlineStr">
        <is>
          <t>ASME B36.19M</t>
        </is>
      </c>
      <c r="D503" s="12" t="inlineStr">
        <is>
          <t>44''</t>
        </is>
      </c>
      <c r="E503" s="38" t="n">
        <v>1100</v>
      </c>
      <c r="F503" s="12" t="inlineStr">
        <is>
          <t>XS</t>
        </is>
      </c>
      <c r="G503" s="14" t="n">
        <v>44</v>
      </c>
      <c r="H503" s="40" t="n">
        <v>1117.6</v>
      </c>
      <c r="I503" s="14" t="n">
        <v>0.5</v>
      </c>
      <c r="J503" s="40" t="n">
        <v>12.7</v>
      </c>
      <c r="K503" s="14">
        <f>ROUND((H503-J503)*J503*IF(B503="Carbon Steel",$K$7,IF(B503="Stainless Steel 304",$K$8,$L$8)), 3)</f>
        <v/>
      </c>
      <c r="L503" s="40">
        <f>ROUND(K503*$G$5, 2)</f>
        <v/>
      </c>
      <c r="M503" s="38">
        <f>INT($G$6/H503)</f>
        <v/>
      </c>
      <c r="N503" s="38">
        <f>IF(M503=0, 0, IF(OR($K$6="Square Grid", M503=1), INT($G$7/H503), IF($G$7&lt;H503, 0, 1+INT(($G$7-H503)/(0.8660254*H503)))))</f>
        <v/>
      </c>
      <c r="O503" s="41">
        <f>IF(OR(M503=0,N503=0), 0, IF(OR($K$6="Square Grid", M503=1), M503*N503*$K$5, (INT((N503+1)/2)*M503 + INT(N503/2)*IF(($G$6-M503*H503)&gt;=0.5*H503, M503, M503-1))*$K$5))</f>
        <v/>
      </c>
      <c r="P503" s="41">
        <f>IF(L503&lt;=0, 0, INT($G$8/L503))</f>
        <v/>
      </c>
      <c r="Q503" s="42">
        <f>MIN(O503, P503)</f>
        <v/>
      </c>
      <c r="R503" s="43">
        <f>ROUND((Q503*L503)/1000, 2)</f>
        <v/>
      </c>
      <c r="S503" s="44">
        <f>IF($C$8&gt;0, R503/$C$8, 0)</f>
        <v/>
      </c>
      <c r="T503" s="44">
        <f>IF(O503&gt;0, Q503/O503, 0)</f>
        <v/>
      </c>
      <c r="U503" s="12">
        <f>IF(Q503=0, "Exceeds Limit", IF(P503&lt;=O503, "Weight Limited", "Volume Limited"))</f>
        <v/>
      </c>
    </row>
    <row r="504" ht="19" customHeight="1">
      <c r="A504" s="45" t="n">
        <v>494</v>
      </c>
      <c r="B504" s="50" t="inlineStr">
        <is>
          <t>Stainless Steel 304</t>
        </is>
      </c>
      <c r="C504" s="19" t="inlineStr">
        <is>
          <t>ASME B36.19M</t>
        </is>
      </c>
      <c r="D504" s="18" t="inlineStr">
        <is>
          <t>46''</t>
        </is>
      </c>
      <c r="E504" s="45" t="n">
        <v>1150</v>
      </c>
      <c r="F504" s="18" t="inlineStr">
        <is>
          <t>STD</t>
        </is>
      </c>
      <c r="G504" s="20" t="n">
        <v>46</v>
      </c>
      <c r="H504" s="47" t="n">
        <v>1168.4</v>
      </c>
      <c r="I504" s="20" t="n">
        <v>0.375</v>
      </c>
      <c r="J504" s="47" t="n">
        <v>9.52</v>
      </c>
      <c r="K504" s="20">
        <f>ROUND((H504-J504)*J504*IF(B504="Carbon Steel",$K$7,IF(B504="Stainless Steel 304",$K$8,$L$8)), 3)</f>
        <v/>
      </c>
      <c r="L504" s="47">
        <f>ROUND(K504*$G$5, 2)</f>
        <v/>
      </c>
      <c r="M504" s="45">
        <f>INT($G$6/H504)</f>
        <v/>
      </c>
      <c r="N504" s="45">
        <f>IF(M504=0, 0, IF(OR($K$6="Square Grid", M504=1), INT($G$7/H504), IF($G$7&lt;H504, 0, 1+INT(($G$7-H504)/(0.8660254*H504)))))</f>
        <v/>
      </c>
      <c r="O504" s="48">
        <f>IF(OR(M504=0,N504=0), 0, IF(OR($K$6="Square Grid", M504=1), M504*N504*$K$5, (INT((N504+1)/2)*M504 + INT(N504/2)*IF(($G$6-M504*H504)&gt;=0.5*H504, M504, M504-1))*$K$5))</f>
        <v/>
      </c>
      <c r="P504" s="48">
        <f>IF(L504&lt;=0, 0, INT($G$8/L504))</f>
        <v/>
      </c>
      <c r="Q504" s="42">
        <f>MIN(O504, P504)</f>
        <v/>
      </c>
      <c r="R504" s="43">
        <f>ROUND((Q504*L504)/1000, 2)</f>
        <v/>
      </c>
      <c r="S504" s="49">
        <f>IF($C$8&gt;0, R504/$C$8, 0)</f>
        <v/>
      </c>
      <c r="T504" s="49">
        <f>IF(O504&gt;0, Q504/O504, 0)</f>
        <v/>
      </c>
      <c r="U504" s="18">
        <f>IF(Q504=0, "Exceeds Limit", IF(P504&lt;=O504, "Weight Limited", "Volume Limited"))</f>
        <v/>
      </c>
    </row>
    <row r="505" ht="19" customHeight="1">
      <c r="A505" s="38" t="n">
        <v>495</v>
      </c>
      <c r="B505" s="51" t="inlineStr">
        <is>
          <t>Stainless Steel 304</t>
        </is>
      </c>
      <c r="C505" s="13" t="inlineStr">
        <is>
          <t>ASME B36.19M</t>
        </is>
      </c>
      <c r="D505" s="12" t="inlineStr">
        <is>
          <t>46''</t>
        </is>
      </c>
      <c r="E505" s="38" t="n">
        <v>1150</v>
      </c>
      <c r="F505" s="12" t="inlineStr">
        <is>
          <t>XS</t>
        </is>
      </c>
      <c r="G505" s="14" t="n">
        <v>46</v>
      </c>
      <c r="H505" s="40" t="n">
        <v>1168.4</v>
      </c>
      <c r="I505" s="14" t="n">
        <v>0.5</v>
      </c>
      <c r="J505" s="40" t="n">
        <v>12.7</v>
      </c>
      <c r="K505" s="14">
        <f>ROUND((H505-J505)*J505*IF(B505="Carbon Steel",$K$7,IF(B505="Stainless Steel 304",$K$8,$L$8)), 3)</f>
        <v/>
      </c>
      <c r="L505" s="40">
        <f>ROUND(K505*$G$5, 2)</f>
        <v/>
      </c>
      <c r="M505" s="38">
        <f>INT($G$6/H505)</f>
        <v/>
      </c>
      <c r="N505" s="38">
        <f>IF(M505=0, 0, IF(OR($K$6="Square Grid", M505=1), INT($G$7/H505), IF($G$7&lt;H505, 0, 1+INT(($G$7-H505)/(0.8660254*H505)))))</f>
        <v/>
      </c>
      <c r="O505" s="41">
        <f>IF(OR(M505=0,N505=0), 0, IF(OR($K$6="Square Grid", M505=1), M505*N505*$K$5, (INT((N505+1)/2)*M505 + INT(N505/2)*IF(($G$6-M505*H505)&gt;=0.5*H505, M505, M505-1))*$K$5))</f>
        <v/>
      </c>
      <c r="P505" s="41">
        <f>IF(L505&lt;=0, 0, INT($G$8/L505))</f>
        <v/>
      </c>
      <c r="Q505" s="42">
        <f>MIN(O505, P505)</f>
        <v/>
      </c>
      <c r="R505" s="43">
        <f>ROUND((Q505*L505)/1000, 2)</f>
        <v/>
      </c>
      <c r="S505" s="44">
        <f>IF($C$8&gt;0, R505/$C$8, 0)</f>
        <v/>
      </c>
      <c r="T505" s="44">
        <f>IF(O505&gt;0, Q505/O505, 0)</f>
        <v/>
      </c>
      <c r="U505" s="12">
        <f>IF(Q505=0, "Exceeds Limit", IF(P505&lt;=O505, "Weight Limited", "Volume Limited"))</f>
        <v/>
      </c>
    </row>
    <row r="506" ht="19" customHeight="1">
      <c r="A506" s="45" t="n">
        <v>496</v>
      </c>
      <c r="B506" s="50" t="inlineStr">
        <is>
          <t>Stainless Steel 304</t>
        </is>
      </c>
      <c r="C506" s="19" t="inlineStr">
        <is>
          <t>ASME B36.19M</t>
        </is>
      </c>
      <c r="D506" s="18" t="inlineStr">
        <is>
          <t>48''</t>
        </is>
      </c>
      <c r="E506" s="45" t="n">
        <v>1200</v>
      </c>
      <c r="F506" s="18" t="inlineStr">
        <is>
          <t>40S</t>
        </is>
      </c>
      <c r="G506" s="20" t="n">
        <v>48</v>
      </c>
      <c r="H506" s="47" t="n">
        <v>1219.2</v>
      </c>
      <c r="I506" s="20" t="n">
        <v>0.375</v>
      </c>
      <c r="J506" s="47" t="n">
        <v>9.52</v>
      </c>
      <c r="K506" s="20">
        <f>ROUND((H506-J506)*J506*IF(B506="Carbon Steel",$K$7,IF(B506="Stainless Steel 304",$K$8,$L$8)), 3)</f>
        <v/>
      </c>
      <c r="L506" s="47">
        <f>ROUND(K506*$G$5, 2)</f>
        <v/>
      </c>
      <c r="M506" s="45">
        <f>INT($G$6/H506)</f>
        <v/>
      </c>
      <c r="N506" s="45">
        <f>IF(M506=0, 0, IF(OR($K$6="Square Grid", M506=1), INT($G$7/H506), IF($G$7&lt;H506, 0, 1+INT(($G$7-H506)/(0.8660254*H506)))))</f>
        <v/>
      </c>
      <c r="O506" s="48">
        <f>IF(OR(M506=0,N506=0), 0, IF(OR($K$6="Square Grid", M506=1), M506*N506*$K$5, (INT((N506+1)/2)*M506 + INT(N506/2)*IF(($G$6-M506*H506)&gt;=0.5*H506, M506, M506-1))*$K$5))</f>
        <v/>
      </c>
      <c r="P506" s="48">
        <f>IF(L506&lt;=0, 0, INT($G$8/L506))</f>
        <v/>
      </c>
      <c r="Q506" s="42">
        <f>MIN(O506, P506)</f>
        <v/>
      </c>
      <c r="R506" s="43">
        <f>ROUND((Q506*L506)/1000, 2)</f>
        <v/>
      </c>
      <c r="S506" s="49">
        <f>IF($C$8&gt;0, R506/$C$8, 0)</f>
        <v/>
      </c>
      <c r="T506" s="49">
        <f>IF(O506&gt;0, Q506/O506, 0)</f>
        <v/>
      </c>
      <c r="U506" s="18">
        <f>IF(Q506=0, "Exceeds Limit", IF(P506&lt;=O506, "Weight Limited", "Volume Limited"))</f>
        <v/>
      </c>
    </row>
    <row r="507" ht="19" customHeight="1">
      <c r="A507" s="38" t="n">
        <v>497</v>
      </c>
      <c r="B507" s="51" t="inlineStr">
        <is>
          <t>Stainless Steel 304</t>
        </is>
      </c>
      <c r="C507" s="13" t="inlineStr">
        <is>
          <t>ASME B36.19M</t>
        </is>
      </c>
      <c r="D507" s="12" t="inlineStr">
        <is>
          <t>48''</t>
        </is>
      </c>
      <c r="E507" s="38" t="n">
        <v>1200</v>
      </c>
      <c r="F507" s="12" t="inlineStr">
        <is>
          <t>80S</t>
        </is>
      </c>
      <c r="G507" s="14" t="n">
        <v>48</v>
      </c>
      <c r="H507" s="40" t="n">
        <v>1219.2</v>
      </c>
      <c r="I507" s="14" t="n">
        <v>0.5</v>
      </c>
      <c r="J507" s="40" t="n">
        <v>12.7</v>
      </c>
      <c r="K507" s="14">
        <f>ROUND((H507-J507)*J507*IF(B507="Carbon Steel",$K$7,IF(B507="Stainless Steel 304",$K$8,$L$8)), 3)</f>
        <v/>
      </c>
      <c r="L507" s="40">
        <f>ROUND(K507*$G$5, 2)</f>
        <v/>
      </c>
      <c r="M507" s="38">
        <f>INT($G$6/H507)</f>
        <v/>
      </c>
      <c r="N507" s="38">
        <f>IF(M507=0, 0, IF(OR($K$6="Square Grid", M507=1), INT($G$7/H507), IF($G$7&lt;H507, 0, 1+INT(($G$7-H507)/(0.8660254*H507)))))</f>
        <v/>
      </c>
      <c r="O507" s="41">
        <f>IF(OR(M507=0,N507=0), 0, IF(OR($K$6="Square Grid", M507=1), M507*N507*$K$5, (INT((N507+1)/2)*M507 + INT(N507/2)*IF(($G$6-M507*H507)&gt;=0.5*H507, M507, M507-1))*$K$5))</f>
        <v/>
      </c>
      <c r="P507" s="41">
        <f>IF(L507&lt;=0, 0, INT($G$8/L507))</f>
        <v/>
      </c>
      <c r="Q507" s="42">
        <f>MIN(O507, P507)</f>
        <v/>
      </c>
      <c r="R507" s="43">
        <f>ROUND((Q507*L507)/1000, 2)</f>
        <v/>
      </c>
      <c r="S507" s="44">
        <f>IF($C$8&gt;0, R507/$C$8, 0)</f>
        <v/>
      </c>
      <c r="T507" s="44">
        <f>IF(O507&gt;0, Q507/O507, 0)</f>
        <v/>
      </c>
      <c r="U507" s="12">
        <f>IF(Q507=0, "Exceeds Limit", IF(P507&lt;=O507, "Weight Limited", "Volume Limited"))</f>
        <v/>
      </c>
    </row>
    <row r="508" ht="19" customHeight="1">
      <c r="A508" s="45" t="n">
        <v>498</v>
      </c>
      <c r="B508" s="50" t="inlineStr">
        <is>
          <t>Stainless Steel 304</t>
        </is>
      </c>
      <c r="C508" s="19" t="inlineStr">
        <is>
          <t>ASME B36.19M</t>
        </is>
      </c>
      <c r="D508" s="18" t="inlineStr">
        <is>
          <t>48''</t>
        </is>
      </c>
      <c r="E508" s="45" t="n">
        <v>1200</v>
      </c>
      <c r="F508" s="18" t="inlineStr">
        <is>
          <t>STD</t>
        </is>
      </c>
      <c r="G508" s="20" t="n">
        <v>48</v>
      </c>
      <c r="H508" s="47" t="n">
        <v>1219.2</v>
      </c>
      <c r="I508" s="20" t="n">
        <v>0.375</v>
      </c>
      <c r="J508" s="47" t="n">
        <v>9.52</v>
      </c>
      <c r="K508" s="20">
        <f>ROUND((H508-J508)*J508*IF(B508="Carbon Steel",$K$7,IF(B508="Stainless Steel 304",$K$8,$L$8)), 3)</f>
        <v/>
      </c>
      <c r="L508" s="47">
        <f>ROUND(K508*$G$5, 2)</f>
        <v/>
      </c>
      <c r="M508" s="45">
        <f>INT($G$6/H508)</f>
        <v/>
      </c>
      <c r="N508" s="45">
        <f>IF(M508=0, 0, IF(OR($K$6="Square Grid", M508=1), INT($G$7/H508), IF($G$7&lt;H508, 0, 1+INT(($G$7-H508)/(0.8660254*H508)))))</f>
        <v/>
      </c>
      <c r="O508" s="48">
        <f>IF(OR(M508=0,N508=0), 0, IF(OR($K$6="Square Grid", M508=1), M508*N508*$K$5, (INT((N508+1)/2)*M508 + INT(N508/2)*IF(($G$6-M508*H508)&gt;=0.5*H508, M508, M508-1))*$K$5))</f>
        <v/>
      </c>
      <c r="P508" s="48">
        <f>IF(L508&lt;=0, 0, INT($G$8/L508))</f>
        <v/>
      </c>
      <c r="Q508" s="42">
        <f>MIN(O508, P508)</f>
        <v/>
      </c>
      <c r="R508" s="43">
        <f>ROUND((Q508*L508)/1000, 2)</f>
        <v/>
      </c>
      <c r="S508" s="49">
        <f>IF($C$8&gt;0, R508/$C$8, 0)</f>
        <v/>
      </c>
      <c r="T508" s="49">
        <f>IF(O508&gt;0, Q508/O508, 0)</f>
        <v/>
      </c>
      <c r="U508" s="18">
        <f>IF(Q508=0, "Exceeds Limit", IF(P508&lt;=O508, "Weight Limited", "Volume Limited"))</f>
        <v/>
      </c>
    </row>
    <row r="509" ht="19" customHeight="1">
      <c r="A509" s="38" t="n">
        <v>499</v>
      </c>
      <c r="B509" s="51" t="inlineStr">
        <is>
          <t>Stainless Steel 304</t>
        </is>
      </c>
      <c r="C509" s="13" t="inlineStr">
        <is>
          <t>ASME B36.19M</t>
        </is>
      </c>
      <c r="D509" s="12" t="inlineStr">
        <is>
          <t>48''</t>
        </is>
      </c>
      <c r="E509" s="38" t="n">
        <v>1200</v>
      </c>
      <c r="F509" s="12" t="inlineStr">
        <is>
          <t>XS</t>
        </is>
      </c>
      <c r="G509" s="14" t="n">
        <v>48</v>
      </c>
      <c r="H509" s="40" t="n">
        <v>1219.2</v>
      </c>
      <c r="I509" s="14" t="n">
        <v>0.5</v>
      </c>
      <c r="J509" s="40" t="n">
        <v>12.7</v>
      </c>
      <c r="K509" s="14">
        <f>ROUND((H509-J509)*J509*IF(B509="Carbon Steel",$K$7,IF(B509="Stainless Steel 304",$K$8,$L$8)), 3)</f>
        <v/>
      </c>
      <c r="L509" s="40">
        <f>ROUND(K509*$G$5, 2)</f>
        <v/>
      </c>
      <c r="M509" s="38">
        <f>INT($G$6/H509)</f>
        <v/>
      </c>
      <c r="N509" s="38">
        <f>IF(M509=0, 0, IF(OR($K$6="Square Grid", M509=1), INT($G$7/H509), IF($G$7&lt;H509, 0, 1+INT(($G$7-H509)/(0.8660254*H509)))))</f>
        <v/>
      </c>
      <c r="O509" s="41">
        <f>IF(OR(M509=0,N509=0), 0, IF(OR($K$6="Square Grid", M509=1), M509*N509*$K$5, (INT((N509+1)/2)*M509 + INT(N509/2)*IF(($G$6-M509*H509)&gt;=0.5*H509, M509, M509-1))*$K$5))</f>
        <v/>
      </c>
      <c r="P509" s="41">
        <f>IF(L509&lt;=0, 0, INT($G$8/L509))</f>
        <v/>
      </c>
      <c r="Q509" s="42">
        <f>MIN(O509, P509)</f>
        <v/>
      </c>
      <c r="R509" s="43">
        <f>ROUND((Q509*L509)/1000, 2)</f>
        <v/>
      </c>
      <c r="S509" s="44">
        <f>IF($C$8&gt;0, R509/$C$8, 0)</f>
        <v/>
      </c>
      <c r="T509" s="44">
        <f>IF(O509&gt;0, Q509/O509, 0)</f>
        <v/>
      </c>
      <c r="U509" s="12">
        <f>IF(Q509=0, "Exceeds Limit", IF(P509&lt;=O509, "Weight Limited", "Volume Limited"))</f>
        <v/>
      </c>
    </row>
    <row r="510" ht="19" customHeight="1">
      <c r="A510" s="45" t="n">
        <v>500</v>
      </c>
      <c r="B510" s="50" t="inlineStr">
        <is>
          <t>Stainless Steel 316</t>
        </is>
      </c>
      <c r="C510" s="19" t="inlineStr">
        <is>
          <t>ASME B36.19M</t>
        </is>
      </c>
      <c r="D510" s="18" t="inlineStr">
        <is>
          <t>1/8''</t>
        </is>
      </c>
      <c r="E510" s="45" t="n">
        <v>6</v>
      </c>
      <c r="F510" s="18" t="inlineStr">
        <is>
          <t>10S</t>
        </is>
      </c>
      <c r="G510" s="20" t="n">
        <v>0.405</v>
      </c>
      <c r="H510" s="47" t="n">
        <v>10.29</v>
      </c>
      <c r="I510" s="20" t="n">
        <v>0.049</v>
      </c>
      <c r="J510" s="47" t="n">
        <v>1.24</v>
      </c>
      <c r="K510" s="20">
        <f>ROUND((H510-J510)*J510*IF(B510="Carbon Steel",$K$7,IF(B510="Stainless Steel 304",$K$8,$L$8)), 3)</f>
        <v/>
      </c>
      <c r="L510" s="47">
        <f>ROUND(K510*$G$5, 2)</f>
        <v/>
      </c>
      <c r="M510" s="45">
        <f>INT($G$6/H510)</f>
        <v/>
      </c>
      <c r="N510" s="45">
        <f>IF(M510=0, 0, IF(OR($K$6="Square Grid", M510=1), INT($G$7/H510), IF($G$7&lt;H510, 0, 1+INT(($G$7-H510)/(0.8660254*H510)))))</f>
        <v/>
      </c>
      <c r="O510" s="48">
        <f>IF(OR(M510=0,N510=0), 0, IF(OR($K$6="Square Grid", M510=1), M510*N510*$K$5, (INT((N510+1)/2)*M510 + INT(N510/2)*IF(($G$6-M510*H510)&gt;=0.5*H510, M510, M510-1))*$K$5))</f>
        <v/>
      </c>
      <c r="P510" s="48">
        <f>IF(L510&lt;=0, 0, INT($G$8/L510))</f>
        <v/>
      </c>
      <c r="Q510" s="42">
        <f>MIN(O510, P510)</f>
        <v/>
      </c>
      <c r="R510" s="43">
        <f>ROUND((Q510*L510)/1000, 2)</f>
        <v/>
      </c>
      <c r="S510" s="49">
        <f>IF($C$8&gt;0, R510/$C$8, 0)</f>
        <v/>
      </c>
      <c r="T510" s="49">
        <f>IF(O510&gt;0, Q510/O510, 0)</f>
        <v/>
      </c>
      <c r="U510" s="18">
        <f>IF(Q510=0, "Exceeds Limit", IF(P510&lt;=O510, "Weight Limited", "Volume Limited"))</f>
        <v/>
      </c>
    </row>
    <row r="511" ht="19" customHeight="1">
      <c r="A511" s="38" t="n">
        <v>501</v>
      </c>
      <c r="B511" s="51" t="inlineStr">
        <is>
          <t>Stainless Steel 316</t>
        </is>
      </c>
      <c r="C511" s="13" t="inlineStr">
        <is>
          <t>ASME B36.19M</t>
        </is>
      </c>
      <c r="D511" s="12" t="inlineStr">
        <is>
          <t>1/8''</t>
        </is>
      </c>
      <c r="E511" s="38" t="n">
        <v>6</v>
      </c>
      <c r="F511" s="12" t="inlineStr">
        <is>
          <t>40S</t>
        </is>
      </c>
      <c r="G511" s="14" t="n">
        <v>0.405</v>
      </c>
      <c r="H511" s="40" t="n">
        <v>10.29</v>
      </c>
      <c r="I511" s="14" t="n">
        <v>0.068</v>
      </c>
      <c r="J511" s="40" t="n">
        <v>1.73</v>
      </c>
      <c r="K511" s="14">
        <f>ROUND((H511-J511)*J511*IF(B511="Carbon Steel",$K$7,IF(B511="Stainless Steel 304",$K$8,$L$8)), 3)</f>
        <v/>
      </c>
      <c r="L511" s="40">
        <f>ROUND(K511*$G$5, 2)</f>
        <v/>
      </c>
      <c r="M511" s="38">
        <f>INT($G$6/H511)</f>
        <v/>
      </c>
      <c r="N511" s="38">
        <f>IF(M511=0, 0, IF(OR($K$6="Square Grid", M511=1), INT($G$7/H511), IF($G$7&lt;H511, 0, 1+INT(($G$7-H511)/(0.8660254*H511)))))</f>
        <v/>
      </c>
      <c r="O511" s="41">
        <f>IF(OR(M511=0,N511=0), 0, IF(OR($K$6="Square Grid", M511=1), M511*N511*$K$5, (INT((N511+1)/2)*M511 + INT(N511/2)*IF(($G$6-M511*H511)&gt;=0.5*H511, M511, M511-1))*$K$5))</f>
        <v/>
      </c>
      <c r="P511" s="41">
        <f>IF(L511&lt;=0, 0, INT($G$8/L511))</f>
        <v/>
      </c>
      <c r="Q511" s="42">
        <f>MIN(O511, P511)</f>
        <v/>
      </c>
      <c r="R511" s="43">
        <f>ROUND((Q511*L511)/1000, 2)</f>
        <v/>
      </c>
      <c r="S511" s="44">
        <f>IF($C$8&gt;0, R511/$C$8, 0)</f>
        <v/>
      </c>
      <c r="T511" s="44">
        <f>IF(O511&gt;0, Q511/O511, 0)</f>
        <v/>
      </c>
      <c r="U511" s="12">
        <f>IF(Q511=0, "Exceeds Limit", IF(P511&lt;=O511, "Weight Limited", "Volume Limited"))</f>
        <v/>
      </c>
    </row>
    <row r="512" ht="19" customHeight="1">
      <c r="A512" s="45" t="n">
        <v>502</v>
      </c>
      <c r="B512" s="50" t="inlineStr">
        <is>
          <t>Stainless Steel 316</t>
        </is>
      </c>
      <c r="C512" s="19" t="inlineStr">
        <is>
          <t>ASME B36.19M</t>
        </is>
      </c>
      <c r="D512" s="18" t="inlineStr">
        <is>
          <t>1/8''</t>
        </is>
      </c>
      <c r="E512" s="45" t="n">
        <v>6</v>
      </c>
      <c r="F512" s="18" t="inlineStr">
        <is>
          <t>80S</t>
        </is>
      </c>
      <c r="G512" s="20" t="n">
        <v>0.405</v>
      </c>
      <c r="H512" s="47" t="n">
        <v>10.29</v>
      </c>
      <c r="I512" s="20" t="n">
        <v>0.095</v>
      </c>
      <c r="J512" s="47" t="n">
        <v>2.41</v>
      </c>
      <c r="K512" s="20">
        <f>ROUND((H512-J512)*J512*IF(B512="Carbon Steel",$K$7,IF(B512="Stainless Steel 304",$K$8,$L$8)), 3)</f>
        <v/>
      </c>
      <c r="L512" s="47">
        <f>ROUND(K512*$G$5, 2)</f>
        <v/>
      </c>
      <c r="M512" s="45">
        <f>INT($G$6/H512)</f>
        <v/>
      </c>
      <c r="N512" s="45">
        <f>IF(M512=0, 0, IF(OR($K$6="Square Grid", M512=1), INT($G$7/H512), IF($G$7&lt;H512, 0, 1+INT(($G$7-H512)/(0.8660254*H512)))))</f>
        <v/>
      </c>
      <c r="O512" s="48">
        <f>IF(OR(M512=0,N512=0), 0, IF(OR($K$6="Square Grid", M512=1), M512*N512*$K$5, (INT((N512+1)/2)*M512 + INT(N512/2)*IF(($G$6-M512*H512)&gt;=0.5*H512, M512, M512-1))*$K$5))</f>
        <v/>
      </c>
      <c r="P512" s="48">
        <f>IF(L512&lt;=0, 0, INT($G$8/L512))</f>
        <v/>
      </c>
      <c r="Q512" s="42">
        <f>MIN(O512, P512)</f>
        <v/>
      </c>
      <c r="R512" s="43">
        <f>ROUND((Q512*L512)/1000, 2)</f>
        <v/>
      </c>
      <c r="S512" s="49">
        <f>IF($C$8&gt;0, R512/$C$8, 0)</f>
        <v/>
      </c>
      <c r="T512" s="49">
        <f>IF(O512&gt;0, Q512/O512, 0)</f>
        <v/>
      </c>
      <c r="U512" s="18">
        <f>IF(Q512=0, "Exceeds Limit", IF(P512&lt;=O512, "Weight Limited", "Volume Limited"))</f>
        <v/>
      </c>
    </row>
    <row r="513" ht="19" customHeight="1">
      <c r="A513" s="38" t="n">
        <v>503</v>
      </c>
      <c r="B513" s="51" t="inlineStr">
        <is>
          <t>Stainless Steel 316</t>
        </is>
      </c>
      <c r="C513" s="13" t="inlineStr">
        <is>
          <t>ASME B36.19M</t>
        </is>
      </c>
      <c r="D513" s="12" t="inlineStr">
        <is>
          <t>1/8''</t>
        </is>
      </c>
      <c r="E513" s="38" t="n">
        <v>6</v>
      </c>
      <c r="F513" s="12" t="inlineStr">
        <is>
          <t>STD</t>
        </is>
      </c>
      <c r="G513" s="14" t="n">
        <v>0.405</v>
      </c>
      <c r="H513" s="40" t="n">
        <v>10.29</v>
      </c>
      <c r="I513" s="14" t="n">
        <v>0.068</v>
      </c>
      <c r="J513" s="40" t="n">
        <v>1.73</v>
      </c>
      <c r="K513" s="14">
        <f>ROUND((H513-J513)*J513*IF(B513="Carbon Steel",$K$7,IF(B513="Stainless Steel 304",$K$8,$L$8)), 3)</f>
        <v/>
      </c>
      <c r="L513" s="40">
        <f>ROUND(K513*$G$5, 2)</f>
        <v/>
      </c>
      <c r="M513" s="38">
        <f>INT($G$6/H513)</f>
        <v/>
      </c>
      <c r="N513" s="38">
        <f>IF(M513=0, 0, IF(OR($K$6="Square Grid", M513=1), INT($G$7/H513), IF($G$7&lt;H513, 0, 1+INT(($G$7-H513)/(0.8660254*H513)))))</f>
        <v/>
      </c>
      <c r="O513" s="41">
        <f>IF(OR(M513=0,N513=0), 0, IF(OR($K$6="Square Grid", M513=1), M513*N513*$K$5, (INT((N513+1)/2)*M513 + INT(N513/2)*IF(($G$6-M513*H513)&gt;=0.5*H513, M513, M513-1))*$K$5))</f>
        <v/>
      </c>
      <c r="P513" s="41">
        <f>IF(L513&lt;=0, 0, INT($G$8/L513))</f>
        <v/>
      </c>
      <c r="Q513" s="42">
        <f>MIN(O513, P513)</f>
        <v/>
      </c>
      <c r="R513" s="43">
        <f>ROUND((Q513*L513)/1000, 2)</f>
        <v/>
      </c>
      <c r="S513" s="44">
        <f>IF($C$8&gt;0, R513/$C$8, 0)</f>
        <v/>
      </c>
      <c r="T513" s="44">
        <f>IF(O513&gt;0, Q513/O513, 0)</f>
        <v/>
      </c>
      <c r="U513" s="12">
        <f>IF(Q513=0, "Exceeds Limit", IF(P513&lt;=O513, "Weight Limited", "Volume Limited"))</f>
        <v/>
      </c>
    </row>
    <row r="514" ht="19" customHeight="1">
      <c r="A514" s="45" t="n">
        <v>504</v>
      </c>
      <c r="B514" s="50" t="inlineStr">
        <is>
          <t>Stainless Steel 316</t>
        </is>
      </c>
      <c r="C514" s="19" t="inlineStr">
        <is>
          <t>ASME B36.19M</t>
        </is>
      </c>
      <c r="D514" s="18" t="inlineStr">
        <is>
          <t>1/8''</t>
        </is>
      </c>
      <c r="E514" s="45" t="n">
        <v>6</v>
      </c>
      <c r="F514" s="18" t="inlineStr">
        <is>
          <t>XS</t>
        </is>
      </c>
      <c r="G514" s="20" t="n">
        <v>0.405</v>
      </c>
      <c r="H514" s="47" t="n">
        <v>10.29</v>
      </c>
      <c r="I514" s="20" t="n">
        <v>0.095</v>
      </c>
      <c r="J514" s="47" t="n">
        <v>2.41</v>
      </c>
      <c r="K514" s="20">
        <f>ROUND((H514-J514)*J514*IF(B514="Carbon Steel",$K$7,IF(B514="Stainless Steel 304",$K$8,$L$8)), 3)</f>
        <v/>
      </c>
      <c r="L514" s="47">
        <f>ROUND(K514*$G$5, 2)</f>
        <v/>
      </c>
      <c r="M514" s="45">
        <f>INT($G$6/H514)</f>
        <v/>
      </c>
      <c r="N514" s="45">
        <f>IF(M514=0, 0, IF(OR($K$6="Square Grid", M514=1), INT($G$7/H514), IF($G$7&lt;H514, 0, 1+INT(($G$7-H514)/(0.8660254*H514)))))</f>
        <v/>
      </c>
      <c r="O514" s="48">
        <f>IF(OR(M514=0,N514=0), 0, IF(OR($K$6="Square Grid", M514=1), M514*N514*$K$5, (INT((N514+1)/2)*M514 + INT(N514/2)*IF(($G$6-M514*H514)&gt;=0.5*H514, M514, M514-1))*$K$5))</f>
        <v/>
      </c>
      <c r="P514" s="48">
        <f>IF(L514&lt;=0, 0, INT($G$8/L514))</f>
        <v/>
      </c>
      <c r="Q514" s="42">
        <f>MIN(O514, P514)</f>
        <v/>
      </c>
      <c r="R514" s="43">
        <f>ROUND((Q514*L514)/1000, 2)</f>
        <v/>
      </c>
      <c r="S514" s="49">
        <f>IF($C$8&gt;0, R514/$C$8, 0)</f>
        <v/>
      </c>
      <c r="T514" s="49">
        <f>IF(O514&gt;0, Q514/O514, 0)</f>
        <v/>
      </c>
      <c r="U514" s="18">
        <f>IF(Q514=0, "Exceeds Limit", IF(P514&lt;=O514, "Weight Limited", "Volume Limited"))</f>
        <v/>
      </c>
    </row>
    <row r="515" ht="19" customHeight="1">
      <c r="A515" s="38" t="n">
        <v>505</v>
      </c>
      <c r="B515" s="51" t="inlineStr">
        <is>
          <t>Stainless Steel 316</t>
        </is>
      </c>
      <c r="C515" s="13" t="inlineStr">
        <is>
          <t>ASME B36.19M</t>
        </is>
      </c>
      <c r="D515" s="12" t="inlineStr">
        <is>
          <t>1/4''</t>
        </is>
      </c>
      <c r="E515" s="38" t="n">
        <v>8</v>
      </c>
      <c r="F515" s="12" t="inlineStr">
        <is>
          <t>10S</t>
        </is>
      </c>
      <c r="G515" s="14" t="n">
        <v>0.54</v>
      </c>
      <c r="H515" s="40" t="n">
        <v>13.72</v>
      </c>
      <c r="I515" s="14" t="n">
        <v>0.065</v>
      </c>
      <c r="J515" s="40" t="n">
        <v>1.65</v>
      </c>
      <c r="K515" s="14">
        <f>ROUND((H515-J515)*J515*IF(B515="Carbon Steel",$K$7,IF(B515="Stainless Steel 304",$K$8,$L$8)), 3)</f>
        <v/>
      </c>
      <c r="L515" s="40">
        <f>ROUND(K515*$G$5, 2)</f>
        <v/>
      </c>
      <c r="M515" s="38">
        <f>INT($G$6/H515)</f>
        <v/>
      </c>
      <c r="N515" s="38">
        <f>IF(M515=0, 0, IF(OR($K$6="Square Grid", M515=1), INT($G$7/H515), IF($G$7&lt;H515, 0, 1+INT(($G$7-H515)/(0.8660254*H515)))))</f>
        <v/>
      </c>
      <c r="O515" s="41">
        <f>IF(OR(M515=0,N515=0), 0, IF(OR($K$6="Square Grid", M515=1), M515*N515*$K$5, (INT((N515+1)/2)*M515 + INT(N515/2)*IF(($G$6-M515*H515)&gt;=0.5*H515, M515, M515-1))*$K$5))</f>
        <v/>
      </c>
      <c r="P515" s="41">
        <f>IF(L515&lt;=0, 0, INT($G$8/L515))</f>
        <v/>
      </c>
      <c r="Q515" s="42">
        <f>MIN(O515, P515)</f>
        <v/>
      </c>
      <c r="R515" s="43">
        <f>ROUND((Q515*L515)/1000, 2)</f>
        <v/>
      </c>
      <c r="S515" s="44">
        <f>IF($C$8&gt;0, R515/$C$8, 0)</f>
        <v/>
      </c>
      <c r="T515" s="44">
        <f>IF(O515&gt;0, Q515/O515, 0)</f>
        <v/>
      </c>
      <c r="U515" s="12">
        <f>IF(Q515=0, "Exceeds Limit", IF(P515&lt;=O515, "Weight Limited", "Volume Limited"))</f>
        <v/>
      </c>
    </row>
    <row r="516" ht="19" customHeight="1">
      <c r="A516" s="45" t="n">
        <v>506</v>
      </c>
      <c r="B516" s="50" t="inlineStr">
        <is>
          <t>Stainless Steel 316</t>
        </is>
      </c>
      <c r="C516" s="19" t="inlineStr">
        <is>
          <t>ASME B36.19M</t>
        </is>
      </c>
      <c r="D516" s="18" t="inlineStr">
        <is>
          <t>1/4''</t>
        </is>
      </c>
      <c r="E516" s="45" t="n">
        <v>8</v>
      </c>
      <c r="F516" s="18" t="inlineStr">
        <is>
          <t>40S</t>
        </is>
      </c>
      <c r="G516" s="20" t="n">
        <v>0.54</v>
      </c>
      <c r="H516" s="47" t="n">
        <v>13.72</v>
      </c>
      <c r="I516" s="20" t="n">
        <v>0.08799999999999999</v>
      </c>
      <c r="J516" s="47" t="n">
        <v>2.24</v>
      </c>
      <c r="K516" s="20">
        <f>ROUND((H516-J516)*J516*IF(B516="Carbon Steel",$K$7,IF(B516="Stainless Steel 304",$K$8,$L$8)), 3)</f>
        <v/>
      </c>
      <c r="L516" s="47">
        <f>ROUND(K516*$G$5, 2)</f>
        <v/>
      </c>
      <c r="M516" s="45">
        <f>INT($G$6/H516)</f>
        <v/>
      </c>
      <c r="N516" s="45">
        <f>IF(M516=0, 0, IF(OR($K$6="Square Grid", M516=1), INT($G$7/H516), IF($G$7&lt;H516, 0, 1+INT(($G$7-H516)/(0.8660254*H516)))))</f>
        <v/>
      </c>
      <c r="O516" s="48">
        <f>IF(OR(M516=0,N516=0), 0, IF(OR($K$6="Square Grid", M516=1), M516*N516*$K$5, (INT((N516+1)/2)*M516 + INT(N516/2)*IF(($G$6-M516*H516)&gt;=0.5*H516, M516, M516-1))*$K$5))</f>
        <v/>
      </c>
      <c r="P516" s="48">
        <f>IF(L516&lt;=0, 0, INT($G$8/L516))</f>
        <v/>
      </c>
      <c r="Q516" s="42">
        <f>MIN(O516, P516)</f>
        <v/>
      </c>
      <c r="R516" s="43">
        <f>ROUND((Q516*L516)/1000, 2)</f>
        <v/>
      </c>
      <c r="S516" s="49">
        <f>IF($C$8&gt;0, R516/$C$8, 0)</f>
        <v/>
      </c>
      <c r="T516" s="49">
        <f>IF(O516&gt;0, Q516/O516, 0)</f>
        <v/>
      </c>
      <c r="U516" s="18">
        <f>IF(Q516=0, "Exceeds Limit", IF(P516&lt;=O516, "Weight Limited", "Volume Limited"))</f>
        <v/>
      </c>
    </row>
    <row r="517" ht="19" customHeight="1">
      <c r="A517" s="38" t="n">
        <v>507</v>
      </c>
      <c r="B517" s="51" t="inlineStr">
        <is>
          <t>Stainless Steel 316</t>
        </is>
      </c>
      <c r="C517" s="13" t="inlineStr">
        <is>
          <t>ASME B36.19M</t>
        </is>
      </c>
      <c r="D517" s="12" t="inlineStr">
        <is>
          <t>1/4''</t>
        </is>
      </c>
      <c r="E517" s="38" t="n">
        <v>8</v>
      </c>
      <c r="F517" s="12" t="inlineStr">
        <is>
          <t>80S</t>
        </is>
      </c>
      <c r="G517" s="14" t="n">
        <v>0.54</v>
      </c>
      <c r="H517" s="40" t="n">
        <v>13.72</v>
      </c>
      <c r="I517" s="14" t="n">
        <v>0.119</v>
      </c>
      <c r="J517" s="40" t="n">
        <v>3.02</v>
      </c>
      <c r="K517" s="14">
        <f>ROUND((H517-J517)*J517*IF(B517="Carbon Steel",$K$7,IF(B517="Stainless Steel 304",$K$8,$L$8)), 3)</f>
        <v/>
      </c>
      <c r="L517" s="40">
        <f>ROUND(K517*$G$5, 2)</f>
        <v/>
      </c>
      <c r="M517" s="38">
        <f>INT($G$6/H517)</f>
        <v/>
      </c>
      <c r="N517" s="38">
        <f>IF(M517=0, 0, IF(OR($K$6="Square Grid", M517=1), INT($G$7/H517), IF($G$7&lt;H517, 0, 1+INT(($G$7-H517)/(0.8660254*H517)))))</f>
        <v/>
      </c>
      <c r="O517" s="41">
        <f>IF(OR(M517=0,N517=0), 0, IF(OR($K$6="Square Grid", M517=1), M517*N517*$K$5, (INT((N517+1)/2)*M517 + INT(N517/2)*IF(($G$6-M517*H517)&gt;=0.5*H517, M517, M517-1))*$K$5))</f>
        <v/>
      </c>
      <c r="P517" s="41">
        <f>IF(L517&lt;=0, 0, INT($G$8/L517))</f>
        <v/>
      </c>
      <c r="Q517" s="42">
        <f>MIN(O517, P517)</f>
        <v/>
      </c>
      <c r="R517" s="43">
        <f>ROUND((Q517*L517)/1000, 2)</f>
        <v/>
      </c>
      <c r="S517" s="44">
        <f>IF($C$8&gt;0, R517/$C$8, 0)</f>
        <v/>
      </c>
      <c r="T517" s="44">
        <f>IF(O517&gt;0, Q517/O517, 0)</f>
        <v/>
      </c>
      <c r="U517" s="12">
        <f>IF(Q517=0, "Exceeds Limit", IF(P517&lt;=O517, "Weight Limited", "Volume Limited"))</f>
        <v/>
      </c>
    </row>
    <row r="518" ht="19" customHeight="1">
      <c r="A518" s="45" t="n">
        <v>508</v>
      </c>
      <c r="B518" s="50" t="inlineStr">
        <is>
          <t>Stainless Steel 316</t>
        </is>
      </c>
      <c r="C518" s="19" t="inlineStr">
        <is>
          <t>ASME B36.19M</t>
        </is>
      </c>
      <c r="D518" s="18" t="inlineStr">
        <is>
          <t>1/4''</t>
        </is>
      </c>
      <c r="E518" s="45" t="n">
        <v>8</v>
      </c>
      <c r="F518" s="18" t="inlineStr">
        <is>
          <t>STD</t>
        </is>
      </c>
      <c r="G518" s="20" t="n">
        <v>0.54</v>
      </c>
      <c r="H518" s="47" t="n">
        <v>13.72</v>
      </c>
      <c r="I518" s="20" t="n">
        <v>0.08799999999999999</v>
      </c>
      <c r="J518" s="47" t="n">
        <v>2.24</v>
      </c>
      <c r="K518" s="20">
        <f>ROUND((H518-J518)*J518*IF(B518="Carbon Steel",$K$7,IF(B518="Stainless Steel 304",$K$8,$L$8)), 3)</f>
        <v/>
      </c>
      <c r="L518" s="47">
        <f>ROUND(K518*$G$5, 2)</f>
        <v/>
      </c>
      <c r="M518" s="45">
        <f>INT($G$6/H518)</f>
        <v/>
      </c>
      <c r="N518" s="45">
        <f>IF(M518=0, 0, IF(OR($K$6="Square Grid", M518=1), INT($G$7/H518), IF($G$7&lt;H518, 0, 1+INT(($G$7-H518)/(0.8660254*H518)))))</f>
        <v/>
      </c>
      <c r="O518" s="48">
        <f>IF(OR(M518=0,N518=0), 0, IF(OR($K$6="Square Grid", M518=1), M518*N518*$K$5, (INT((N518+1)/2)*M518 + INT(N518/2)*IF(($G$6-M518*H518)&gt;=0.5*H518, M518, M518-1))*$K$5))</f>
        <v/>
      </c>
      <c r="P518" s="48">
        <f>IF(L518&lt;=0, 0, INT($G$8/L518))</f>
        <v/>
      </c>
      <c r="Q518" s="42">
        <f>MIN(O518, P518)</f>
        <v/>
      </c>
      <c r="R518" s="43">
        <f>ROUND((Q518*L518)/1000, 2)</f>
        <v/>
      </c>
      <c r="S518" s="49">
        <f>IF($C$8&gt;0, R518/$C$8, 0)</f>
        <v/>
      </c>
      <c r="T518" s="49">
        <f>IF(O518&gt;0, Q518/O518, 0)</f>
        <v/>
      </c>
      <c r="U518" s="18">
        <f>IF(Q518=0, "Exceeds Limit", IF(P518&lt;=O518, "Weight Limited", "Volume Limited"))</f>
        <v/>
      </c>
    </row>
    <row r="519" ht="19" customHeight="1">
      <c r="A519" s="38" t="n">
        <v>509</v>
      </c>
      <c r="B519" s="51" t="inlineStr">
        <is>
          <t>Stainless Steel 316</t>
        </is>
      </c>
      <c r="C519" s="13" t="inlineStr">
        <is>
          <t>ASME B36.19M</t>
        </is>
      </c>
      <c r="D519" s="12" t="inlineStr">
        <is>
          <t>1/4''</t>
        </is>
      </c>
      <c r="E519" s="38" t="n">
        <v>8</v>
      </c>
      <c r="F519" s="12" t="inlineStr">
        <is>
          <t>XS</t>
        </is>
      </c>
      <c r="G519" s="14" t="n">
        <v>0.54</v>
      </c>
      <c r="H519" s="40" t="n">
        <v>13.72</v>
      </c>
      <c r="I519" s="14" t="n">
        <v>0.119</v>
      </c>
      <c r="J519" s="40" t="n">
        <v>3.02</v>
      </c>
      <c r="K519" s="14">
        <f>ROUND((H519-J519)*J519*IF(B519="Carbon Steel",$K$7,IF(B519="Stainless Steel 304",$K$8,$L$8)), 3)</f>
        <v/>
      </c>
      <c r="L519" s="40">
        <f>ROUND(K519*$G$5, 2)</f>
        <v/>
      </c>
      <c r="M519" s="38">
        <f>INT($G$6/H519)</f>
        <v/>
      </c>
      <c r="N519" s="38">
        <f>IF(M519=0, 0, IF(OR($K$6="Square Grid", M519=1), INT($G$7/H519), IF($G$7&lt;H519, 0, 1+INT(($G$7-H519)/(0.8660254*H519)))))</f>
        <v/>
      </c>
      <c r="O519" s="41">
        <f>IF(OR(M519=0,N519=0), 0, IF(OR($K$6="Square Grid", M519=1), M519*N519*$K$5, (INT((N519+1)/2)*M519 + INT(N519/2)*IF(($G$6-M519*H519)&gt;=0.5*H519, M519, M519-1))*$K$5))</f>
        <v/>
      </c>
      <c r="P519" s="41">
        <f>IF(L519&lt;=0, 0, INT($G$8/L519))</f>
        <v/>
      </c>
      <c r="Q519" s="42">
        <f>MIN(O519, P519)</f>
        <v/>
      </c>
      <c r="R519" s="43">
        <f>ROUND((Q519*L519)/1000, 2)</f>
        <v/>
      </c>
      <c r="S519" s="44">
        <f>IF($C$8&gt;0, R519/$C$8, 0)</f>
        <v/>
      </c>
      <c r="T519" s="44">
        <f>IF(O519&gt;0, Q519/O519, 0)</f>
        <v/>
      </c>
      <c r="U519" s="12">
        <f>IF(Q519=0, "Exceeds Limit", IF(P519&lt;=O519, "Weight Limited", "Volume Limited"))</f>
        <v/>
      </c>
    </row>
    <row r="520" ht="19" customHeight="1">
      <c r="A520" s="45" t="n">
        <v>510</v>
      </c>
      <c r="B520" s="50" t="inlineStr">
        <is>
          <t>Stainless Steel 316</t>
        </is>
      </c>
      <c r="C520" s="19" t="inlineStr">
        <is>
          <t>ASME B36.19M</t>
        </is>
      </c>
      <c r="D520" s="18" t="inlineStr">
        <is>
          <t>3/8''</t>
        </is>
      </c>
      <c r="E520" s="45" t="n">
        <v>10</v>
      </c>
      <c r="F520" s="18" t="inlineStr">
        <is>
          <t>10S</t>
        </is>
      </c>
      <c r="G520" s="20" t="n">
        <v>0.675</v>
      </c>
      <c r="H520" s="47" t="n">
        <v>17.14</v>
      </c>
      <c r="I520" s="20" t="n">
        <v>0.065</v>
      </c>
      <c r="J520" s="47" t="n">
        <v>1.65</v>
      </c>
      <c r="K520" s="20">
        <f>ROUND((H520-J520)*J520*IF(B520="Carbon Steel",$K$7,IF(B520="Stainless Steel 304",$K$8,$L$8)), 3)</f>
        <v/>
      </c>
      <c r="L520" s="47">
        <f>ROUND(K520*$G$5, 2)</f>
        <v/>
      </c>
      <c r="M520" s="45">
        <f>INT($G$6/H520)</f>
        <v/>
      </c>
      <c r="N520" s="45">
        <f>IF(M520=0, 0, IF(OR($K$6="Square Grid", M520=1), INT($G$7/H520), IF($G$7&lt;H520, 0, 1+INT(($G$7-H520)/(0.8660254*H520)))))</f>
        <v/>
      </c>
      <c r="O520" s="48">
        <f>IF(OR(M520=0,N520=0), 0, IF(OR($K$6="Square Grid", M520=1), M520*N520*$K$5, (INT((N520+1)/2)*M520 + INT(N520/2)*IF(($G$6-M520*H520)&gt;=0.5*H520, M520, M520-1))*$K$5))</f>
        <v/>
      </c>
      <c r="P520" s="48">
        <f>IF(L520&lt;=0, 0, INT($G$8/L520))</f>
        <v/>
      </c>
      <c r="Q520" s="42">
        <f>MIN(O520, P520)</f>
        <v/>
      </c>
      <c r="R520" s="43">
        <f>ROUND((Q520*L520)/1000, 2)</f>
        <v/>
      </c>
      <c r="S520" s="49">
        <f>IF($C$8&gt;0, R520/$C$8, 0)</f>
        <v/>
      </c>
      <c r="T520" s="49">
        <f>IF(O520&gt;0, Q520/O520, 0)</f>
        <v/>
      </c>
      <c r="U520" s="18">
        <f>IF(Q520=0, "Exceeds Limit", IF(P520&lt;=O520, "Weight Limited", "Volume Limited"))</f>
        <v/>
      </c>
    </row>
    <row r="521" ht="19" customHeight="1">
      <c r="A521" s="38" t="n">
        <v>511</v>
      </c>
      <c r="B521" s="51" t="inlineStr">
        <is>
          <t>Stainless Steel 316</t>
        </is>
      </c>
      <c r="C521" s="13" t="inlineStr">
        <is>
          <t>ASME B36.19M</t>
        </is>
      </c>
      <c r="D521" s="12" t="inlineStr">
        <is>
          <t>3/8''</t>
        </is>
      </c>
      <c r="E521" s="38" t="n">
        <v>10</v>
      </c>
      <c r="F521" s="12" t="inlineStr">
        <is>
          <t>40S</t>
        </is>
      </c>
      <c r="G521" s="14" t="n">
        <v>0.675</v>
      </c>
      <c r="H521" s="40" t="n">
        <v>17.14</v>
      </c>
      <c r="I521" s="14" t="n">
        <v>0.091</v>
      </c>
      <c r="J521" s="40" t="n">
        <v>2.31</v>
      </c>
      <c r="K521" s="14">
        <f>ROUND((H521-J521)*J521*IF(B521="Carbon Steel",$K$7,IF(B521="Stainless Steel 304",$K$8,$L$8)), 3)</f>
        <v/>
      </c>
      <c r="L521" s="40">
        <f>ROUND(K521*$G$5, 2)</f>
        <v/>
      </c>
      <c r="M521" s="38">
        <f>INT($G$6/H521)</f>
        <v/>
      </c>
      <c r="N521" s="38">
        <f>IF(M521=0, 0, IF(OR($K$6="Square Grid", M521=1), INT($G$7/H521), IF($G$7&lt;H521, 0, 1+INT(($G$7-H521)/(0.8660254*H521)))))</f>
        <v/>
      </c>
      <c r="O521" s="41">
        <f>IF(OR(M521=0,N521=0), 0, IF(OR($K$6="Square Grid", M521=1), M521*N521*$K$5, (INT((N521+1)/2)*M521 + INT(N521/2)*IF(($G$6-M521*H521)&gt;=0.5*H521, M521, M521-1))*$K$5))</f>
        <v/>
      </c>
      <c r="P521" s="41">
        <f>IF(L521&lt;=0, 0, INT($G$8/L521))</f>
        <v/>
      </c>
      <c r="Q521" s="42">
        <f>MIN(O521, P521)</f>
        <v/>
      </c>
      <c r="R521" s="43">
        <f>ROUND((Q521*L521)/1000, 2)</f>
        <v/>
      </c>
      <c r="S521" s="44">
        <f>IF($C$8&gt;0, R521/$C$8, 0)</f>
        <v/>
      </c>
      <c r="T521" s="44">
        <f>IF(O521&gt;0, Q521/O521, 0)</f>
        <v/>
      </c>
      <c r="U521" s="12">
        <f>IF(Q521=0, "Exceeds Limit", IF(P521&lt;=O521, "Weight Limited", "Volume Limited"))</f>
        <v/>
      </c>
    </row>
    <row r="522" ht="19" customHeight="1">
      <c r="A522" s="45" t="n">
        <v>512</v>
      </c>
      <c r="B522" s="50" t="inlineStr">
        <is>
          <t>Stainless Steel 316</t>
        </is>
      </c>
      <c r="C522" s="19" t="inlineStr">
        <is>
          <t>ASME B36.19M</t>
        </is>
      </c>
      <c r="D522" s="18" t="inlineStr">
        <is>
          <t>3/8''</t>
        </is>
      </c>
      <c r="E522" s="45" t="n">
        <v>10</v>
      </c>
      <c r="F522" s="18" t="inlineStr">
        <is>
          <t>80S</t>
        </is>
      </c>
      <c r="G522" s="20" t="n">
        <v>0.675</v>
      </c>
      <c r="H522" s="47" t="n">
        <v>17.14</v>
      </c>
      <c r="I522" s="20" t="n">
        <v>0.126</v>
      </c>
      <c r="J522" s="47" t="n">
        <v>3.2</v>
      </c>
      <c r="K522" s="20">
        <f>ROUND((H522-J522)*J522*IF(B522="Carbon Steel",$K$7,IF(B522="Stainless Steel 304",$K$8,$L$8)), 3)</f>
        <v/>
      </c>
      <c r="L522" s="47">
        <f>ROUND(K522*$G$5, 2)</f>
        <v/>
      </c>
      <c r="M522" s="45">
        <f>INT($G$6/H522)</f>
        <v/>
      </c>
      <c r="N522" s="45">
        <f>IF(M522=0, 0, IF(OR($K$6="Square Grid", M522=1), INT($G$7/H522), IF($G$7&lt;H522, 0, 1+INT(($G$7-H522)/(0.8660254*H522)))))</f>
        <v/>
      </c>
      <c r="O522" s="48">
        <f>IF(OR(M522=0,N522=0), 0, IF(OR($K$6="Square Grid", M522=1), M522*N522*$K$5, (INT((N522+1)/2)*M522 + INT(N522/2)*IF(($G$6-M522*H522)&gt;=0.5*H522, M522, M522-1))*$K$5))</f>
        <v/>
      </c>
      <c r="P522" s="48">
        <f>IF(L522&lt;=0, 0, INT($G$8/L522))</f>
        <v/>
      </c>
      <c r="Q522" s="42">
        <f>MIN(O522, P522)</f>
        <v/>
      </c>
      <c r="R522" s="43">
        <f>ROUND((Q522*L522)/1000, 2)</f>
        <v/>
      </c>
      <c r="S522" s="49">
        <f>IF($C$8&gt;0, R522/$C$8, 0)</f>
        <v/>
      </c>
      <c r="T522" s="49">
        <f>IF(O522&gt;0, Q522/O522, 0)</f>
        <v/>
      </c>
      <c r="U522" s="18">
        <f>IF(Q522=0, "Exceeds Limit", IF(P522&lt;=O522, "Weight Limited", "Volume Limited"))</f>
        <v/>
      </c>
    </row>
    <row r="523" ht="19" customHeight="1">
      <c r="A523" s="38" t="n">
        <v>513</v>
      </c>
      <c r="B523" s="51" t="inlineStr">
        <is>
          <t>Stainless Steel 316</t>
        </is>
      </c>
      <c r="C523" s="13" t="inlineStr">
        <is>
          <t>ASME B36.19M</t>
        </is>
      </c>
      <c r="D523" s="12" t="inlineStr">
        <is>
          <t>3/8''</t>
        </is>
      </c>
      <c r="E523" s="38" t="n">
        <v>10</v>
      </c>
      <c r="F523" s="12" t="inlineStr">
        <is>
          <t>STD</t>
        </is>
      </c>
      <c r="G523" s="14" t="n">
        <v>0.675</v>
      </c>
      <c r="H523" s="40" t="n">
        <v>17.14</v>
      </c>
      <c r="I523" s="14" t="n">
        <v>0.091</v>
      </c>
      <c r="J523" s="40" t="n">
        <v>2.31</v>
      </c>
      <c r="K523" s="14">
        <f>ROUND((H523-J523)*J523*IF(B523="Carbon Steel",$K$7,IF(B523="Stainless Steel 304",$K$8,$L$8)), 3)</f>
        <v/>
      </c>
      <c r="L523" s="40">
        <f>ROUND(K523*$G$5, 2)</f>
        <v/>
      </c>
      <c r="M523" s="38">
        <f>INT($G$6/H523)</f>
        <v/>
      </c>
      <c r="N523" s="38">
        <f>IF(M523=0, 0, IF(OR($K$6="Square Grid", M523=1), INT($G$7/H523), IF($G$7&lt;H523, 0, 1+INT(($G$7-H523)/(0.8660254*H523)))))</f>
        <v/>
      </c>
      <c r="O523" s="41">
        <f>IF(OR(M523=0,N523=0), 0, IF(OR($K$6="Square Grid", M523=1), M523*N523*$K$5, (INT((N523+1)/2)*M523 + INT(N523/2)*IF(($G$6-M523*H523)&gt;=0.5*H523, M523, M523-1))*$K$5))</f>
        <v/>
      </c>
      <c r="P523" s="41">
        <f>IF(L523&lt;=0, 0, INT($G$8/L523))</f>
        <v/>
      </c>
      <c r="Q523" s="42">
        <f>MIN(O523, P523)</f>
        <v/>
      </c>
      <c r="R523" s="43">
        <f>ROUND((Q523*L523)/1000, 2)</f>
        <v/>
      </c>
      <c r="S523" s="44">
        <f>IF($C$8&gt;0, R523/$C$8, 0)</f>
        <v/>
      </c>
      <c r="T523" s="44">
        <f>IF(O523&gt;0, Q523/O523, 0)</f>
        <v/>
      </c>
      <c r="U523" s="12">
        <f>IF(Q523=0, "Exceeds Limit", IF(P523&lt;=O523, "Weight Limited", "Volume Limited"))</f>
        <v/>
      </c>
    </row>
    <row r="524" ht="19" customHeight="1">
      <c r="A524" s="45" t="n">
        <v>514</v>
      </c>
      <c r="B524" s="50" t="inlineStr">
        <is>
          <t>Stainless Steel 316</t>
        </is>
      </c>
      <c r="C524" s="19" t="inlineStr">
        <is>
          <t>ASME B36.19M</t>
        </is>
      </c>
      <c r="D524" s="18" t="inlineStr">
        <is>
          <t>3/8''</t>
        </is>
      </c>
      <c r="E524" s="45" t="n">
        <v>10</v>
      </c>
      <c r="F524" s="18" t="inlineStr">
        <is>
          <t>XS</t>
        </is>
      </c>
      <c r="G524" s="20" t="n">
        <v>0.675</v>
      </c>
      <c r="H524" s="47" t="n">
        <v>17.14</v>
      </c>
      <c r="I524" s="20" t="n">
        <v>0.126</v>
      </c>
      <c r="J524" s="47" t="n">
        <v>3.2</v>
      </c>
      <c r="K524" s="20">
        <f>ROUND((H524-J524)*J524*IF(B524="Carbon Steel",$K$7,IF(B524="Stainless Steel 304",$K$8,$L$8)), 3)</f>
        <v/>
      </c>
      <c r="L524" s="47">
        <f>ROUND(K524*$G$5, 2)</f>
        <v/>
      </c>
      <c r="M524" s="45">
        <f>INT($G$6/H524)</f>
        <v/>
      </c>
      <c r="N524" s="45">
        <f>IF(M524=0, 0, IF(OR($K$6="Square Grid", M524=1), INT($G$7/H524), IF($G$7&lt;H524, 0, 1+INT(($G$7-H524)/(0.8660254*H524)))))</f>
        <v/>
      </c>
      <c r="O524" s="48">
        <f>IF(OR(M524=0,N524=0), 0, IF(OR($K$6="Square Grid", M524=1), M524*N524*$K$5, (INT((N524+1)/2)*M524 + INT(N524/2)*IF(($G$6-M524*H524)&gt;=0.5*H524, M524, M524-1))*$K$5))</f>
        <v/>
      </c>
      <c r="P524" s="48">
        <f>IF(L524&lt;=0, 0, INT($G$8/L524))</f>
        <v/>
      </c>
      <c r="Q524" s="42">
        <f>MIN(O524, P524)</f>
        <v/>
      </c>
      <c r="R524" s="43">
        <f>ROUND((Q524*L524)/1000, 2)</f>
        <v/>
      </c>
      <c r="S524" s="49">
        <f>IF($C$8&gt;0, R524/$C$8, 0)</f>
        <v/>
      </c>
      <c r="T524" s="49">
        <f>IF(O524&gt;0, Q524/O524, 0)</f>
        <v/>
      </c>
      <c r="U524" s="18">
        <f>IF(Q524=0, "Exceeds Limit", IF(P524&lt;=O524, "Weight Limited", "Volume Limited"))</f>
        <v/>
      </c>
    </row>
    <row r="525" ht="19" customHeight="1">
      <c r="A525" s="38" t="n">
        <v>515</v>
      </c>
      <c r="B525" s="51" t="inlineStr">
        <is>
          <t>Stainless Steel 316</t>
        </is>
      </c>
      <c r="C525" s="13" t="inlineStr">
        <is>
          <t>ASME B36.19M</t>
        </is>
      </c>
      <c r="D525" s="12" t="inlineStr">
        <is>
          <t>1/2''</t>
        </is>
      </c>
      <c r="E525" s="38" t="n">
        <v>15</v>
      </c>
      <c r="F525" s="12" t="inlineStr">
        <is>
          <t>5S</t>
        </is>
      </c>
      <c r="G525" s="14" t="n">
        <v>0.84</v>
      </c>
      <c r="H525" s="40" t="n">
        <v>21.34</v>
      </c>
      <c r="I525" s="14" t="n">
        <v>0.065</v>
      </c>
      <c r="J525" s="40" t="n">
        <v>1.65</v>
      </c>
      <c r="K525" s="14">
        <f>ROUND((H525-J525)*J525*IF(B525="Carbon Steel",$K$7,IF(B525="Stainless Steel 304",$K$8,$L$8)), 3)</f>
        <v/>
      </c>
      <c r="L525" s="40">
        <f>ROUND(K525*$G$5, 2)</f>
        <v/>
      </c>
      <c r="M525" s="38">
        <f>INT($G$6/H525)</f>
        <v/>
      </c>
      <c r="N525" s="38">
        <f>IF(M525=0, 0, IF(OR($K$6="Square Grid", M525=1), INT($G$7/H525), IF($G$7&lt;H525, 0, 1+INT(($G$7-H525)/(0.8660254*H525)))))</f>
        <v/>
      </c>
      <c r="O525" s="41">
        <f>IF(OR(M525=0,N525=0), 0, IF(OR($K$6="Square Grid", M525=1), M525*N525*$K$5, (INT((N525+1)/2)*M525 + INT(N525/2)*IF(($G$6-M525*H525)&gt;=0.5*H525, M525, M525-1))*$K$5))</f>
        <v/>
      </c>
      <c r="P525" s="41">
        <f>IF(L525&lt;=0, 0, INT($G$8/L525))</f>
        <v/>
      </c>
      <c r="Q525" s="42">
        <f>MIN(O525, P525)</f>
        <v/>
      </c>
      <c r="R525" s="43">
        <f>ROUND((Q525*L525)/1000, 2)</f>
        <v/>
      </c>
      <c r="S525" s="44">
        <f>IF($C$8&gt;0, R525/$C$8, 0)</f>
        <v/>
      </c>
      <c r="T525" s="44">
        <f>IF(O525&gt;0, Q525/O525, 0)</f>
        <v/>
      </c>
      <c r="U525" s="12">
        <f>IF(Q525=0, "Exceeds Limit", IF(P525&lt;=O525, "Weight Limited", "Volume Limited"))</f>
        <v/>
      </c>
    </row>
    <row r="526" ht="19" customHeight="1">
      <c r="A526" s="45" t="n">
        <v>516</v>
      </c>
      <c r="B526" s="50" t="inlineStr">
        <is>
          <t>Stainless Steel 316</t>
        </is>
      </c>
      <c r="C526" s="19" t="inlineStr">
        <is>
          <t>ASME B36.19M</t>
        </is>
      </c>
      <c r="D526" s="18" t="inlineStr">
        <is>
          <t>1/2''</t>
        </is>
      </c>
      <c r="E526" s="45" t="n">
        <v>15</v>
      </c>
      <c r="F526" s="18" t="inlineStr">
        <is>
          <t>10S</t>
        </is>
      </c>
      <c r="G526" s="20" t="n">
        <v>0.84</v>
      </c>
      <c r="H526" s="47" t="n">
        <v>21.34</v>
      </c>
      <c r="I526" s="20" t="n">
        <v>0.083</v>
      </c>
      <c r="J526" s="47" t="n">
        <v>2.11</v>
      </c>
      <c r="K526" s="20">
        <f>ROUND((H526-J526)*J526*IF(B526="Carbon Steel",$K$7,IF(B526="Stainless Steel 304",$K$8,$L$8)), 3)</f>
        <v/>
      </c>
      <c r="L526" s="47">
        <f>ROUND(K526*$G$5, 2)</f>
        <v/>
      </c>
      <c r="M526" s="45">
        <f>INT($G$6/H526)</f>
        <v/>
      </c>
      <c r="N526" s="45">
        <f>IF(M526=0, 0, IF(OR($K$6="Square Grid", M526=1), INT($G$7/H526), IF($G$7&lt;H526, 0, 1+INT(($G$7-H526)/(0.8660254*H526)))))</f>
        <v/>
      </c>
      <c r="O526" s="48">
        <f>IF(OR(M526=0,N526=0), 0, IF(OR($K$6="Square Grid", M526=1), M526*N526*$K$5, (INT((N526+1)/2)*M526 + INT(N526/2)*IF(($G$6-M526*H526)&gt;=0.5*H526, M526, M526-1))*$K$5))</f>
        <v/>
      </c>
      <c r="P526" s="48">
        <f>IF(L526&lt;=0, 0, INT($G$8/L526))</f>
        <v/>
      </c>
      <c r="Q526" s="42">
        <f>MIN(O526, P526)</f>
        <v/>
      </c>
      <c r="R526" s="43">
        <f>ROUND((Q526*L526)/1000, 2)</f>
        <v/>
      </c>
      <c r="S526" s="49">
        <f>IF($C$8&gt;0, R526/$C$8, 0)</f>
        <v/>
      </c>
      <c r="T526" s="49">
        <f>IF(O526&gt;0, Q526/O526, 0)</f>
        <v/>
      </c>
      <c r="U526" s="18">
        <f>IF(Q526=0, "Exceeds Limit", IF(P526&lt;=O526, "Weight Limited", "Volume Limited"))</f>
        <v/>
      </c>
    </row>
    <row r="527" ht="19" customHeight="1">
      <c r="A527" s="38" t="n">
        <v>517</v>
      </c>
      <c r="B527" s="51" t="inlineStr">
        <is>
          <t>Stainless Steel 316</t>
        </is>
      </c>
      <c r="C527" s="13" t="inlineStr">
        <is>
          <t>ASME B36.19M</t>
        </is>
      </c>
      <c r="D527" s="12" t="inlineStr">
        <is>
          <t>1/2''</t>
        </is>
      </c>
      <c r="E527" s="38" t="n">
        <v>15</v>
      </c>
      <c r="F527" s="12" t="inlineStr">
        <is>
          <t>40S</t>
        </is>
      </c>
      <c r="G527" s="14" t="n">
        <v>0.84</v>
      </c>
      <c r="H527" s="40" t="n">
        <v>21.34</v>
      </c>
      <c r="I527" s="14" t="n">
        <v>0.109</v>
      </c>
      <c r="J527" s="40" t="n">
        <v>2.77</v>
      </c>
      <c r="K527" s="14">
        <f>ROUND((H527-J527)*J527*IF(B527="Carbon Steel",$K$7,IF(B527="Stainless Steel 304",$K$8,$L$8)), 3)</f>
        <v/>
      </c>
      <c r="L527" s="40">
        <f>ROUND(K527*$G$5, 2)</f>
        <v/>
      </c>
      <c r="M527" s="38">
        <f>INT($G$6/H527)</f>
        <v/>
      </c>
      <c r="N527" s="38">
        <f>IF(M527=0, 0, IF(OR($K$6="Square Grid", M527=1), INT($G$7/H527), IF($G$7&lt;H527, 0, 1+INT(($G$7-H527)/(0.8660254*H527)))))</f>
        <v/>
      </c>
      <c r="O527" s="41">
        <f>IF(OR(M527=0,N527=0), 0, IF(OR($K$6="Square Grid", M527=1), M527*N527*$K$5, (INT((N527+1)/2)*M527 + INT(N527/2)*IF(($G$6-M527*H527)&gt;=0.5*H527, M527, M527-1))*$K$5))</f>
        <v/>
      </c>
      <c r="P527" s="41">
        <f>IF(L527&lt;=0, 0, INT($G$8/L527))</f>
        <v/>
      </c>
      <c r="Q527" s="42">
        <f>MIN(O527, P527)</f>
        <v/>
      </c>
      <c r="R527" s="43">
        <f>ROUND((Q527*L527)/1000, 2)</f>
        <v/>
      </c>
      <c r="S527" s="44">
        <f>IF($C$8&gt;0, R527/$C$8, 0)</f>
        <v/>
      </c>
      <c r="T527" s="44">
        <f>IF(O527&gt;0, Q527/O527, 0)</f>
        <v/>
      </c>
      <c r="U527" s="12">
        <f>IF(Q527=0, "Exceeds Limit", IF(P527&lt;=O527, "Weight Limited", "Volume Limited"))</f>
        <v/>
      </c>
    </row>
    <row r="528" ht="19" customHeight="1">
      <c r="A528" s="45" t="n">
        <v>518</v>
      </c>
      <c r="B528" s="50" t="inlineStr">
        <is>
          <t>Stainless Steel 316</t>
        </is>
      </c>
      <c r="C528" s="19" t="inlineStr">
        <is>
          <t>ASME B36.19M</t>
        </is>
      </c>
      <c r="D528" s="18" t="inlineStr">
        <is>
          <t>1/2''</t>
        </is>
      </c>
      <c r="E528" s="45" t="n">
        <v>15</v>
      </c>
      <c r="F528" s="18" t="inlineStr">
        <is>
          <t>80S</t>
        </is>
      </c>
      <c r="G528" s="20" t="n">
        <v>0.84</v>
      </c>
      <c r="H528" s="47" t="n">
        <v>21.34</v>
      </c>
      <c r="I528" s="20" t="n">
        <v>0.147</v>
      </c>
      <c r="J528" s="47" t="n">
        <v>3.73</v>
      </c>
      <c r="K528" s="20">
        <f>ROUND((H528-J528)*J528*IF(B528="Carbon Steel",$K$7,IF(B528="Stainless Steel 304",$K$8,$L$8)), 3)</f>
        <v/>
      </c>
      <c r="L528" s="47">
        <f>ROUND(K528*$G$5, 2)</f>
        <v/>
      </c>
      <c r="M528" s="45">
        <f>INT($G$6/H528)</f>
        <v/>
      </c>
      <c r="N528" s="45">
        <f>IF(M528=0, 0, IF(OR($K$6="Square Grid", M528=1), INT($G$7/H528), IF($G$7&lt;H528, 0, 1+INT(($G$7-H528)/(0.8660254*H528)))))</f>
        <v/>
      </c>
      <c r="O528" s="48">
        <f>IF(OR(M528=0,N528=0), 0, IF(OR($K$6="Square Grid", M528=1), M528*N528*$K$5, (INT((N528+1)/2)*M528 + INT(N528/2)*IF(($G$6-M528*H528)&gt;=0.5*H528, M528, M528-1))*$K$5))</f>
        <v/>
      </c>
      <c r="P528" s="48">
        <f>IF(L528&lt;=0, 0, INT($G$8/L528))</f>
        <v/>
      </c>
      <c r="Q528" s="42">
        <f>MIN(O528, P528)</f>
        <v/>
      </c>
      <c r="R528" s="43">
        <f>ROUND((Q528*L528)/1000, 2)</f>
        <v/>
      </c>
      <c r="S528" s="49">
        <f>IF($C$8&gt;0, R528/$C$8, 0)</f>
        <v/>
      </c>
      <c r="T528" s="49">
        <f>IF(O528&gt;0, Q528/O528, 0)</f>
        <v/>
      </c>
      <c r="U528" s="18">
        <f>IF(Q528=0, "Exceeds Limit", IF(P528&lt;=O528, "Weight Limited", "Volume Limited"))</f>
        <v/>
      </c>
    </row>
    <row r="529" ht="19" customHeight="1">
      <c r="A529" s="38" t="n">
        <v>519</v>
      </c>
      <c r="B529" s="51" t="inlineStr">
        <is>
          <t>Stainless Steel 316</t>
        </is>
      </c>
      <c r="C529" s="13" t="inlineStr">
        <is>
          <t>ASME B36.19M</t>
        </is>
      </c>
      <c r="D529" s="12" t="inlineStr">
        <is>
          <t>1/2''</t>
        </is>
      </c>
      <c r="E529" s="38" t="n">
        <v>15</v>
      </c>
      <c r="F529" s="12" t="inlineStr">
        <is>
          <t>STD</t>
        </is>
      </c>
      <c r="G529" s="14" t="n">
        <v>0.84</v>
      </c>
      <c r="H529" s="40" t="n">
        <v>21.34</v>
      </c>
      <c r="I529" s="14" t="n">
        <v>0.109</v>
      </c>
      <c r="J529" s="40" t="n">
        <v>2.77</v>
      </c>
      <c r="K529" s="14">
        <f>ROUND((H529-J529)*J529*IF(B529="Carbon Steel",$K$7,IF(B529="Stainless Steel 304",$K$8,$L$8)), 3)</f>
        <v/>
      </c>
      <c r="L529" s="40">
        <f>ROUND(K529*$G$5, 2)</f>
        <v/>
      </c>
      <c r="M529" s="38">
        <f>INT($G$6/H529)</f>
        <v/>
      </c>
      <c r="N529" s="38">
        <f>IF(M529=0, 0, IF(OR($K$6="Square Grid", M529=1), INT($G$7/H529), IF($G$7&lt;H529, 0, 1+INT(($G$7-H529)/(0.8660254*H529)))))</f>
        <v/>
      </c>
      <c r="O529" s="41">
        <f>IF(OR(M529=0,N529=0), 0, IF(OR($K$6="Square Grid", M529=1), M529*N529*$K$5, (INT((N529+1)/2)*M529 + INT(N529/2)*IF(($G$6-M529*H529)&gt;=0.5*H529, M529, M529-1))*$K$5))</f>
        <v/>
      </c>
      <c r="P529" s="41">
        <f>IF(L529&lt;=0, 0, INT($G$8/L529))</f>
        <v/>
      </c>
      <c r="Q529" s="42">
        <f>MIN(O529, P529)</f>
        <v/>
      </c>
      <c r="R529" s="43">
        <f>ROUND((Q529*L529)/1000, 2)</f>
        <v/>
      </c>
      <c r="S529" s="44">
        <f>IF($C$8&gt;0, R529/$C$8, 0)</f>
        <v/>
      </c>
      <c r="T529" s="44">
        <f>IF(O529&gt;0, Q529/O529, 0)</f>
        <v/>
      </c>
      <c r="U529" s="12">
        <f>IF(Q529=0, "Exceeds Limit", IF(P529&lt;=O529, "Weight Limited", "Volume Limited"))</f>
        <v/>
      </c>
    </row>
    <row r="530" ht="19" customHeight="1">
      <c r="A530" s="45" t="n">
        <v>520</v>
      </c>
      <c r="B530" s="50" t="inlineStr">
        <is>
          <t>Stainless Steel 316</t>
        </is>
      </c>
      <c r="C530" s="19" t="inlineStr">
        <is>
          <t>ASME B36.19M</t>
        </is>
      </c>
      <c r="D530" s="18" t="inlineStr">
        <is>
          <t>1/2''</t>
        </is>
      </c>
      <c r="E530" s="45" t="n">
        <v>15</v>
      </c>
      <c r="F530" s="18" t="inlineStr">
        <is>
          <t>XS</t>
        </is>
      </c>
      <c r="G530" s="20" t="n">
        <v>0.84</v>
      </c>
      <c r="H530" s="47" t="n">
        <v>21.34</v>
      </c>
      <c r="I530" s="20" t="n">
        <v>0.147</v>
      </c>
      <c r="J530" s="47" t="n">
        <v>3.73</v>
      </c>
      <c r="K530" s="20">
        <f>ROUND((H530-J530)*J530*IF(B530="Carbon Steel",$K$7,IF(B530="Stainless Steel 304",$K$8,$L$8)), 3)</f>
        <v/>
      </c>
      <c r="L530" s="47">
        <f>ROUND(K530*$G$5, 2)</f>
        <v/>
      </c>
      <c r="M530" s="45">
        <f>INT($G$6/H530)</f>
        <v/>
      </c>
      <c r="N530" s="45">
        <f>IF(M530=0, 0, IF(OR($K$6="Square Grid", M530=1), INT($G$7/H530), IF($G$7&lt;H530, 0, 1+INT(($G$7-H530)/(0.8660254*H530)))))</f>
        <v/>
      </c>
      <c r="O530" s="48">
        <f>IF(OR(M530=0,N530=0), 0, IF(OR($K$6="Square Grid", M530=1), M530*N530*$K$5, (INT((N530+1)/2)*M530 + INT(N530/2)*IF(($G$6-M530*H530)&gt;=0.5*H530, M530, M530-1))*$K$5))</f>
        <v/>
      </c>
      <c r="P530" s="48">
        <f>IF(L530&lt;=0, 0, INT($G$8/L530))</f>
        <v/>
      </c>
      <c r="Q530" s="42">
        <f>MIN(O530, P530)</f>
        <v/>
      </c>
      <c r="R530" s="43">
        <f>ROUND((Q530*L530)/1000, 2)</f>
        <v/>
      </c>
      <c r="S530" s="49">
        <f>IF($C$8&gt;0, R530/$C$8, 0)</f>
        <v/>
      </c>
      <c r="T530" s="49">
        <f>IF(O530&gt;0, Q530/O530, 0)</f>
        <v/>
      </c>
      <c r="U530" s="18">
        <f>IF(Q530=0, "Exceeds Limit", IF(P530&lt;=O530, "Weight Limited", "Volume Limited"))</f>
        <v/>
      </c>
    </row>
    <row r="531" ht="19" customHeight="1">
      <c r="A531" s="38" t="n">
        <v>521</v>
      </c>
      <c r="B531" s="51" t="inlineStr">
        <is>
          <t>Stainless Steel 316</t>
        </is>
      </c>
      <c r="C531" s="13" t="inlineStr">
        <is>
          <t>ASME B36.19M</t>
        </is>
      </c>
      <c r="D531" s="12" t="inlineStr">
        <is>
          <t>1/2''</t>
        </is>
      </c>
      <c r="E531" s="38" t="n">
        <v>15</v>
      </c>
      <c r="F531" s="12" t="inlineStr">
        <is>
          <t>160</t>
        </is>
      </c>
      <c r="G531" s="14" t="n">
        <v>0.84</v>
      </c>
      <c r="H531" s="40" t="n">
        <v>21.34</v>
      </c>
      <c r="I531" s="14" t="n">
        <v>0.188</v>
      </c>
      <c r="J531" s="40" t="n">
        <v>4.78</v>
      </c>
      <c r="K531" s="14">
        <f>ROUND((H531-J531)*J531*IF(B531="Carbon Steel",$K$7,IF(B531="Stainless Steel 304",$K$8,$L$8)), 3)</f>
        <v/>
      </c>
      <c r="L531" s="40">
        <f>ROUND(K531*$G$5, 2)</f>
        <v/>
      </c>
      <c r="M531" s="38">
        <f>INT($G$6/H531)</f>
        <v/>
      </c>
      <c r="N531" s="38">
        <f>IF(M531=0, 0, IF(OR($K$6="Square Grid", M531=1), INT($G$7/H531), IF($G$7&lt;H531, 0, 1+INT(($G$7-H531)/(0.8660254*H531)))))</f>
        <v/>
      </c>
      <c r="O531" s="41">
        <f>IF(OR(M531=0,N531=0), 0, IF(OR($K$6="Square Grid", M531=1), M531*N531*$K$5, (INT((N531+1)/2)*M531 + INT(N531/2)*IF(($G$6-M531*H531)&gt;=0.5*H531, M531, M531-1))*$K$5))</f>
        <v/>
      </c>
      <c r="P531" s="41">
        <f>IF(L531&lt;=0, 0, INT($G$8/L531))</f>
        <v/>
      </c>
      <c r="Q531" s="42">
        <f>MIN(O531, P531)</f>
        <v/>
      </c>
      <c r="R531" s="43">
        <f>ROUND((Q531*L531)/1000, 2)</f>
        <v/>
      </c>
      <c r="S531" s="44">
        <f>IF($C$8&gt;0, R531/$C$8, 0)</f>
        <v/>
      </c>
      <c r="T531" s="44">
        <f>IF(O531&gt;0, Q531/O531, 0)</f>
        <v/>
      </c>
      <c r="U531" s="12">
        <f>IF(Q531=0, "Exceeds Limit", IF(P531&lt;=O531, "Weight Limited", "Volume Limited"))</f>
        <v/>
      </c>
    </row>
    <row r="532" ht="19" customHeight="1">
      <c r="A532" s="45" t="n">
        <v>522</v>
      </c>
      <c r="B532" s="50" t="inlineStr">
        <is>
          <t>Stainless Steel 316</t>
        </is>
      </c>
      <c r="C532" s="19" t="inlineStr">
        <is>
          <t>ASME B36.19M</t>
        </is>
      </c>
      <c r="D532" s="18" t="inlineStr">
        <is>
          <t>1/2''</t>
        </is>
      </c>
      <c r="E532" s="45" t="n">
        <v>15</v>
      </c>
      <c r="F532" s="18" t="inlineStr">
        <is>
          <t>XXS</t>
        </is>
      </c>
      <c r="G532" s="20" t="n">
        <v>0.84</v>
      </c>
      <c r="H532" s="47" t="n">
        <v>21.34</v>
      </c>
      <c r="I532" s="20" t="n">
        <v>0.294</v>
      </c>
      <c r="J532" s="47" t="n">
        <v>7.47</v>
      </c>
      <c r="K532" s="20">
        <f>ROUND((H532-J532)*J532*IF(B532="Carbon Steel",$K$7,IF(B532="Stainless Steel 304",$K$8,$L$8)), 3)</f>
        <v/>
      </c>
      <c r="L532" s="47">
        <f>ROUND(K532*$G$5, 2)</f>
        <v/>
      </c>
      <c r="M532" s="45">
        <f>INT($G$6/H532)</f>
        <v/>
      </c>
      <c r="N532" s="45">
        <f>IF(M532=0, 0, IF(OR($K$6="Square Grid", M532=1), INT($G$7/H532), IF($G$7&lt;H532, 0, 1+INT(($G$7-H532)/(0.8660254*H532)))))</f>
        <v/>
      </c>
      <c r="O532" s="48">
        <f>IF(OR(M532=0,N532=0), 0, IF(OR($K$6="Square Grid", M532=1), M532*N532*$K$5, (INT((N532+1)/2)*M532 + INT(N532/2)*IF(($G$6-M532*H532)&gt;=0.5*H532, M532, M532-1))*$K$5))</f>
        <v/>
      </c>
      <c r="P532" s="48">
        <f>IF(L532&lt;=0, 0, INT($G$8/L532))</f>
        <v/>
      </c>
      <c r="Q532" s="42">
        <f>MIN(O532, P532)</f>
        <v/>
      </c>
      <c r="R532" s="43">
        <f>ROUND((Q532*L532)/1000, 2)</f>
        <v/>
      </c>
      <c r="S532" s="49">
        <f>IF($C$8&gt;0, R532/$C$8, 0)</f>
        <v/>
      </c>
      <c r="T532" s="49">
        <f>IF(O532&gt;0, Q532/O532, 0)</f>
        <v/>
      </c>
      <c r="U532" s="18">
        <f>IF(Q532=0, "Exceeds Limit", IF(P532&lt;=O532, "Weight Limited", "Volume Limited"))</f>
        <v/>
      </c>
    </row>
    <row r="533" ht="19" customHeight="1">
      <c r="A533" s="38" t="n">
        <v>523</v>
      </c>
      <c r="B533" s="51" t="inlineStr">
        <is>
          <t>Stainless Steel 316</t>
        </is>
      </c>
      <c r="C533" s="13" t="inlineStr">
        <is>
          <t>ASME B36.19M</t>
        </is>
      </c>
      <c r="D533" s="12" t="inlineStr">
        <is>
          <t>3/4''</t>
        </is>
      </c>
      <c r="E533" s="38" t="n">
        <v>20</v>
      </c>
      <c r="F533" s="12" t="inlineStr">
        <is>
          <t>5S</t>
        </is>
      </c>
      <c r="G533" s="14" t="n">
        <v>1.05</v>
      </c>
      <c r="H533" s="40" t="n">
        <v>26.67</v>
      </c>
      <c r="I533" s="14" t="n">
        <v>0.065</v>
      </c>
      <c r="J533" s="40" t="n">
        <v>1.65</v>
      </c>
      <c r="K533" s="14">
        <f>ROUND((H533-J533)*J533*IF(B533="Carbon Steel",$K$7,IF(B533="Stainless Steel 304",$K$8,$L$8)), 3)</f>
        <v/>
      </c>
      <c r="L533" s="40">
        <f>ROUND(K533*$G$5, 2)</f>
        <v/>
      </c>
      <c r="M533" s="38">
        <f>INT($G$6/H533)</f>
        <v/>
      </c>
      <c r="N533" s="38">
        <f>IF(M533=0, 0, IF(OR($K$6="Square Grid", M533=1), INT($G$7/H533), IF($G$7&lt;H533, 0, 1+INT(($G$7-H533)/(0.8660254*H533)))))</f>
        <v/>
      </c>
      <c r="O533" s="41">
        <f>IF(OR(M533=0,N533=0), 0, IF(OR($K$6="Square Grid", M533=1), M533*N533*$K$5, (INT((N533+1)/2)*M533 + INT(N533/2)*IF(($G$6-M533*H533)&gt;=0.5*H533, M533, M533-1))*$K$5))</f>
        <v/>
      </c>
      <c r="P533" s="41">
        <f>IF(L533&lt;=0, 0, INT($G$8/L533))</f>
        <v/>
      </c>
      <c r="Q533" s="42">
        <f>MIN(O533, P533)</f>
        <v/>
      </c>
      <c r="R533" s="43">
        <f>ROUND((Q533*L533)/1000, 2)</f>
        <v/>
      </c>
      <c r="S533" s="44">
        <f>IF($C$8&gt;0, R533/$C$8, 0)</f>
        <v/>
      </c>
      <c r="T533" s="44">
        <f>IF(O533&gt;0, Q533/O533, 0)</f>
        <v/>
      </c>
      <c r="U533" s="12">
        <f>IF(Q533=0, "Exceeds Limit", IF(P533&lt;=O533, "Weight Limited", "Volume Limited"))</f>
        <v/>
      </c>
    </row>
    <row r="534" ht="19" customHeight="1">
      <c r="A534" s="45" t="n">
        <v>524</v>
      </c>
      <c r="B534" s="50" t="inlineStr">
        <is>
          <t>Stainless Steel 316</t>
        </is>
      </c>
      <c r="C534" s="19" t="inlineStr">
        <is>
          <t>ASME B36.19M</t>
        </is>
      </c>
      <c r="D534" s="18" t="inlineStr">
        <is>
          <t>3/4''</t>
        </is>
      </c>
      <c r="E534" s="45" t="n">
        <v>20</v>
      </c>
      <c r="F534" s="18" t="inlineStr">
        <is>
          <t>10S</t>
        </is>
      </c>
      <c r="G534" s="20" t="n">
        <v>1.05</v>
      </c>
      <c r="H534" s="47" t="n">
        <v>26.67</v>
      </c>
      <c r="I534" s="20" t="n">
        <v>0.083</v>
      </c>
      <c r="J534" s="47" t="n">
        <v>2.11</v>
      </c>
      <c r="K534" s="20">
        <f>ROUND((H534-J534)*J534*IF(B534="Carbon Steel",$K$7,IF(B534="Stainless Steel 304",$K$8,$L$8)), 3)</f>
        <v/>
      </c>
      <c r="L534" s="47">
        <f>ROUND(K534*$G$5, 2)</f>
        <v/>
      </c>
      <c r="M534" s="45">
        <f>INT($G$6/H534)</f>
        <v/>
      </c>
      <c r="N534" s="45">
        <f>IF(M534=0, 0, IF(OR($K$6="Square Grid", M534=1), INT($G$7/H534), IF($G$7&lt;H534, 0, 1+INT(($G$7-H534)/(0.8660254*H534)))))</f>
        <v/>
      </c>
      <c r="O534" s="48">
        <f>IF(OR(M534=0,N534=0), 0, IF(OR($K$6="Square Grid", M534=1), M534*N534*$K$5, (INT((N534+1)/2)*M534 + INT(N534/2)*IF(($G$6-M534*H534)&gt;=0.5*H534, M534, M534-1))*$K$5))</f>
        <v/>
      </c>
      <c r="P534" s="48">
        <f>IF(L534&lt;=0, 0, INT($G$8/L534))</f>
        <v/>
      </c>
      <c r="Q534" s="42">
        <f>MIN(O534, P534)</f>
        <v/>
      </c>
      <c r="R534" s="43">
        <f>ROUND((Q534*L534)/1000, 2)</f>
        <v/>
      </c>
      <c r="S534" s="49">
        <f>IF($C$8&gt;0, R534/$C$8, 0)</f>
        <v/>
      </c>
      <c r="T534" s="49">
        <f>IF(O534&gt;0, Q534/O534, 0)</f>
        <v/>
      </c>
      <c r="U534" s="18">
        <f>IF(Q534=0, "Exceeds Limit", IF(P534&lt;=O534, "Weight Limited", "Volume Limited"))</f>
        <v/>
      </c>
    </row>
    <row r="535" ht="19" customHeight="1">
      <c r="A535" s="38" t="n">
        <v>525</v>
      </c>
      <c r="B535" s="51" t="inlineStr">
        <is>
          <t>Stainless Steel 316</t>
        </is>
      </c>
      <c r="C535" s="13" t="inlineStr">
        <is>
          <t>ASME B36.19M</t>
        </is>
      </c>
      <c r="D535" s="12" t="inlineStr">
        <is>
          <t>3/4''</t>
        </is>
      </c>
      <c r="E535" s="38" t="n">
        <v>20</v>
      </c>
      <c r="F535" s="12" t="inlineStr">
        <is>
          <t>40S</t>
        </is>
      </c>
      <c r="G535" s="14" t="n">
        <v>1.05</v>
      </c>
      <c r="H535" s="40" t="n">
        <v>26.67</v>
      </c>
      <c r="I535" s="14" t="n">
        <v>0.113</v>
      </c>
      <c r="J535" s="40" t="n">
        <v>2.87</v>
      </c>
      <c r="K535" s="14">
        <f>ROUND((H535-J535)*J535*IF(B535="Carbon Steel",$K$7,IF(B535="Stainless Steel 304",$K$8,$L$8)), 3)</f>
        <v/>
      </c>
      <c r="L535" s="40">
        <f>ROUND(K535*$G$5, 2)</f>
        <v/>
      </c>
      <c r="M535" s="38">
        <f>INT($G$6/H535)</f>
        <v/>
      </c>
      <c r="N535" s="38">
        <f>IF(M535=0, 0, IF(OR($K$6="Square Grid", M535=1), INT($G$7/H535), IF($G$7&lt;H535, 0, 1+INT(($G$7-H535)/(0.8660254*H535)))))</f>
        <v/>
      </c>
      <c r="O535" s="41">
        <f>IF(OR(M535=0,N535=0), 0, IF(OR($K$6="Square Grid", M535=1), M535*N535*$K$5, (INT((N535+1)/2)*M535 + INT(N535/2)*IF(($G$6-M535*H535)&gt;=0.5*H535, M535, M535-1))*$K$5))</f>
        <v/>
      </c>
      <c r="P535" s="41">
        <f>IF(L535&lt;=0, 0, INT($G$8/L535))</f>
        <v/>
      </c>
      <c r="Q535" s="42">
        <f>MIN(O535, P535)</f>
        <v/>
      </c>
      <c r="R535" s="43">
        <f>ROUND((Q535*L535)/1000, 2)</f>
        <v/>
      </c>
      <c r="S535" s="44">
        <f>IF($C$8&gt;0, R535/$C$8, 0)</f>
        <v/>
      </c>
      <c r="T535" s="44">
        <f>IF(O535&gt;0, Q535/O535, 0)</f>
        <v/>
      </c>
      <c r="U535" s="12">
        <f>IF(Q535=0, "Exceeds Limit", IF(P535&lt;=O535, "Weight Limited", "Volume Limited"))</f>
        <v/>
      </c>
    </row>
    <row r="536" ht="19" customHeight="1">
      <c r="A536" s="45" t="n">
        <v>526</v>
      </c>
      <c r="B536" s="50" t="inlineStr">
        <is>
          <t>Stainless Steel 316</t>
        </is>
      </c>
      <c r="C536" s="19" t="inlineStr">
        <is>
          <t>ASME B36.19M</t>
        </is>
      </c>
      <c r="D536" s="18" t="inlineStr">
        <is>
          <t>3/4''</t>
        </is>
      </c>
      <c r="E536" s="45" t="n">
        <v>20</v>
      </c>
      <c r="F536" s="18" t="inlineStr">
        <is>
          <t>80S</t>
        </is>
      </c>
      <c r="G536" s="20" t="n">
        <v>1.05</v>
      </c>
      <c r="H536" s="47" t="n">
        <v>26.67</v>
      </c>
      <c r="I536" s="20" t="n">
        <v>0.154</v>
      </c>
      <c r="J536" s="47" t="n">
        <v>3.91</v>
      </c>
      <c r="K536" s="20">
        <f>ROUND((H536-J536)*J536*IF(B536="Carbon Steel",$K$7,IF(B536="Stainless Steel 304",$K$8,$L$8)), 3)</f>
        <v/>
      </c>
      <c r="L536" s="47">
        <f>ROUND(K536*$G$5, 2)</f>
        <v/>
      </c>
      <c r="M536" s="45">
        <f>INT($G$6/H536)</f>
        <v/>
      </c>
      <c r="N536" s="45">
        <f>IF(M536=0, 0, IF(OR($K$6="Square Grid", M536=1), INT($G$7/H536), IF($G$7&lt;H536, 0, 1+INT(($G$7-H536)/(0.8660254*H536)))))</f>
        <v/>
      </c>
      <c r="O536" s="48">
        <f>IF(OR(M536=0,N536=0), 0, IF(OR($K$6="Square Grid", M536=1), M536*N536*$K$5, (INT((N536+1)/2)*M536 + INT(N536/2)*IF(($G$6-M536*H536)&gt;=0.5*H536, M536, M536-1))*$K$5))</f>
        <v/>
      </c>
      <c r="P536" s="48">
        <f>IF(L536&lt;=0, 0, INT($G$8/L536))</f>
        <v/>
      </c>
      <c r="Q536" s="42">
        <f>MIN(O536, P536)</f>
        <v/>
      </c>
      <c r="R536" s="43">
        <f>ROUND((Q536*L536)/1000, 2)</f>
        <v/>
      </c>
      <c r="S536" s="49">
        <f>IF($C$8&gt;0, R536/$C$8, 0)</f>
        <v/>
      </c>
      <c r="T536" s="49">
        <f>IF(O536&gt;0, Q536/O536, 0)</f>
        <v/>
      </c>
      <c r="U536" s="18">
        <f>IF(Q536=0, "Exceeds Limit", IF(P536&lt;=O536, "Weight Limited", "Volume Limited"))</f>
        <v/>
      </c>
    </row>
    <row r="537" ht="19" customHeight="1">
      <c r="A537" s="38" t="n">
        <v>527</v>
      </c>
      <c r="B537" s="51" t="inlineStr">
        <is>
          <t>Stainless Steel 316</t>
        </is>
      </c>
      <c r="C537" s="13" t="inlineStr">
        <is>
          <t>ASME B36.19M</t>
        </is>
      </c>
      <c r="D537" s="12" t="inlineStr">
        <is>
          <t>3/4''</t>
        </is>
      </c>
      <c r="E537" s="38" t="n">
        <v>20</v>
      </c>
      <c r="F537" s="12" t="inlineStr">
        <is>
          <t>STD</t>
        </is>
      </c>
      <c r="G537" s="14" t="n">
        <v>1.05</v>
      </c>
      <c r="H537" s="40" t="n">
        <v>26.67</v>
      </c>
      <c r="I537" s="14" t="n">
        <v>0.113</v>
      </c>
      <c r="J537" s="40" t="n">
        <v>2.87</v>
      </c>
      <c r="K537" s="14">
        <f>ROUND((H537-J537)*J537*IF(B537="Carbon Steel",$K$7,IF(B537="Stainless Steel 304",$K$8,$L$8)), 3)</f>
        <v/>
      </c>
      <c r="L537" s="40">
        <f>ROUND(K537*$G$5, 2)</f>
        <v/>
      </c>
      <c r="M537" s="38">
        <f>INT($G$6/H537)</f>
        <v/>
      </c>
      <c r="N537" s="38">
        <f>IF(M537=0, 0, IF(OR($K$6="Square Grid", M537=1), INT($G$7/H537), IF($G$7&lt;H537, 0, 1+INT(($G$7-H537)/(0.8660254*H537)))))</f>
        <v/>
      </c>
      <c r="O537" s="41">
        <f>IF(OR(M537=0,N537=0), 0, IF(OR($K$6="Square Grid", M537=1), M537*N537*$K$5, (INT((N537+1)/2)*M537 + INT(N537/2)*IF(($G$6-M537*H537)&gt;=0.5*H537, M537, M537-1))*$K$5))</f>
        <v/>
      </c>
      <c r="P537" s="41">
        <f>IF(L537&lt;=0, 0, INT($G$8/L537))</f>
        <v/>
      </c>
      <c r="Q537" s="42">
        <f>MIN(O537, P537)</f>
        <v/>
      </c>
      <c r="R537" s="43">
        <f>ROUND((Q537*L537)/1000, 2)</f>
        <v/>
      </c>
      <c r="S537" s="44">
        <f>IF($C$8&gt;0, R537/$C$8, 0)</f>
        <v/>
      </c>
      <c r="T537" s="44">
        <f>IF(O537&gt;0, Q537/O537, 0)</f>
        <v/>
      </c>
      <c r="U537" s="12">
        <f>IF(Q537=0, "Exceeds Limit", IF(P537&lt;=O537, "Weight Limited", "Volume Limited"))</f>
        <v/>
      </c>
    </row>
    <row r="538" ht="19" customHeight="1">
      <c r="A538" s="45" t="n">
        <v>528</v>
      </c>
      <c r="B538" s="50" t="inlineStr">
        <is>
          <t>Stainless Steel 316</t>
        </is>
      </c>
      <c r="C538" s="19" t="inlineStr">
        <is>
          <t>ASME B36.19M</t>
        </is>
      </c>
      <c r="D538" s="18" t="inlineStr">
        <is>
          <t>3/4''</t>
        </is>
      </c>
      <c r="E538" s="45" t="n">
        <v>20</v>
      </c>
      <c r="F538" s="18" t="inlineStr">
        <is>
          <t>XS</t>
        </is>
      </c>
      <c r="G538" s="20" t="n">
        <v>1.05</v>
      </c>
      <c r="H538" s="47" t="n">
        <v>26.67</v>
      </c>
      <c r="I538" s="20" t="n">
        <v>0.154</v>
      </c>
      <c r="J538" s="47" t="n">
        <v>3.91</v>
      </c>
      <c r="K538" s="20">
        <f>ROUND((H538-J538)*J538*IF(B538="Carbon Steel",$K$7,IF(B538="Stainless Steel 304",$K$8,$L$8)), 3)</f>
        <v/>
      </c>
      <c r="L538" s="47">
        <f>ROUND(K538*$G$5, 2)</f>
        <v/>
      </c>
      <c r="M538" s="45">
        <f>INT($G$6/H538)</f>
        <v/>
      </c>
      <c r="N538" s="45">
        <f>IF(M538=0, 0, IF(OR($K$6="Square Grid", M538=1), INT($G$7/H538), IF($G$7&lt;H538, 0, 1+INT(($G$7-H538)/(0.8660254*H538)))))</f>
        <v/>
      </c>
      <c r="O538" s="48">
        <f>IF(OR(M538=0,N538=0), 0, IF(OR($K$6="Square Grid", M538=1), M538*N538*$K$5, (INT((N538+1)/2)*M538 + INT(N538/2)*IF(($G$6-M538*H538)&gt;=0.5*H538, M538, M538-1))*$K$5))</f>
        <v/>
      </c>
      <c r="P538" s="48">
        <f>IF(L538&lt;=0, 0, INT($G$8/L538))</f>
        <v/>
      </c>
      <c r="Q538" s="42">
        <f>MIN(O538, P538)</f>
        <v/>
      </c>
      <c r="R538" s="43">
        <f>ROUND((Q538*L538)/1000, 2)</f>
        <v/>
      </c>
      <c r="S538" s="49">
        <f>IF($C$8&gt;0, R538/$C$8, 0)</f>
        <v/>
      </c>
      <c r="T538" s="49">
        <f>IF(O538&gt;0, Q538/O538, 0)</f>
        <v/>
      </c>
      <c r="U538" s="18">
        <f>IF(Q538=0, "Exceeds Limit", IF(P538&lt;=O538, "Weight Limited", "Volume Limited"))</f>
        <v/>
      </c>
    </row>
    <row r="539" ht="19" customHeight="1">
      <c r="A539" s="38" t="n">
        <v>529</v>
      </c>
      <c r="B539" s="51" t="inlineStr">
        <is>
          <t>Stainless Steel 316</t>
        </is>
      </c>
      <c r="C539" s="13" t="inlineStr">
        <is>
          <t>ASME B36.19M</t>
        </is>
      </c>
      <c r="D539" s="12" t="inlineStr">
        <is>
          <t>3/4''</t>
        </is>
      </c>
      <c r="E539" s="38" t="n">
        <v>20</v>
      </c>
      <c r="F539" s="12" t="inlineStr">
        <is>
          <t>160</t>
        </is>
      </c>
      <c r="G539" s="14" t="n">
        <v>1.05</v>
      </c>
      <c r="H539" s="40" t="n">
        <v>26.67</v>
      </c>
      <c r="I539" s="14" t="n">
        <v>0.219</v>
      </c>
      <c r="J539" s="40" t="n">
        <v>5.56</v>
      </c>
      <c r="K539" s="14">
        <f>ROUND((H539-J539)*J539*IF(B539="Carbon Steel",$K$7,IF(B539="Stainless Steel 304",$K$8,$L$8)), 3)</f>
        <v/>
      </c>
      <c r="L539" s="40">
        <f>ROUND(K539*$G$5, 2)</f>
        <v/>
      </c>
      <c r="M539" s="38">
        <f>INT($G$6/H539)</f>
        <v/>
      </c>
      <c r="N539" s="38">
        <f>IF(M539=0, 0, IF(OR($K$6="Square Grid", M539=1), INT($G$7/H539), IF($G$7&lt;H539, 0, 1+INT(($G$7-H539)/(0.8660254*H539)))))</f>
        <v/>
      </c>
      <c r="O539" s="41">
        <f>IF(OR(M539=0,N539=0), 0, IF(OR($K$6="Square Grid", M539=1), M539*N539*$K$5, (INT((N539+1)/2)*M539 + INT(N539/2)*IF(($G$6-M539*H539)&gt;=0.5*H539, M539, M539-1))*$K$5))</f>
        <v/>
      </c>
      <c r="P539" s="41">
        <f>IF(L539&lt;=0, 0, INT($G$8/L539))</f>
        <v/>
      </c>
      <c r="Q539" s="42">
        <f>MIN(O539, P539)</f>
        <v/>
      </c>
      <c r="R539" s="43">
        <f>ROUND((Q539*L539)/1000, 2)</f>
        <v/>
      </c>
      <c r="S539" s="44">
        <f>IF($C$8&gt;0, R539/$C$8, 0)</f>
        <v/>
      </c>
      <c r="T539" s="44">
        <f>IF(O539&gt;0, Q539/O539, 0)</f>
        <v/>
      </c>
      <c r="U539" s="12">
        <f>IF(Q539=0, "Exceeds Limit", IF(P539&lt;=O539, "Weight Limited", "Volume Limited"))</f>
        <v/>
      </c>
    </row>
    <row r="540" ht="19" customHeight="1">
      <c r="A540" s="45" t="n">
        <v>530</v>
      </c>
      <c r="B540" s="50" t="inlineStr">
        <is>
          <t>Stainless Steel 316</t>
        </is>
      </c>
      <c r="C540" s="19" t="inlineStr">
        <is>
          <t>ASME B36.19M</t>
        </is>
      </c>
      <c r="D540" s="18" t="inlineStr">
        <is>
          <t>3/4''</t>
        </is>
      </c>
      <c r="E540" s="45" t="n">
        <v>20</v>
      </c>
      <c r="F540" s="18" t="inlineStr">
        <is>
          <t>XXS</t>
        </is>
      </c>
      <c r="G540" s="20" t="n">
        <v>1.05</v>
      </c>
      <c r="H540" s="47" t="n">
        <v>26.67</v>
      </c>
      <c r="I540" s="20" t="n">
        <v>0.308</v>
      </c>
      <c r="J540" s="47" t="n">
        <v>7.82</v>
      </c>
      <c r="K540" s="20">
        <f>ROUND((H540-J540)*J540*IF(B540="Carbon Steel",$K$7,IF(B540="Stainless Steel 304",$K$8,$L$8)), 3)</f>
        <v/>
      </c>
      <c r="L540" s="47">
        <f>ROUND(K540*$G$5, 2)</f>
        <v/>
      </c>
      <c r="M540" s="45">
        <f>INT($G$6/H540)</f>
        <v/>
      </c>
      <c r="N540" s="45">
        <f>IF(M540=0, 0, IF(OR($K$6="Square Grid", M540=1), INT($G$7/H540), IF($G$7&lt;H540, 0, 1+INT(($G$7-H540)/(0.8660254*H540)))))</f>
        <v/>
      </c>
      <c r="O540" s="48">
        <f>IF(OR(M540=0,N540=0), 0, IF(OR($K$6="Square Grid", M540=1), M540*N540*$K$5, (INT((N540+1)/2)*M540 + INT(N540/2)*IF(($G$6-M540*H540)&gt;=0.5*H540, M540, M540-1))*$K$5))</f>
        <v/>
      </c>
      <c r="P540" s="48">
        <f>IF(L540&lt;=0, 0, INT($G$8/L540))</f>
        <v/>
      </c>
      <c r="Q540" s="42">
        <f>MIN(O540, P540)</f>
        <v/>
      </c>
      <c r="R540" s="43">
        <f>ROUND((Q540*L540)/1000, 2)</f>
        <v/>
      </c>
      <c r="S540" s="49">
        <f>IF($C$8&gt;0, R540/$C$8, 0)</f>
        <v/>
      </c>
      <c r="T540" s="49">
        <f>IF(O540&gt;0, Q540/O540, 0)</f>
        <v/>
      </c>
      <c r="U540" s="18">
        <f>IF(Q540=0, "Exceeds Limit", IF(P540&lt;=O540, "Weight Limited", "Volume Limited"))</f>
        <v/>
      </c>
    </row>
    <row r="541" ht="19" customHeight="1">
      <c r="A541" s="38" t="n">
        <v>531</v>
      </c>
      <c r="B541" s="51" t="inlineStr">
        <is>
          <t>Stainless Steel 316</t>
        </is>
      </c>
      <c r="C541" s="13" t="inlineStr">
        <is>
          <t>ASME B36.19M</t>
        </is>
      </c>
      <c r="D541" s="12" t="inlineStr">
        <is>
          <t>1''</t>
        </is>
      </c>
      <c r="E541" s="38" t="n">
        <v>25</v>
      </c>
      <c r="F541" s="12" t="inlineStr">
        <is>
          <t>5S</t>
        </is>
      </c>
      <c r="G541" s="14" t="n">
        <v>1.315</v>
      </c>
      <c r="H541" s="40" t="n">
        <v>33.4</v>
      </c>
      <c r="I541" s="14" t="n">
        <v>0.065</v>
      </c>
      <c r="J541" s="40" t="n">
        <v>1.65</v>
      </c>
      <c r="K541" s="14">
        <f>ROUND((H541-J541)*J541*IF(B541="Carbon Steel",$K$7,IF(B541="Stainless Steel 304",$K$8,$L$8)), 3)</f>
        <v/>
      </c>
      <c r="L541" s="40">
        <f>ROUND(K541*$G$5, 2)</f>
        <v/>
      </c>
      <c r="M541" s="38">
        <f>INT($G$6/H541)</f>
        <v/>
      </c>
      <c r="N541" s="38">
        <f>IF(M541=0, 0, IF(OR($K$6="Square Grid", M541=1), INT($G$7/H541), IF($G$7&lt;H541, 0, 1+INT(($G$7-H541)/(0.8660254*H541)))))</f>
        <v/>
      </c>
      <c r="O541" s="41">
        <f>IF(OR(M541=0,N541=0), 0, IF(OR($K$6="Square Grid", M541=1), M541*N541*$K$5, (INT((N541+1)/2)*M541 + INT(N541/2)*IF(($G$6-M541*H541)&gt;=0.5*H541, M541, M541-1))*$K$5))</f>
        <v/>
      </c>
      <c r="P541" s="41">
        <f>IF(L541&lt;=0, 0, INT($G$8/L541))</f>
        <v/>
      </c>
      <c r="Q541" s="42">
        <f>MIN(O541, P541)</f>
        <v/>
      </c>
      <c r="R541" s="43">
        <f>ROUND((Q541*L541)/1000, 2)</f>
        <v/>
      </c>
      <c r="S541" s="44">
        <f>IF($C$8&gt;0, R541/$C$8, 0)</f>
        <v/>
      </c>
      <c r="T541" s="44">
        <f>IF(O541&gt;0, Q541/O541, 0)</f>
        <v/>
      </c>
      <c r="U541" s="12">
        <f>IF(Q541=0, "Exceeds Limit", IF(P541&lt;=O541, "Weight Limited", "Volume Limited"))</f>
        <v/>
      </c>
    </row>
    <row r="542" ht="19" customHeight="1">
      <c r="A542" s="45" t="n">
        <v>532</v>
      </c>
      <c r="B542" s="50" t="inlineStr">
        <is>
          <t>Stainless Steel 316</t>
        </is>
      </c>
      <c r="C542" s="19" t="inlineStr">
        <is>
          <t>ASME B36.19M</t>
        </is>
      </c>
      <c r="D542" s="18" t="inlineStr">
        <is>
          <t>1''</t>
        </is>
      </c>
      <c r="E542" s="45" t="n">
        <v>25</v>
      </c>
      <c r="F542" s="18" t="inlineStr">
        <is>
          <t>10S</t>
        </is>
      </c>
      <c r="G542" s="20" t="n">
        <v>1.315</v>
      </c>
      <c r="H542" s="47" t="n">
        <v>33.4</v>
      </c>
      <c r="I542" s="20" t="n">
        <v>0.109</v>
      </c>
      <c r="J542" s="47" t="n">
        <v>2.77</v>
      </c>
      <c r="K542" s="20">
        <f>ROUND((H542-J542)*J542*IF(B542="Carbon Steel",$K$7,IF(B542="Stainless Steel 304",$K$8,$L$8)), 3)</f>
        <v/>
      </c>
      <c r="L542" s="47">
        <f>ROUND(K542*$G$5, 2)</f>
        <v/>
      </c>
      <c r="M542" s="45">
        <f>INT($G$6/H542)</f>
        <v/>
      </c>
      <c r="N542" s="45">
        <f>IF(M542=0, 0, IF(OR($K$6="Square Grid", M542=1), INT($G$7/H542), IF($G$7&lt;H542, 0, 1+INT(($G$7-H542)/(0.8660254*H542)))))</f>
        <v/>
      </c>
      <c r="O542" s="48">
        <f>IF(OR(M542=0,N542=0), 0, IF(OR($K$6="Square Grid", M542=1), M542*N542*$K$5, (INT((N542+1)/2)*M542 + INT(N542/2)*IF(($G$6-M542*H542)&gt;=0.5*H542, M542, M542-1))*$K$5))</f>
        <v/>
      </c>
      <c r="P542" s="48">
        <f>IF(L542&lt;=0, 0, INT($G$8/L542))</f>
        <v/>
      </c>
      <c r="Q542" s="42">
        <f>MIN(O542, P542)</f>
        <v/>
      </c>
      <c r="R542" s="43">
        <f>ROUND((Q542*L542)/1000, 2)</f>
        <v/>
      </c>
      <c r="S542" s="49">
        <f>IF($C$8&gt;0, R542/$C$8, 0)</f>
        <v/>
      </c>
      <c r="T542" s="49">
        <f>IF(O542&gt;0, Q542/O542, 0)</f>
        <v/>
      </c>
      <c r="U542" s="18">
        <f>IF(Q542=0, "Exceeds Limit", IF(P542&lt;=O542, "Weight Limited", "Volume Limited"))</f>
        <v/>
      </c>
    </row>
    <row r="543" ht="19" customHeight="1">
      <c r="A543" s="38" t="n">
        <v>533</v>
      </c>
      <c r="B543" s="51" t="inlineStr">
        <is>
          <t>Stainless Steel 316</t>
        </is>
      </c>
      <c r="C543" s="13" t="inlineStr">
        <is>
          <t>ASME B36.19M</t>
        </is>
      </c>
      <c r="D543" s="12" t="inlineStr">
        <is>
          <t>1''</t>
        </is>
      </c>
      <c r="E543" s="38" t="n">
        <v>25</v>
      </c>
      <c r="F543" s="12" t="inlineStr">
        <is>
          <t>40S</t>
        </is>
      </c>
      <c r="G543" s="14" t="n">
        <v>1.315</v>
      </c>
      <c r="H543" s="40" t="n">
        <v>33.4</v>
      </c>
      <c r="I543" s="14" t="n">
        <v>0.133</v>
      </c>
      <c r="J543" s="40" t="n">
        <v>3.38</v>
      </c>
      <c r="K543" s="14">
        <f>ROUND((H543-J543)*J543*IF(B543="Carbon Steel",$K$7,IF(B543="Stainless Steel 304",$K$8,$L$8)), 3)</f>
        <v/>
      </c>
      <c r="L543" s="40">
        <f>ROUND(K543*$G$5, 2)</f>
        <v/>
      </c>
      <c r="M543" s="38">
        <f>INT($G$6/H543)</f>
        <v/>
      </c>
      <c r="N543" s="38">
        <f>IF(M543=0, 0, IF(OR($K$6="Square Grid", M543=1), INT($G$7/H543), IF($G$7&lt;H543, 0, 1+INT(($G$7-H543)/(0.8660254*H543)))))</f>
        <v/>
      </c>
      <c r="O543" s="41">
        <f>IF(OR(M543=0,N543=0), 0, IF(OR($K$6="Square Grid", M543=1), M543*N543*$K$5, (INT((N543+1)/2)*M543 + INT(N543/2)*IF(($G$6-M543*H543)&gt;=0.5*H543, M543, M543-1))*$K$5))</f>
        <v/>
      </c>
      <c r="P543" s="41">
        <f>IF(L543&lt;=0, 0, INT($G$8/L543))</f>
        <v/>
      </c>
      <c r="Q543" s="42">
        <f>MIN(O543, P543)</f>
        <v/>
      </c>
      <c r="R543" s="43">
        <f>ROUND((Q543*L543)/1000, 2)</f>
        <v/>
      </c>
      <c r="S543" s="44">
        <f>IF($C$8&gt;0, R543/$C$8, 0)</f>
        <v/>
      </c>
      <c r="T543" s="44">
        <f>IF(O543&gt;0, Q543/O543, 0)</f>
        <v/>
      </c>
      <c r="U543" s="12">
        <f>IF(Q543=0, "Exceeds Limit", IF(P543&lt;=O543, "Weight Limited", "Volume Limited"))</f>
        <v/>
      </c>
    </row>
    <row r="544" ht="19" customHeight="1">
      <c r="A544" s="45" t="n">
        <v>534</v>
      </c>
      <c r="B544" s="50" t="inlineStr">
        <is>
          <t>Stainless Steel 316</t>
        </is>
      </c>
      <c r="C544" s="19" t="inlineStr">
        <is>
          <t>ASME B36.19M</t>
        </is>
      </c>
      <c r="D544" s="18" t="inlineStr">
        <is>
          <t>1''</t>
        </is>
      </c>
      <c r="E544" s="45" t="n">
        <v>25</v>
      </c>
      <c r="F544" s="18" t="inlineStr">
        <is>
          <t>80S</t>
        </is>
      </c>
      <c r="G544" s="20" t="n">
        <v>1.315</v>
      </c>
      <c r="H544" s="47" t="n">
        <v>33.4</v>
      </c>
      <c r="I544" s="20" t="n">
        <v>0.179</v>
      </c>
      <c r="J544" s="47" t="n">
        <v>4.55</v>
      </c>
      <c r="K544" s="20">
        <f>ROUND((H544-J544)*J544*IF(B544="Carbon Steel",$K$7,IF(B544="Stainless Steel 304",$K$8,$L$8)), 3)</f>
        <v/>
      </c>
      <c r="L544" s="47">
        <f>ROUND(K544*$G$5, 2)</f>
        <v/>
      </c>
      <c r="M544" s="45">
        <f>INT($G$6/H544)</f>
        <v/>
      </c>
      <c r="N544" s="45">
        <f>IF(M544=0, 0, IF(OR($K$6="Square Grid", M544=1), INT($G$7/H544), IF($G$7&lt;H544, 0, 1+INT(($G$7-H544)/(0.8660254*H544)))))</f>
        <v/>
      </c>
      <c r="O544" s="48">
        <f>IF(OR(M544=0,N544=0), 0, IF(OR($K$6="Square Grid", M544=1), M544*N544*$K$5, (INT((N544+1)/2)*M544 + INT(N544/2)*IF(($G$6-M544*H544)&gt;=0.5*H544, M544, M544-1))*$K$5))</f>
        <v/>
      </c>
      <c r="P544" s="48">
        <f>IF(L544&lt;=0, 0, INT($G$8/L544))</f>
        <v/>
      </c>
      <c r="Q544" s="42">
        <f>MIN(O544, P544)</f>
        <v/>
      </c>
      <c r="R544" s="43">
        <f>ROUND((Q544*L544)/1000, 2)</f>
        <v/>
      </c>
      <c r="S544" s="49">
        <f>IF($C$8&gt;0, R544/$C$8, 0)</f>
        <v/>
      </c>
      <c r="T544" s="49">
        <f>IF(O544&gt;0, Q544/O544, 0)</f>
        <v/>
      </c>
      <c r="U544" s="18">
        <f>IF(Q544=0, "Exceeds Limit", IF(P544&lt;=O544, "Weight Limited", "Volume Limited"))</f>
        <v/>
      </c>
    </row>
    <row r="545" ht="19" customHeight="1">
      <c r="A545" s="38" t="n">
        <v>535</v>
      </c>
      <c r="B545" s="51" t="inlineStr">
        <is>
          <t>Stainless Steel 316</t>
        </is>
      </c>
      <c r="C545" s="13" t="inlineStr">
        <is>
          <t>ASME B36.19M</t>
        </is>
      </c>
      <c r="D545" s="12" t="inlineStr">
        <is>
          <t>1''</t>
        </is>
      </c>
      <c r="E545" s="38" t="n">
        <v>25</v>
      </c>
      <c r="F545" s="12" t="inlineStr">
        <is>
          <t>STD</t>
        </is>
      </c>
      <c r="G545" s="14" t="n">
        <v>1.315</v>
      </c>
      <c r="H545" s="40" t="n">
        <v>33.4</v>
      </c>
      <c r="I545" s="14" t="n">
        <v>0.133</v>
      </c>
      <c r="J545" s="40" t="n">
        <v>3.38</v>
      </c>
      <c r="K545" s="14">
        <f>ROUND((H545-J545)*J545*IF(B545="Carbon Steel",$K$7,IF(B545="Stainless Steel 304",$K$8,$L$8)), 3)</f>
        <v/>
      </c>
      <c r="L545" s="40">
        <f>ROUND(K545*$G$5, 2)</f>
        <v/>
      </c>
      <c r="M545" s="38">
        <f>INT($G$6/H545)</f>
        <v/>
      </c>
      <c r="N545" s="38">
        <f>IF(M545=0, 0, IF(OR($K$6="Square Grid", M545=1), INT($G$7/H545), IF($G$7&lt;H545, 0, 1+INT(($G$7-H545)/(0.8660254*H545)))))</f>
        <v/>
      </c>
      <c r="O545" s="41">
        <f>IF(OR(M545=0,N545=0), 0, IF(OR($K$6="Square Grid", M545=1), M545*N545*$K$5, (INT((N545+1)/2)*M545 + INT(N545/2)*IF(($G$6-M545*H545)&gt;=0.5*H545, M545, M545-1))*$K$5))</f>
        <v/>
      </c>
      <c r="P545" s="41">
        <f>IF(L545&lt;=0, 0, INT($G$8/L545))</f>
        <v/>
      </c>
      <c r="Q545" s="42">
        <f>MIN(O545, P545)</f>
        <v/>
      </c>
      <c r="R545" s="43">
        <f>ROUND((Q545*L545)/1000, 2)</f>
        <v/>
      </c>
      <c r="S545" s="44">
        <f>IF($C$8&gt;0, R545/$C$8, 0)</f>
        <v/>
      </c>
      <c r="T545" s="44">
        <f>IF(O545&gt;0, Q545/O545, 0)</f>
        <v/>
      </c>
      <c r="U545" s="12">
        <f>IF(Q545=0, "Exceeds Limit", IF(P545&lt;=O545, "Weight Limited", "Volume Limited"))</f>
        <v/>
      </c>
    </row>
    <row r="546" ht="19" customHeight="1">
      <c r="A546" s="45" t="n">
        <v>536</v>
      </c>
      <c r="B546" s="50" t="inlineStr">
        <is>
          <t>Stainless Steel 316</t>
        </is>
      </c>
      <c r="C546" s="19" t="inlineStr">
        <is>
          <t>ASME B36.19M</t>
        </is>
      </c>
      <c r="D546" s="18" t="inlineStr">
        <is>
          <t>1''</t>
        </is>
      </c>
      <c r="E546" s="45" t="n">
        <v>25</v>
      </c>
      <c r="F546" s="18" t="inlineStr">
        <is>
          <t>XS</t>
        </is>
      </c>
      <c r="G546" s="20" t="n">
        <v>1.315</v>
      </c>
      <c r="H546" s="47" t="n">
        <v>33.4</v>
      </c>
      <c r="I546" s="20" t="n">
        <v>0.179</v>
      </c>
      <c r="J546" s="47" t="n">
        <v>4.55</v>
      </c>
      <c r="K546" s="20">
        <f>ROUND((H546-J546)*J546*IF(B546="Carbon Steel",$K$7,IF(B546="Stainless Steel 304",$K$8,$L$8)), 3)</f>
        <v/>
      </c>
      <c r="L546" s="47">
        <f>ROUND(K546*$G$5, 2)</f>
        <v/>
      </c>
      <c r="M546" s="45">
        <f>INT($G$6/H546)</f>
        <v/>
      </c>
      <c r="N546" s="45">
        <f>IF(M546=0, 0, IF(OR($K$6="Square Grid", M546=1), INT($G$7/H546), IF($G$7&lt;H546, 0, 1+INT(($G$7-H546)/(0.8660254*H546)))))</f>
        <v/>
      </c>
      <c r="O546" s="48">
        <f>IF(OR(M546=0,N546=0), 0, IF(OR($K$6="Square Grid", M546=1), M546*N546*$K$5, (INT((N546+1)/2)*M546 + INT(N546/2)*IF(($G$6-M546*H546)&gt;=0.5*H546, M546, M546-1))*$K$5))</f>
        <v/>
      </c>
      <c r="P546" s="48">
        <f>IF(L546&lt;=0, 0, INT($G$8/L546))</f>
        <v/>
      </c>
      <c r="Q546" s="42">
        <f>MIN(O546, P546)</f>
        <v/>
      </c>
      <c r="R546" s="43">
        <f>ROUND((Q546*L546)/1000, 2)</f>
        <v/>
      </c>
      <c r="S546" s="49">
        <f>IF($C$8&gt;0, R546/$C$8, 0)</f>
        <v/>
      </c>
      <c r="T546" s="49">
        <f>IF(O546&gt;0, Q546/O546, 0)</f>
        <v/>
      </c>
      <c r="U546" s="18">
        <f>IF(Q546=0, "Exceeds Limit", IF(P546&lt;=O546, "Weight Limited", "Volume Limited"))</f>
        <v/>
      </c>
    </row>
    <row r="547" ht="19" customHeight="1">
      <c r="A547" s="38" t="n">
        <v>537</v>
      </c>
      <c r="B547" s="51" t="inlineStr">
        <is>
          <t>Stainless Steel 316</t>
        </is>
      </c>
      <c r="C547" s="13" t="inlineStr">
        <is>
          <t>ASME B36.19M</t>
        </is>
      </c>
      <c r="D547" s="12" t="inlineStr">
        <is>
          <t>1''</t>
        </is>
      </c>
      <c r="E547" s="38" t="n">
        <v>25</v>
      </c>
      <c r="F547" s="12" t="inlineStr">
        <is>
          <t>160</t>
        </is>
      </c>
      <c r="G547" s="14" t="n">
        <v>1.315</v>
      </c>
      <c r="H547" s="40" t="n">
        <v>33.4</v>
      </c>
      <c r="I547" s="14" t="n">
        <v>0.25</v>
      </c>
      <c r="J547" s="40" t="n">
        <v>6.35</v>
      </c>
      <c r="K547" s="14">
        <f>ROUND((H547-J547)*J547*IF(B547="Carbon Steel",$K$7,IF(B547="Stainless Steel 304",$K$8,$L$8)), 3)</f>
        <v/>
      </c>
      <c r="L547" s="40">
        <f>ROUND(K547*$G$5, 2)</f>
        <v/>
      </c>
      <c r="M547" s="38">
        <f>INT($G$6/H547)</f>
        <v/>
      </c>
      <c r="N547" s="38">
        <f>IF(M547=0, 0, IF(OR($K$6="Square Grid", M547=1), INT($G$7/H547), IF($G$7&lt;H547, 0, 1+INT(($G$7-H547)/(0.8660254*H547)))))</f>
        <v/>
      </c>
      <c r="O547" s="41">
        <f>IF(OR(M547=0,N547=0), 0, IF(OR($K$6="Square Grid", M547=1), M547*N547*$K$5, (INT((N547+1)/2)*M547 + INT(N547/2)*IF(($G$6-M547*H547)&gt;=0.5*H547, M547, M547-1))*$K$5))</f>
        <v/>
      </c>
      <c r="P547" s="41">
        <f>IF(L547&lt;=0, 0, INT($G$8/L547))</f>
        <v/>
      </c>
      <c r="Q547" s="42">
        <f>MIN(O547, P547)</f>
        <v/>
      </c>
      <c r="R547" s="43">
        <f>ROUND((Q547*L547)/1000, 2)</f>
        <v/>
      </c>
      <c r="S547" s="44">
        <f>IF($C$8&gt;0, R547/$C$8, 0)</f>
        <v/>
      </c>
      <c r="T547" s="44">
        <f>IF(O547&gt;0, Q547/O547, 0)</f>
        <v/>
      </c>
      <c r="U547" s="12">
        <f>IF(Q547=0, "Exceeds Limit", IF(P547&lt;=O547, "Weight Limited", "Volume Limited"))</f>
        <v/>
      </c>
    </row>
    <row r="548" ht="19" customHeight="1">
      <c r="A548" s="45" t="n">
        <v>538</v>
      </c>
      <c r="B548" s="50" t="inlineStr">
        <is>
          <t>Stainless Steel 316</t>
        </is>
      </c>
      <c r="C548" s="19" t="inlineStr">
        <is>
          <t>ASME B36.19M</t>
        </is>
      </c>
      <c r="D548" s="18" t="inlineStr">
        <is>
          <t>1''</t>
        </is>
      </c>
      <c r="E548" s="45" t="n">
        <v>25</v>
      </c>
      <c r="F548" s="18" t="inlineStr">
        <is>
          <t>XXS</t>
        </is>
      </c>
      <c r="G548" s="20" t="n">
        <v>1.315</v>
      </c>
      <c r="H548" s="47" t="n">
        <v>33.4</v>
      </c>
      <c r="I548" s="20" t="n">
        <v>0.358</v>
      </c>
      <c r="J548" s="47" t="n">
        <v>9.09</v>
      </c>
      <c r="K548" s="20">
        <f>ROUND((H548-J548)*J548*IF(B548="Carbon Steel",$K$7,IF(B548="Stainless Steel 304",$K$8,$L$8)), 3)</f>
        <v/>
      </c>
      <c r="L548" s="47">
        <f>ROUND(K548*$G$5, 2)</f>
        <v/>
      </c>
      <c r="M548" s="45">
        <f>INT($G$6/H548)</f>
        <v/>
      </c>
      <c r="N548" s="45">
        <f>IF(M548=0, 0, IF(OR($K$6="Square Grid", M548=1), INT($G$7/H548), IF($G$7&lt;H548, 0, 1+INT(($G$7-H548)/(0.8660254*H548)))))</f>
        <v/>
      </c>
      <c r="O548" s="48">
        <f>IF(OR(M548=0,N548=0), 0, IF(OR($K$6="Square Grid", M548=1), M548*N548*$K$5, (INT((N548+1)/2)*M548 + INT(N548/2)*IF(($G$6-M548*H548)&gt;=0.5*H548, M548, M548-1))*$K$5))</f>
        <v/>
      </c>
      <c r="P548" s="48">
        <f>IF(L548&lt;=0, 0, INT($G$8/L548))</f>
        <v/>
      </c>
      <c r="Q548" s="42">
        <f>MIN(O548, P548)</f>
        <v/>
      </c>
      <c r="R548" s="43">
        <f>ROUND((Q548*L548)/1000, 2)</f>
        <v/>
      </c>
      <c r="S548" s="49">
        <f>IF($C$8&gt;0, R548/$C$8, 0)</f>
        <v/>
      </c>
      <c r="T548" s="49">
        <f>IF(O548&gt;0, Q548/O548, 0)</f>
        <v/>
      </c>
      <c r="U548" s="18">
        <f>IF(Q548=0, "Exceeds Limit", IF(P548&lt;=O548, "Weight Limited", "Volume Limited"))</f>
        <v/>
      </c>
    </row>
    <row r="549" ht="19" customHeight="1">
      <c r="A549" s="38" t="n">
        <v>539</v>
      </c>
      <c r="B549" s="51" t="inlineStr">
        <is>
          <t>Stainless Steel 316</t>
        </is>
      </c>
      <c r="C549" s="13" t="inlineStr">
        <is>
          <t>ASME B36.19M</t>
        </is>
      </c>
      <c r="D549" s="12" t="inlineStr">
        <is>
          <t>1-1/4''</t>
        </is>
      </c>
      <c r="E549" s="38" t="n">
        <v>32</v>
      </c>
      <c r="F549" s="12" t="inlineStr">
        <is>
          <t>5S</t>
        </is>
      </c>
      <c r="G549" s="14" t="n">
        <v>1.66</v>
      </c>
      <c r="H549" s="40" t="n">
        <v>42.16</v>
      </c>
      <c r="I549" s="14" t="n">
        <v>0.065</v>
      </c>
      <c r="J549" s="40" t="n">
        <v>1.65</v>
      </c>
      <c r="K549" s="14">
        <f>ROUND((H549-J549)*J549*IF(B549="Carbon Steel",$K$7,IF(B549="Stainless Steel 304",$K$8,$L$8)), 3)</f>
        <v/>
      </c>
      <c r="L549" s="40">
        <f>ROUND(K549*$G$5, 2)</f>
        <v/>
      </c>
      <c r="M549" s="38">
        <f>INT($G$6/H549)</f>
        <v/>
      </c>
      <c r="N549" s="38">
        <f>IF(M549=0, 0, IF(OR($K$6="Square Grid", M549=1), INT($G$7/H549), IF($G$7&lt;H549, 0, 1+INT(($G$7-H549)/(0.8660254*H549)))))</f>
        <v/>
      </c>
      <c r="O549" s="41">
        <f>IF(OR(M549=0,N549=0), 0, IF(OR($K$6="Square Grid", M549=1), M549*N549*$K$5, (INT((N549+1)/2)*M549 + INT(N549/2)*IF(($G$6-M549*H549)&gt;=0.5*H549, M549, M549-1))*$K$5))</f>
        <v/>
      </c>
      <c r="P549" s="41">
        <f>IF(L549&lt;=0, 0, INT($G$8/L549))</f>
        <v/>
      </c>
      <c r="Q549" s="42">
        <f>MIN(O549, P549)</f>
        <v/>
      </c>
      <c r="R549" s="43">
        <f>ROUND((Q549*L549)/1000, 2)</f>
        <v/>
      </c>
      <c r="S549" s="44">
        <f>IF($C$8&gt;0, R549/$C$8, 0)</f>
        <v/>
      </c>
      <c r="T549" s="44">
        <f>IF(O549&gt;0, Q549/O549, 0)</f>
        <v/>
      </c>
      <c r="U549" s="12">
        <f>IF(Q549=0, "Exceeds Limit", IF(P549&lt;=O549, "Weight Limited", "Volume Limited"))</f>
        <v/>
      </c>
    </row>
    <row r="550" ht="19" customHeight="1">
      <c r="A550" s="45" t="n">
        <v>540</v>
      </c>
      <c r="B550" s="50" t="inlineStr">
        <is>
          <t>Stainless Steel 316</t>
        </is>
      </c>
      <c r="C550" s="19" t="inlineStr">
        <is>
          <t>ASME B36.19M</t>
        </is>
      </c>
      <c r="D550" s="18" t="inlineStr">
        <is>
          <t>1-1/4''</t>
        </is>
      </c>
      <c r="E550" s="45" t="n">
        <v>32</v>
      </c>
      <c r="F550" s="18" t="inlineStr">
        <is>
          <t>10S</t>
        </is>
      </c>
      <c r="G550" s="20" t="n">
        <v>1.66</v>
      </c>
      <c r="H550" s="47" t="n">
        <v>42.16</v>
      </c>
      <c r="I550" s="20" t="n">
        <v>0.109</v>
      </c>
      <c r="J550" s="47" t="n">
        <v>2.77</v>
      </c>
      <c r="K550" s="20">
        <f>ROUND((H550-J550)*J550*IF(B550="Carbon Steel",$K$7,IF(B550="Stainless Steel 304",$K$8,$L$8)), 3)</f>
        <v/>
      </c>
      <c r="L550" s="47">
        <f>ROUND(K550*$G$5, 2)</f>
        <v/>
      </c>
      <c r="M550" s="45">
        <f>INT($G$6/H550)</f>
        <v/>
      </c>
      <c r="N550" s="45">
        <f>IF(M550=0, 0, IF(OR($K$6="Square Grid", M550=1), INT($G$7/H550), IF($G$7&lt;H550, 0, 1+INT(($G$7-H550)/(0.8660254*H550)))))</f>
        <v/>
      </c>
      <c r="O550" s="48">
        <f>IF(OR(M550=0,N550=0), 0, IF(OR($K$6="Square Grid", M550=1), M550*N550*$K$5, (INT((N550+1)/2)*M550 + INT(N550/2)*IF(($G$6-M550*H550)&gt;=0.5*H550, M550, M550-1))*$K$5))</f>
        <v/>
      </c>
      <c r="P550" s="48">
        <f>IF(L550&lt;=0, 0, INT($G$8/L550))</f>
        <v/>
      </c>
      <c r="Q550" s="42">
        <f>MIN(O550, P550)</f>
        <v/>
      </c>
      <c r="R550" s="43">
        <f>ROUND((Q550*L550)/1000, 2)</f>
        <v/>
      </c>
      <c r="S550" s="49">
        <f>IF($C$8&gt;0, R550/$C$8, 0)</f>
        <v/>
      </c>
      <c r="T550" s="49">
        <f>IF(O550&gt;0, Q550/O550, 0)</f>
        <v/>
      </c>
      <c r="U550" s="18">
        <f>IF(Q550=0, "Exceeds Limit", IF(P550&lt;=O550, "Weight Limited", "Volume Limited"))</f>
        <v/>
      </c>
    </row>
    <row r="551" ht="19" customHeight="1">
      <c r="A551" s="38" t="n">
        <v>541</v>
      </c>
      <c r="B551" s="51" t="inlineStr">
        <is>
          <t>Stainless Steel 316</t>
        </is>
      </c>
      <c r="C551" s="13" t="inlineStr">
        <is>
          <t>ASME B36.19M</t>
        </is>
      </c>
      <c r="D551" s="12" t="inlineStr">
        <is>
          <t>1-1/4''</t>
        </is>
      </c>
      <c r="E551" s="38" t="n">
        <v>32</v>
      </c>
      <c r="F551" s="12" t="inlineStr">
        <is>
          <t>40S</t>
        </is>
      </c>
      <c r="G551" s="14" t="n">
        <v>1.66</v>
      </c>
      <c r="H551" s="40" t="n">
        <v>42.16</v>
      </c>
      <c r="I551" s="14" t="n">
        <v>0.14</v>
      </c>
      <c r="J551" s="40" t="n">
        <v>3.56</v>
      </c>
      <c r="K551" s="14">
        <f>ROUND((H551-J551)*J551*IF(B551="Carbon Steel",$K$7,IF(B551="Stainless Steel 304",$K$8,$L$8)), 3)</f>
        <v/>
      </c>
      <c r="L551" s="40">
        <f>ROUND(K551*$G$5, 2)</f>
        <v/>
      </c>
      <c r="M551" s="38">
        <f>INT($G$6/H551)</f>
        <v/>
      </c>
      <c r="N551" s="38">
        <f>IF(M551=0, 0, IF(OR($K$6="Square Grid", M551=1), INT($G$7/H551), IF($G$7&lt;H551, 0, 1+INT(($G$7-H551)/(0.8660254*H551)))))</f>
        <v/>
      </c>
      <c r="O551" s="41">
        <f>IF(OR(M551=0,N551=0), 0, IF(OR($K$6="Square Grid", M551=1), M551*N551*$K$5, (INT((N551+1)/2)*M551 + INT(N551/2)*IF(($G$6-M551*H551)&gt;=0.5*H551, M551, M551-1))*$K$5))</f>
        <v/>
      </c>
      <c r="P551" s="41">
        <f>IF(L551&lt;=0, 0, INT($G$8/L551))</f>
        <v/>
      </c>
      <c r="Q551" s="42">
        <f>MIN(O551, P551)</f>
        <v/>
      </c>
      <c r="R551" s="43">
        <f>ROUND((Q551*L551)/1000, 2)</f>
        <v/>
      </c>
      <c r="S551" s="44">
        <f>IF($C$8&gt;0, R551/$C$8, 0)</f>
        <v/>
      </c>
      <c r="T551" s="44">
        <f>IF(O551&gt;0, Q551/O551, 0)</f>
        <v/>
      </c>
      <c r="U551" s="12">
        <f>IF(Q551=0, "Exceeds Limit", IF(P551&lt;=O551, "Weight Limited", "Volume Limited"))</f>
        <v/>
      </c>
    </row>
    <row r="552" ht="19" customHeight="1">
      <c r="A552" s="45" t="n">
        <v>542</v>
      </c>
      <c r="B552" s="50" t="inlineStr">
        <is>
          <t>Stainless Steel 316</t>
        </is>
      </c>
      <c r="C552" s="19" t="inlineStr">
        <is>
          <t>ASME B36.19M</t>
        </is>
      </c>
      <c r="D552" s="18" t="inlineStr">
        <is>
          <t>1-1/4''</t>
        </is>
      </c>
      <c r="E552" s="45" t="n">
        <v>32</v>
      </c>
      <c r="F552" s="18" t="inlineStr">
        <is>
          <t>80S</t>
        </is>
      </c>
      <c r="G552" s="20" t="n">
        <v>1.66</v>
      </c>
      <c r="H552" s="47" t="n">
        <v>42.16</v>
      </c>
      <c r="I552" s="20" t="n">
        <v>0.191</v>
      </c>
      <c r="J552" s="47" t="n">
        <v>4.85</v>
      </c>
      <c r="K552" s="20">
        <f>ROUND((H552-J552)*J552*IF(B552="Carbon Steel",$K$7,IF(B552="Stainless Steel 304",$K$8,$L$8)), 3)</f>
        <v/>
      </c>
      <c r="L552" s="47">
        <f>ROUND(K552*$G$5, 2)</f>
        <v/>
      </c>
      <c r="M552" s="45">
        <f>INT($G$6/H552)</f>
        <v/>
      </c>
      <c r="N552" s="45">
        <f>IF(M552=0, 0, IF(OR($K$6="Square Grid", M552=1), INT($G$7/H552), IF($G$7&lt;H552, 0, 1+INT(($G$7-H552)/(0.8660254*H552)))))</f>
        <v/>
      </c>
      <c r="O552" s="48">
        <f>IF(OR(M552=0,N552=0), 0, IF(OR($K$6="Square Grid", M552=1), M552*N552*$K$5, (INT((N552+1)/2)*M552 + INT(N552/2)*IF(($G$6-M552*H552)&gt;=0.5*H552, M552, M552-1))*$K$5))</f>
        <v/>
      </c>
      <c r="P552" s="48">
        <f>IF(L552&lt;=0, 0, INT($G$8/L552))</f>
        <v/>
      </c>
      <c r="Q552" s="42">
        <f>MIN(O552, P552)</f>
        <v/>
      </c>
      <c r="R552" s="43">
        <f>ROUND((Q552*L552)/1000, 2)</f>
        <v/>
      </c>
      <c r="S552" s="49">
        <f>IF($C$8&gt;0, R552/$C$8, 0)</f>
        <v/>
      </c>
      <c r="T552" s="49">
        <f>IF(O552&gt;0, Q552/O552, 0)</f>
        <v/>
      </c>
      <c r="U552" s="18">
        <f>IF(Q552=0, "Exceeds Limit", IF(P552&lt;=O552, "Weight Limited", "Volume Limited"))</f>
        <v/>
      </c>
    </row>
    <row r="553" ht="19" customHeight="1">
      <c r="A553" s="38" t="n">
        <v>543</v>
      </c>
      <c r="B553" s="51" t="inlineStr">
        <is>
          <t>Stainless Steel 316</t>
        </is>
      </c>
      <c r="C553" s="13" t="inlineStr">
        <is>
          <t>ASME B36.19M</t>
        </is>
      </c>
      <c r="D553" s="12" t="inlineStr">
        <is>
          <t>1-1/4''</t>
        </is>
      </c>
      <c r="E553" s="38" t="n">
        <v>32</v>
      </c>
      <c r="F553" s="12" t="inlineStr">
        <is>
          <t>STD</t>
        </is>
      </c>
      <c r="G553" s="14" t="n">
        <v>1.66</v>
      </c>
      <c r="H553" s="40" t="n">
        <v>42.16</v>
      </c>
      <c r="I553" s="14" t="n">
        <v>0.14</v>
      </c>
      <c r="J553" s="40" t="n">
        <v>3.56</v>
      </c>
      <c r="K553" s="14">
        <f>ROUND((H553-J553)*J553*IF(B553="Carbon Steel",$K$7,IF(B553="Stainless Steel 304",$K$8,$L$8)), 3)</f>
        <v/>
      </c>
      <c r="L553" s="40">
        <f>ROUND(K553*$G$5, 2)</f>
        <v/>
      </c>
      <c r="M553" s="38">
        <f>INT($G$6/H553)</f>
        <v/>
      </c>
      <c r="N553" s="38">
        <f>IF(M553=0, 0, IF(OR($K$6="Square Grid", M553=1), INT($G$7/H553), IF($G$7&lt;H553, 0, 1+INT(($G$7-H553)/(0.8660254*H553)))))</f>
        <v/>
      </c>
      <c r="O553" s="41">
        <f>IF(OR(M553=0,N553=0), 0, IF(OR($K$6="Square Grid", M553=1), M553*N553*$K$5, (INT((N553+1)/2)*M553 + INT(N553/2)*IF(($G$6-M553*H553)&gt;=0.5*H553, M553, M553-1))*$K$5))</f>
        <v/>
      </c>
      <c r="P553" s="41">
        <f>IF(L553&lt;=0, 0, INT($G$8/L553))</f>
        <v/>
      </c>
      <c r="Q553" s="42">
        <f>MIN(O553, P553)</f>
        <v/>
      </c>
      <c r="R553" s="43">
        <f>ROUND((Q553*L553)/1000, 2)</f>
        <v/>
      </c>
      <c r="S553" s="44">
        <f>IF($C$8&gt;0, R553/$C$8, 0)</f>
        <v/>
      </c>
      <c r="T553" s="44">
        <f>IF(O553&gt;0, Q553/O553, 0)</f>
        <v/>
      </c>
      <c r="U553" s="12">
        <f>IF(Q553=0, "Exceeds Limit", IF(P553&lt;=O553, "Weight Limited", "Volume Limited"))</f>
        <v/>
      </c>
    </row>
    <row r="554" ht="19" customHeight="1">
      <c r="A554" s="45" t="n">
        <v>544</v>
      </c>
      <c r="B554" s="50" t="inlineStr">
        <is>
          <t>Stainless Steel 316</t>
        </is>
      </c>
      <c r="C554" s="19" t="inlineStr">
        <is>
          <t>ASME B36.19M</t>
        </is>
      </c>
      <c r="D554" s="18" t="inlineStr">
        <is>
          <t>1-1/4''</t>
        </is>
      </c>
      <c r="E554" s="45" t="n">
        <v>32</v>
      </c>
      <c r="F554" s="18" t="inlineStr">
        <is>
          <t>XS</t>
        </is>
      </c>
      <c r="G554" s="20" t="n">
        <v>1.66</v>
      </c>
      <c r="H554" s="47" t="n">
        <v>42.16</v>
      </c>
      <c r="I554" s="20" t="n">
        <v>0.191</v>
      </c>
      <c r="J554" s="47" t="n">
        <v>4.85</v>
      </c>
      <c r="K554" s="20">
        <f>ROUND((H554-J554)*J554*IF(B554="Carbon Steel",$K$7,IF(B554="Stainless Steel 304",$K$8,$L$8)), 3)</f>
        <v/>
      </c>
      <c r="L554" s="47">
        <f>ROUND(K554*$G$5, 2)</f>
        <v/>
      </c>
      <c r="M554" s="45">
        <f>INT($G$6/H554)</f>
        <v/>
      </c>
      <c r="N554" s="45">
        <f>IF(M554=0, 0, IF(OR($K$6="Square Grid", M554=1), INT($G$7/H554), IF($G$7&lt;H554, 0, 1+INT(($G$7-H554)/(0.8660254*H554)))))</f>
        <v/>
      </c>
      <c r="O554" s="48">
        <f>IF(OR(M554=0,N554=0), 0, IF(OR($K$6="Square Grid", M554=1), M554*N554*$K$5, (INT((N554+1)/2)*M554 + INT(N554/2)*IF(($G$6-M554*H554)&gt;=0.5*H554, M554, M554-1))*$K$5))</f>
        <v/>
      </c>
      <c r="P554" s="48">
        <f>IF(L554&lt;=0, 0, INT($G$8/L554))</f>
        <v/>
      </c>
      <c r="Q554" s="42">
        <f>MIN(O554, P554)</f>
        <v/>
      </c>
      <c r="R554" s="43">
        <f>ROUND((Q554*L554)/1000, 2)</f>
        <v/>
      </c>
      <c r="S554" s="49">
        <f>IF($C$8&gt;0, R554/$C$8, 0)</f>
        <v/>
      </c>
      <c r="T554" s="49">
        <f>IF(O554&gt;0, Q554/O554, 0)</f>
        <v/>
      </c>
      <c r="U554" s="18">
        <f>IF(Q554=0, "Exceeds Limit", IF(P554&lt;=O554, "Weight Limited", "Volume Limited"))</f>
        <v/>
      </c>
    </row>
    <row r="555" ht="19" customHeight="1">
      <c r="A555" s="38" t="n">
        <v>545</v>
      </c>
      <c r="B555" s="51" t="inlineStr">
        <is>
          <t>Stainless Steel 316</t>
        </is>
      </c>
      <c r="C555" s="13" t="inlineStr">
        <is>
          <t>ASME B36.19M</t>
        </is>
      </c>
      <c r="D555" s="12" t="inlineStr">
        <is>
          <t>1-1/4''</t>
        </is>
      </c>
      <c r="E555" s="38" t="n">
        <v>32</v>
      </c>
      <c r="F555" s="12" t="inlineStr">
        <is>
          <t>160</t>
        </is>
      </c>
      <c r="G555" s="14" t="n">
        <v>1.66</v>
      </c>
      <c r="H555" s="40" t="n">
        <v>42.16</v>
      </c>
      <c r="I555" s="14" t="n">
        <v>0.25</v>
      </c>
      <c r="J555" s="40" t="n">
        <v>6.35</v>
      </c>
      <c r="K555" s="14">
        <f>ROUND((H555-J555)*J555*IF(B555="Carbon Steel",$K$7,IF(B555="Stainless Steel 304",$K$8,$L$8)), 3)</f>
        <v/>
      </c>
      <c r="L555" s="40">
        <f>ROUND(K555*$G$5, 2)</f>
        <v/>
      </c>
      <c r="M555" s="38">
        <f>INT($G$6/H555)</f>
        <v/>
      </c>
      <c r="N555" s="38">
        <f>IF(M555=0, 0, IF(OR($K$6="Square Grid", M555=1), INT($G$7/H555), IF($G$7&lt;H555, 0, 1+INT(($G$7-H555)/(0.8660254*H555)))))</f>
        <v/>
      </c>
      <c r="O555" s="41">
        <f>IF(OR(M555=0,N555=0), 0, IF(OR($K$6="Square Grid", M555=1), M555*N555*$K$5, (INT((N555+1)/2)*M555 + INT(N555/2)*IF(($G$6-M555*H555)&gt;=0.5*H555, M555, M555-1))*$K$5))</f>
        <v/>
      </c>
      <c r="P555" s="41">
        <f>IF(L555&lt;=0, 0, INT($G$8/L555))</f>
        <v/>
      </c>
      <c r="Q555" s="42">
        <f>MIN(O555, P555)</f>
        <v/>
      </c>
      <c r="R555" s="43">
        <f>ROUND((Q555*L555)/1000, 2)</f>
        <v/>
      </c>
      <c r="S555" s="44">
        <f>IF($C$8&gt;0, R555/$C$8, 0)</f>
        <v/>
      </c>
      <c r="T555" s="44">
        <f>IF(O555&gt;0, Q555/O555, 0)</f>
        <v/>
      </c>
      <c r="U555" s="12">
        <f>IF(Q555=0, "Exceeds Limit", IF(P555&lt;=O555, "Weight Limited", "Volume Limited"))</f>
        <v/>
      </c>
    </row>
    <row r="556" ht="19" customHeight="1">
      <c r="A556" s="45" t="n">
        <v>546</v>
      </c>
      <c r="B556" s="50" t="inlineStr">
        <is>
          <t>Stainless Steel 316</t>
        </is>
      </c>
      <c r="C556" s="19" t="inlineStr">
        <is>
          <t>ASME B36.19M</t>
        </is>
      </c>
      <c r="D556" s="18" t="inlineStr">
        <is>
          <t>1-1/4''</t>
        </is>
      </c>
      <c r="E556" s="45" t="n">
        <v>32</v>
      </c>
      <c r="F556" s="18" t="inlineStr">
        <is>
          <t>XXS</t>
        </is>
      </c>
      <c r="G556" s="20" t="n">
        <v>1.66</v>
      </c>
      <c r="H556" s="47" t="n">
        <v>42.16</v>
      </c>
      <c r="I556" s="20" t="n">
        <v>0.382</v>
      </c>
      <c r="J556" s="47" t="n">
        <v>9.699999999999999</v>
      </c>
      <c r="K556" s="20">
        <f>ROUND((H556-J556)*J556*IF(B556="Carbon Steel",$K$7,IF(B556="Stainless Steel 304",$K$8,$L$8)), 3)</f>
        <v/>
      </c>
      <c r="L556" s="47">
        <f>ROUND(K556*$G$5, 2)</f>
        <v/>
      </c>
      <c r="M556" s="45">
        <f>INT($G$6/H556)</f>
        <v/>
      </c>
      <c r="N556" s="45">
        <f>IF(M556=0, 0, IF(OR($K$6="Square Grid", M556=1), INT($G$7/H556), IF($G$7&lt;H556, 0, 1+INT(($G$7-H556)/(0.8660254*H556)))))</f>
        <v/>
      </c>
      <c r="O556" s="48">
        <f>IF(OR(M556=0,N556=0), 0, IF(OR($K$6="Square Grid", M556=1), M556*N556*$K$5, (INT((N556+1)/2)*M556 + INT(N556/2)*IF(($G$6-M556*H556)&gt;=0.5*H556, M556, M556-1))*$K$5))</f>
        <v/>
      </c>
      <c r="P556" s="48">
        <f>IF(L556&lt;=0, 0, INT($G$8/L556))</f>
        <v/>
      </c>
      <c r="Q556" s="42">
        <f>MIN(O556, P556)</f>
        <v/>
      </c>
      <c r="R556" s="43">
        <f>ROUND((Q556*L556)/1000, 2)</f>
        <v/>
      </c>
      <c r="S556" s="49">
        <f>IF($C$8&gt;0, R556/$C$8, 0)</f>
        <v/>
      </c>
      <c r="T556" s="49">
        <f>IF(O556&gt;0, Q556/O556, 0)</f>
        <v/>
      </c>
      <c r="U556" s="18">
        <f>IF(Q556=0, "Exceeds Limit", IF(P556&lt;=O556, "Weight Limited", "Volume Limited"))</f>
        <v/>
      </c>
    </row>
    <row r="557" ht="19" customHeight="1">
      <c r="A557" s="38" t="n">
        <v>547</v>
      </c>
      <c r="B557" s="51" t="inlineStr">
        <is>
          <t>Stainless Steel 316</t>
        </is>
      </c>
      <c r="C557" s="13" t="inlineStr">
        <is>
          <t>ASME B36.19M</t>
        </is>
      </c>
      <c r="D557" s="12" t="inlineStr">
        <is>
          <t>1-1/2''</t>
        </is>
      </c>
      <c r="E557" s="38" t="n">
        <v>40</v>
      </c>
      <c r="F557" s="12" t="inlineStr">
        <is>
          <t>5S</t>
        </is>
      </c>
      <c r="G557" s="14" t="n">
        <v>1.9</v>
      </c>
      <c r="H557" s="40" t="n">
        <v>48.26</v>
      </c>
      <c r="I557" s="14" t="n">
        <v>0.065</v>
      </c>
      <c r="J557" s="40" t="n">
        <v>1.65</v>
      </c>
      <c r="K557" s="14">
        <f>ROUND((H557-J557)*J557*IF(B557="Carbon Steel",$K$7,IF(B557="Stainless Steel 304",$K$8,$L$8)), 3)</f>
        <v/>
      </c>
      <c r="L557" s="40">
        <f>ROUND(K557*$G$5, 2)</f>
        <v/>
      </c>
      <c r="M557" s="38">
        <f>INT($G$6/H557)</f>
        <v/>
      </c>
      <c r="N557" s="38">
        <f>IF(M557=0, 0, IF(OR($K$6="Square Grid", M557=1), INT($G$7/H557), IF($G$7&lt;H557, 0, 1+INT(($G$7-H557)/(0.8660254*H557)))))</f>
        <v/>
      </c>
      <c r="O557" s="41">
        <f>IF(OR(M557=0,N557=0), 0, IF(OR($K$6="Square Grid", M557=1), M557*N557*$K$5, (INT((N557+1)/2)*M557 + INT(N557/2)*IF(($G$6-M557*H557)&gt;=0.5*H557, M557, M557-1))*$K$5))</f>
        <v/>
      </c>
      <c r="P557" s="41">
        <f>IF(L557&lt;=0, 0, INT($G$8/L557))</f>
        <v/>
      </c>
      <c r="Q557" s="42">
        <f>MIN(O557, P557)</f>
        <v/>
      </c>
      <c r="R557" s="43">
        <f>ROUND((Q557*L557)/1000, 2)</f>
        <v/>
      </c>
      <c r="S557" s="44">
        <f>IF($C$8&gt;0, R557/$C$8, 0)</f>
        <v/>
      </c>
      <c r="T557" s="44">
        <f>IF(O557&gt;0, Q557/O557, 0)</f>
        <v/>
      </c>
      <c r="U557" s="12">
        <f>IF(Q557=0, "Exceeds Limit", IF(P557&lt;=O557, "Weight Limited", "Volume Limited"))</f>
        <v/>
      </c>
    </row>
    <row r="558" ht="19" customHeight="1">
      <c r="A558" s="45" t="n">
        <v>548</v>
      </c>
      <c r="B558" s="50" t="inlineStr">
        <is>
          <t>Stainless Steel 316</t>
        </is>
      </c>
      <c r="C558" s="19" t="inlineStr">
        <is>
          <t>ASME B36.19M</t>
        </is>
      </c>
      <c r="D558" s="18" t="inlineStr">
        <is>
          <t>1-1/2''</t>
        </is>
      </c>
      <c r="E558" s="45" t="n">
        <v>40</v>
      </c>
      <c r="F558" s="18" t="inlineStr">
        <is>
          <t>10S</t>
        </is>
      </c>
      <c r="G558" s="20" t="n">
        <v>1.9</v>
      </c>
      <c r="H558" s="47" t="n">
        <v>48.26</v>
      </c>
      <c r="I558" s="20" t="n">
        <v>0.109</v>
      </c>
      <c r="J558" s="47" t="n">
        <v>2.77</v>
      </c>
      <c r="K558" s="20">
        <f>ROUND((H558-J558)*J558*IF(B558="Carbon Steel",$K$7,IF(B558="Stainless Steel 304",$K$8,$L$8)), 3)</f>
        <v/>
      </c>
      <c r="L558" s="47">
        <f>ROUND(K558*$G$5, 2)</f>
        <v/>
      </c>
      <c r="M558" s="45">
        <f>INT($G$6/H558)</f>
        <v/>
      </c>
      <c r="N558" s="45">
        <f>IF(M558=0, 0, IF(OR($K$6="Square Grid", M558=1), INT($G$7/H558), IF($G$7&lt;H558, 0, 1+INT(($G$7-H558)/(0.8660254*H558)))))</f>
        <v/>
      </c>
      <c r="O558" s="48">
        <f>IF(OR(M558=0,N558=0), 0, IF(OR($K$6="Square Grid", M558=1), M558*N558*$K$5, (INT((N558+1)/2)*M558 + INT(N558/2)*IF(($G$6-M558*H558)&gt;=0.5*H558, M558, M558-1))*$K$5))</f>
        <v/>
      </c>
      <c r="P558" s="48">
        <f>IF(L558&lt;=0, 0, INT($G$8/L558))</f>
        <v/>
      </c>
      <c r="Q558" s="42">
        <f>MIN(O558, P558)</f>
        <v/>
      </c>
      <c r="R558" s="43">
        <f>ROUND((Q558*L558)/1000, 2)</f>
        <v/>
      </c>
      <c r="S558" s="49">
        <f>IF($C$8&gt;0, R558/$C$8, 0)</f>
        <v/>
      </c>
      <c r="T558" s="49">
        <f>IF(O558&gt;0, Q558/O558, 0)</f>
        <v/>
      </c>
      <c r="U558" s="18">
        <f>IF(Q558=0, "Exceeds Limit", IF(P558&lt;=O558, "Weight Limited", "Volume Limited"))</f>
        <v/>
      </c>
    </row>
    <row r="559" ht="19" customHeight="1">
      <c r="A559" s="38" t="n">
        <v>549</v>
      </c>
      <c r="B559" s="51" t="inlineStr">
        <is>
          <t>Stainless Steel 316</t>
        </is>
      </c>
      <c r="C559" s="13" t="inlineStr">
        <is>
          <t>ASME B36.19M</t>
        </is>
      </c>
      <c r="D559" s="12" t="inlineStr">
        <is>
          <t>1-1/2''</t>
        </is>
      </c>
      <c r="E559" s="38" t="n">
        <v>40</v>
      </c>
      <c r="F559" s="12" t="inlineStr">
        <is>
          <t>40S</t>
        </is>
      </c>
      <c r="G559" s="14" t="n">
        <v>1.9</v>
      </c>
      <c r="H559" s="40" t="n">
        <v>48.26</v>
      </c>
      <c r="I559" s="14" t="n">
        <v>0.145</v>
      </c>
      <c r="J559" s="40" t="n">
        <v>3.68</v>
      </c>
      <c r="K559" s="14">
        <f>ROUND((H559-J559)*J559*IF(B559="Carbon Steel",$K$7,IF(B559="Stainless Steel 304",$K$8,$L$8)), 3)</f>
        <v/>
      </c>
      <c r="L559" s="40">
        <f>ROUND(K559*$G$5, 2)</f>
        <v/>
      </c>
      <c r="M559" s="38">
        <f>INT($G$6/H559)</f>
        <v/>
      </c>
      <c r="N559" s="38">
        <f>IF(M559=0, 0, IF(OR($K$6="Square Grid", M559=1), INT($G$7/H559), IF($G$7&lt;H559, 0, 1+INT(($G$7-H559)/(0.8660254*H559)))))</f>
        <v/>
      </c>
      <c r="O559" s="41">
        <f>IF(OR(M559=0,N559=0), 0, IF(OR($K$6="Square Grid", M559=1), M559*N559*$K$5, (INT((N559+1)/2)*M559 + INT(N559/2)*IF(($G$6-M559*H559)&gt;=0.5*H559, M559, M559-1))*$K$5))</f>
        <v/>
      </c>
      <c r="P559" s="41">
        <f>IF(L559&lt;=0, 0, INT($G$8/L559))</f>
        <v/>
      </c>
      <c r="Q559" s="42">
        <f>MIN(O559, P559)</f>
        <v/>
      </c>
      <c r="R559" s="43">
        <f>ROUND((Q559*L559)/1000, 2)</f>
        <v/>
      </c>
      <c r="S559" s="44">
        <f>IF($C$8&gt;0, R559/$C$8, 0)</f>
        <v/>
      </c>
      <c r="T559" s="44">
        <f>IF(O559&gt;0, Q559/O559, 0)</f>
        <v/>
      </c>
      <c r="U559" s="12">
        <f>IF(Q559=0, "Exceeds Limit", IF(P559&lt;=O559, "Weight Limited", "Volume Limited"))</f>
        <v/>
      </c>
    </row>
    <row r="560" ht="19" customHeight="1">
      <c r="A560" s="45" t="n">
        <v>550</v>
      </c>
      <c r="B560" s="50" t="inlineStr">
        <is>
          <t>Stainless Steel 316</t>
        </is>
      </c>
      <c r="C560" s="19" t="inlineStr">
        <is>
          <t>ASME B36.19M</t>
        </is>
      </c>
      <c r="D560" s="18" t="inlineStr">
        <is>
          <t>1-1/2''</t>
        </is>
      </c>
      <c r="E560" s="45" t="n">
        <v>40</v>
      </c>
      <c r="F560" s="18" t="inlineStr">
        <is>
          <t>80S</t>
        </is>
      </c>
      <c r="G560" s="20" t="n">
        <v>1.9</v>
      </c>
      <c r="H560" s="47" t="n">
        <v>48.26</v>
      </c>
      <c r="I560" s="20" t="n">
        <v>0.2</v>
      </c>
      <c r="J560" s="47" t="n">
        <v>5.08</v>
      </c>
      <c r="K560" s="20">
        <f>ROUND((H560-J560)*J560*IF(B560="Carbon Steel",$K$7,IF(B560="Stainless Steel 304",$K$8,$L$8)), 3)</f>
        <v/>
      </c>
      <c r="L560" s="47">
        <f>ROUND(K560*$G$5, 2)</f>
        <v/>
      </c>
      <c r="M560" s="45">
        <f>INT($G$6/H560)</f>
        <v/>
      </c>
      <c r="N560" s="45">
        <f>IF(M560=0, 0, IF(OR($K$6="Square Grid", M560=1), INT($G$7/H560), IF($G$7&lt;H560, 0, 1+INT(($G$7-H560)/(0.8660254*H560)))))</f>
        <v/>
      </c>
      <c r="O560" s="48">
        <f>IF(OR(M560=0,N560=0), 0, IF(OR($K$6="Square Grid", M560=1), M560*N560*$K$5, (INT((N560+1)/2)*M560 + INT(N560/2)*IF(($G$6-M560*H560)&gt;=0.5*H560, M560, M560-1))*$K$5))</f>
        <v/>
      </c>
      <c r="P560" s="48">
        <f>IF(L560&lt;=0, 0, INT($G$8/L560))</f>
        <v/>
      </c>
      <c r="Q560" s="42">
        <f>MIN(O560, P560)</f>
        <v/>
      </c>
      <c r="R560" s="43">
        <f>ROUND((Q560*L560)/1000, 2)</f>
        <v/>
      </c>
      <c r="S560" s="49">
        <f>IF($C$8&gt;0, R560/$C$8, 0)</f>
        <v/>
      </c>
      <c r="T560" s="49">
        <f>IF(O560&gt;0, Q560/O560, 0)</f>
        <v/>
      </c>
      <c r="U560" s="18">
        <f>IF(Q560=0, "Exceeds Limit", IF(P560&lt;=O560, "Weight Limited", "Volume Limited"))</f>
        <v/>
      </c>
    </row>
    <row r="561" ht="19" customHeight="1">
      <c r="A561" s="38" t="n">
        <v>551</v>
      </c>
      <c r="B561" s="51" t="inlineStr">
        <is>
          <t>Stainless Steel 316</t>
        </is>
      </c>
      <c r="C561" s="13" t="inlineStr">
        <is>
          <t>ASME B36.19M</t>
        </is>
      </c>
      <c r="D561" s="12" t="inlineStr">
        <is>
          <t>1-1/2''</t>
        </is>
      </c>
      <c r="E561" s="38" t="n">
        <v>40</v>
      </c>
      <c r="F561" s="12" t="inlineStr">
        <is>
          <t>STD</t>
        </is>
      </c>
      <c r="G561" s="14" t="n">
        <v>1.9</v>
      </c>
      <c r="H561" s="40" t="n">
        <v>48.26</v>
      </c>
      <c r="I561" s="14" t="n">
        <v>0.145</v>
      </c>
      <c r="J561" s="40" t="n">
        <v>3.68</v>
      </c>
      <c r="K561" s="14">
        <f>ROUND((H561-J561)*J561*IF(B561="Carbon Steel",$K$7,IF(B561="Stainless Steel 304",$K$8,$L$8)), 3)</f>
        <v/>
      </c>
      <c r="L561" s="40">
        <f>ROUND(K561*$G$5, 2)</f>
        <v/>
      </c>
      <c r="M561" s="38">
        <f>INT($G$6/H561)</f>
        <v/>
      </c>
      <c r="N561" s="38">
        <f>IF(M561=0, 0, IF(OR($K$6="Square Grid", M561=1), INT($G$7/H561), IF($G$7&lt;H561, 0, 1+INT(($G$7-H561)/(0.8660254*H561)))))</f>
        <v/>
      </c>
      <c r="O561" s="41">
        <f>IF(OR(M561=0,N561=0), 0, IF(OR($K$6="Square Grid", M561=1), M561*N561*$K$5, (INT((N561+1)/2)*M561 + INT(N561/2)*IF(($G$6-M561*H561)&gt;=0.5*H561, M561, M561-1))*$K$5))</f>
        <v/>
      </c>
      <c r="P561" s="41">
        <f>IF(L561&lt;=0, 0, INT($G$8/L561))</f>
        <v/>
      </c>
      <c r="Q561" s="42">
        <f>MIN(O561, P561)</f>
        <v/>
      </c>
      <c r="R561" s="43">
        <f>ROUND((Q561*L561)/1000, 2)</f>
        <v/>
      </c>
      <c r="S561" s="44">
        <f>IF($C$8&gt;0, R561/$C$8, 0)</f>
        <v/>
      </c>
      <c r="T561" s="44">
        <f>IF(O561&gt;0, Q561/O561, 0)</f>
        <v/>
      </c>
      <c r="U561" s="12">
        <f>IF(Q561=0, "Exceeds Limit", IF(P561&lt;=O561, "Weight Limited", "Volume Limited"))</f>
        <v/>
      </c>
    </row>
    <row r="562" ht="19" customHeight="1">
      <c r="A562" s="45" t="n">
        <v>552</v>
      </c>
      <c r="B562" s="50" t="inlineStr">
        <is>
          <t>Stainless Steel 316</t>
        </is>
      </c>
      <c r="C562" s="19" t="inlineStr">
        <is>
          <t>ASME B36.19M</t>
        </is>
      </c>
      <c r="D562" s="18" t="inlineStr">
        <is>
          <t>1-1/2''</t>
        </is>
      </c>
      <c r="E562" s="45" t="n">
        <v>40</v>
      </c>
      <c r="F562" s="18" t="inlineStr">
        <is>
          <t>XS</t>
        </is>
      </c>
      <c r="G562" s="20" t="n">
        <v>1.9</v>
      </c>
      <c r="H562" s="47" t="n">
        <v>48.26</v>
      </c>
      <c r="I562" s="20" t="n">
        <v>0.2</v>
      </c>
      <c r="J562" s="47" t="n">
        <v>5.08</v>
      </c>
      <c r="K562" s="20">
        <f>ROUND((H562-J562)*J562*IF(B562="Carbon Steel",$K$7,IF(B562="Stainless Steel 304",$K$8,$L$8)), 3)</f>
        <v/>
      </c>
      <c r="L562" s="47">
        <f>ROUND(K562*$G$5, 2)</f>
        <v/>
      </c>
      <c r="M562" s="45">
        <f>INT($G$6/H562)</f>
        <v/>
      </c>
      <c r="N562" s="45">
        <f>IF(M562=0, 0, IF(OR($K$6="Square Grid", M562=1), INT($G$7/H562), IF($G$7&lt;H562, 0, 1+INT(($G$7-H562)/(0.8660254*H562)))))</f>
        <v/>
      </c>
      <c r="O562" s="48">
        <f>IF(OR(M562=0,N562=0), 0, IF(OR($K$6="Square Grid", M562=1), M562*N562*$K$5, (INT((N562+1)/2)*M562 + INT(N562/2)*IF(($G$6-M562*H562)&gt;=0.5*H562, M562, M562-1))*$K$5))</f>
        <v/>
      </c>
      <c r="P562" s="48">
        <f>IF(L562&lt;=0, 0, INT($G$8/L562))</f>
        <v/>
      </c>
      <c r="Q562" s="42">
        <f>MIN(O562, P562)</f>
        <v/>
      </c>
      <c r="R562" s="43">
        <f>ROUND((Q562*L562)/1000, 2)</f>
        <v/>
      </c>
      <c r="S562" s="49">
        <f>IF($C$8&gt;0, R562/$C$8, 0)</f>
        <v/>
      </c>
      <c r="T562" s="49">
        <f>IF(O562&gt;0, Q562/O562, 0)</f>
        <v/>
      </c>
      <c r="U562" s="18">
        <f>IF(Q562=0, "Exceeds Limit", IF(P562&lt;=O562, "Weight Limited", "Volume Limited"))</f>
        <v/>
      </c>
    </row>
    <row r="563" ht="19" customHeight="1">
      <c r="A563" s="38" t="n">
        <v>553</v>
      </c>
      <c r="B563" s="51" t="inlineStr">
        <is>
          <t>Stainless Steel 316</t>
        </is>
      </c>
      <c r="C563" s="13" t="inlineStr">
        <is>
          <t>ASME B36.19M</t>
        </is>
      </c>
      <c r="D563" s="12" t="inlineStr">
        <is>
          <t>1-1/2''</t>
        </is>
      </c>
      <c r="E563" s="38" t="n">
        <v>40</v>
      </c>
      <c r="F563" s="12" t="inlineStr">
        <is>
          <t>160</t>
        </is>
      </c>
      <c r="G563" s="14" t="n">
        <v>1.9</v>
      </c>
      <c r="H563" s="40" t="n">
        <v>48.26</v>
      </c>
      <c r="I563" s="14" t="n">
        <v>0.281</v>
      </c>
      <c r="J563" s="40" t="n">
        <v>7.14</v>
      </c>
      <c r="K563" s="14">
        <f>ROUND((H563-J563)*J563*IF(B563="Carbon Steel",$K$7,IF(B563="Stainless Steel 304",$K$8,$L$8)), 3)</f>
        <v/>
      </c>
      <c r="L563" s="40">
        <f>ROUND(K563*$G$5, 2)</f>
        <v/>
      </c>
      <c r="M563" s="38">
        <f>INT($G$6/H563)</f>
        <v/>
      </c>
      <c r="N563" s="38">
        <f>IF(M563=0, 0, IF(OR($K$6="Square Grid", M563=1), INT($G$7/H563), IF($G$7&lt;H563, 0, 1+INT(($G$7-H563)/(0.8660254*H563)))))</f>
        <v/>
      </c>
      <c r="O563" s="41">
        <f>IF(OR(M563=0,N563=0), 0, IF(OR($K$6="Square Grid", M563=1), M563*N563*$K$5, (INT((N563+1)/2)*M563 + INT(N563/2)*IF(($G$6-M563*H563)&gt;=0.5*H563, M563, M563-1))*$K$5))</f>
        <v/>
      </c>
      <c r="P563" s="41">
        <f>IF(L563&lt;=0, 0, INT($G$8/L563))</f>
        <v/>
      </c>
      <c r="Q563" s="42">
        <f>MIN(O563, P563)</f>
        <v/>
      </c>
      <c r="R563" s="43">
        <f>ROUND((Q563*L563)/1000, 2)</f>
        <v/>
      </c>
      <c r="S563" s="44">
        <f>IF($C$8&gt;0, R563/$C$8, 0)</f>
        <v/>
      </c>
      <c r="T563" s="44">
        <f>IF(O563&gt;0, Q563/O563, 0)</f>
        <v/>
      </c>
      <c r="U563" s="12">
        <f>IF(Q563=0, "Exceeds Limit", IF(P563&lt;=O563, "Weight Limited", "Volume Limited"))</f>
        <v/>
      </c>
    </row>
    <row r="564" ht="19" customHeight="1">
      <c r="A564" s="45" t="n">
        <v>554</v>
      </c>
      <c r="B564" s="50" t="inlineStr">
        <is>
          <t>Stainless Steel 316</t>
        </is>
      </c>
      <c r="C564" s="19" t="inlineStr">
        <is>
          <t>ASME B36.19M</t>
        </is>
      </c>
      <c r="D564" s="18" t="inlineStr">
        <is>
          <t>1-1/2''</t>
        </is>
      </c>
      <c r="E564" s="45" t="n">
        <v>40</v>
      </c>
      <c r="F564" s="18" t="inlineStr">
        <is>
          <t>XXS</t>
        </is>
      </c>
      <c r="G564" s="20" t="n">
        <v>1.9</v>
      </c>
      <c r="H564" s="47" t="n">
        <v>48.26</v>
      </c>
      <c r="I564" s="20" t="n">
        <v>0.4</v>
      </c>
      <c r="J564" s="47" t="n">
        <v>10.16</v>
      </c>
      <c r="K564" s="20">
        <f>ROUND((H564-J564)*J564*IF(B564="Carbon Steel",$K$7,IF(B564="Stainless Steel 304",$K$8,$L$8)), 3)</f>
        <v/>
      </c>
      <c r="L564" s="47">
        <f>ROUND(K564*$G$5, 2)</f>
        <v/>
      </c>
      <c r="M564" s="45">
        <f>INT($G$6/H564)</f>
        <v/>
      </c>
      <c r="N564" s="45">
        <f>IF(M564=0, 0, IF(OR($K$6="Square Grid", M564=1), INT($G$7/H564), IF($G$7&lt;H564, 0, 1+INT(($G$7-H564)/(0.8660254*H564)))))</f>
        <v/>
      </c>
      <c r="O564" s="48">
        <f>IF(OR(M564=0,N564=0), 0, IF(OR($K$6="Square Grid", M564=1), M564*N564*$K$5, (INT((N564+1)/2)*M564 + INT(N564/2)*IF(($G$6-M564*H564)&gt;=0.5*H564, M564, M564-1))*$K$5))</f>
        <v/>
      </c>
      <c r="P564" s="48">
        <f>IF(L564&lt;=0, 0, INT($G$8/L564))</f>
        <v/>
      </c>
      <c r="Q564" s="42">
        <f>MIN(O564, P564)</f>
        <v/>
      </c>
      <c r="R564" s="43">
        <f>ROUND((Q564*L564)/1000, 2)</f>
        <v/>
      </c>
      <c r="S564" s="49">
        <f>IF($C$8&gt;0, R564/$C$8, 0)</f>
        <v/>
      </c>
      <c r="T564" s="49">
        <f>IF(O564&gt;0, Q564/O564, 0)</f>
        <v/>
      </c>
      <c r="U564" s="18">
        <f>IF(Q564=0, "Exceeds Limit", IF(P564&lt;=O564, "Weight Limited", "Volume Limited"))</f>
        <v/>
      </c>
    </row>
    <row r="565" ht="19" customHeight="1">
      <c r="A565" s="38" t="n">
        <v>555</v>
      </c>
      <c r="B565" s="51" t="inlineStr">
        <is>
          <t>Stainless Steel 316</t>
        </is>
      </c>
      <c r="C565" s="13" t="inlineStr">
        <is>
          <t>ASME B36.19M</t>
        </is>
      </c>
      <c r="D565" s="12" t="inlineStr">
        <is>
          <t>2''</t>
        </is>
      </c>
      <c r="E565" s="38" t="n">
        <v>50</v>
      </c>
      <c r="F565" s="12" t="inlineStr">
        <is>
          <t>5S</t>
        </is>
      </c>
      <c r="G565" s="14" t="n">
        <v>2.375</v>
      </c>
      <c r="H565" s="40" t="n">
        <v>60.32</v>
      </c>
      <c r="I565" s="14" t="n">
        <v>0.065</v>
      </c>
      <c r="J565" s="40" t="n">
        <v>1.65</v>
      </c>
      <c r="K565" s="14">
        <f>ROUND((H565-J565)*J565*IF(B565="Carbon Steel",$K$7,IF(B565="Stainless Steel 304",$K$8,$L$8)), 3)</f>
        <v/>
      </c>
      <c r="L565" s="40">
        <f>ROUND(K565*$G$5, 2)</f>
        <v/>
      </c>
      <c r="M565" s="38">
        <f>INT($G$6/H565)</f>
        <v/>
      </c>
      <c r="N565" s="38">
        <f>IF(M565=0, 0, IF(OR($K$6="Square Grid", M565=1), INT($G$7/H565), IF($G$7&lt;H565, 0, 1+INT(($G$7-H565)/(0.8660254*H565)))))</f>
        <v/>
      </c>
      <c r="O565" s="41">
        <f>IF(OR(M565=0,N565=0), 0, IF(OR($K$6="Square Grid", M565=1), M565*N565*$K$5, (INT((N565+1)/2)*M565 + INT(N565/2)*IF(($G$6-M565*H565)&gt;=0.5*H565, M565, M565-1))*$K$5))</f>
        <v/>
      </c>
      <c r="P565" s="41">
        <f>IF(L565&lt;=0, 0, INT($G$8/L565))</f>
        <v/>
      </c>
      <c r="Q565" s="42">
        <f>MIN(O565, P565)</f>
        <v/>
      </c>
      <c r="R565" s="43">
        <f>ROUND((Q565*L565)/1000, 2)</f>
        <v/>
      </c>
      <c r="S565" s="44">
        <f>IF($C$8&gt;0, R565/$C$8, 0)</f>
        <v/>
      </c>
      <c r="T565" s="44">
        <f>IF(O565&gt;0, Q565/O565, 0)</f>
        <v/>
      </c>
      <c r="U565" s="12">
        <f>IF(Q565=0, "Exceeds Limit", IF(P565&lt;=O565, "Weight Limited", "Volume Limited"))</f>
        <v/>
      </c>
    </row>
    <row r="566" ht="19" customHeight="1">
      <c r="A566" s="45" t="n">
        <v>556</v>
      </c>
      <c r="B566" s="50" t="inlineStr">
        <is>
          <t>Stainless Steel 316</t>
        </is>
      </c>
      <c r="C566" s="19" t="inlineStr">
        <is>
          <t>ASME B36.19M</t>
        </is>
      </c>
      <c r="D566" s="18" t="inlineStr">
        <is>
          <t>2''</t>
        </is>
      </c>
      <c r="E566" s="45" t="n">
        <v>50</v>
      </c>
      <c r="F566" s="18" t="inlineStr">
        <is>
          <t>10S</t>
        </is>
      </c>
      <c r="G566" s="20" t="n">
        <v>2.375</v>
      </c>
      <c r="H566" s="47" t="n">
        <v>60.32</v>
      </c>
      <c r="I566" s="20" t="n">
        <v>0.109</v>
      </c>
      <c r="J566" s="47" t="n">
        <v>2.77</v>
      </c>
      <c r="K566" s="20">
        <f>ROUND((H566-J566)*J566*IF(B566="Carbon Steel",$K$7,IF(B566="Stainless Steel 304",$K$8,$L$8)), 3)</f>
        <v/>
      </c>
      <c r="L566" s="47">
        <f>ROUND(K566*$G$5, 2)</f>
        <v/>
      </c>
      <c r="M566" s="45">
        <f>INT($G$6/H566)</f>
        <v/>
      </c>
      <c r="N566" s="45">
        <f>IF(M566=0, 0, IF(OR($K$6="Square Grid", M566=1), INT($G$7/H566), IF($G$7&lt;H566, 0, 1+INT(($G$7-H566)/(0.8660254*H566)))))</f>
        <v/>
      </c>
      <c r="O566" s="48">
        <f>IF(OR(M566=0,N566=0), 0, IF(OR($K$6="Square Grid", M566=1), M566*N566*$K$5, (INT((N566+1)/2)*M566 + INT(N566/2)*IF(($G$6-M566*H566)&gt;=0.5*H566, M566, M566-1))*$K$5))</f>
        <v/>
      </c>
      <c r="P566" s="48">
        <f>IF(L566&lt;=0, 0, INT($G$8/L566))</f>
        <v/>
      </c>
      <c r="Q566" s="42">
        <f>MIN(O566, P566)</f>
        <v/>
      </c>
      <c r="R566" s="43">
        <f>ROUND((Q566*L566)/1000, 2)</f>
        <v/>
      </c>
      <c r="S566" s="49">
        <f>IF($C$8&gt;0, R566/$C$8, 0)</f>
        <v/>
      </c>
      <c r="T566" s="49">
        <f>IF(O566&gt;0, Q566/O566, 0)</f>
        <v/>
      </c>
      <c r="U566" s="18">
        <f>IF(Q566=0, "Exceeds Limit", IF(P566&lt;=O566, "Weight Limited", "Volume Limited"))</f>
        <v/>
      </c>
    </row>
    <row r="567" ht="19" customHeight="1">
      <c r="A567" s="38" t="n">
        <v>557</v>
      </c>
      <c r="B567" s="51" t="inlineStr">
        <is>
          <t>Stainless Steel 316</t>
        </is>
      </c>
      <c r="C567" s="13" t="inlineStr">
        <is>
          <t>ASME B36.19M</t>
        </is>
      </c>
      <c r="D567" s="12" t="inlineStr">
        <is>
          <t>2''</t>
        </is>
      </c>
      <c r="E567" s="38" t="n">
        <v>50</v>
      </c>
      <c r="F567" s="12" t="inlineStr">
        <is>
          <t>40S</t>
        </is>
      </c>
      <c r="G567" s="14" t="n">
        <v>2.375</v>
      </c>
      <c r="H567" s="40" t="n">
        <v>60.32</v>
      </c>
      <c r="I567" s="14" t="n">
        <v>0.154</v>
      </c>
      <c r="J567" s="40" t="n">
        <v>3.91</v>
      </c>
      <c r="K567" s="14">
        <f>ROUND((H567-J567)*J567*IF(B567="Carbon Steel",$K$7,IF(B567="Stainless Steel 304",$K$8,$L$8)), 3)</f>
        <v/>
      </c>
      <c r="L567" s="40">
        <f>ROUND(K567*$G$5, 2)</f>
        <v/>
      </c>
      <c r="M567" s="38">
        <f>INT($G$6/H567)</f>
        <v/>
      </c>
      <c r="N567" s="38">
        <f>IF(M567=0, 0, IF(OR($K$6="Square Grid", M567=1), INT($G$7/H567), IF($G$7&lt;H567, 0, 1+INT(($G$7-H567)/(0.8660254*H567)))))</f>
        <v/>
      </c>
      <c r="O567" s="41">
        <f>IF(OR(M567=0,N567=0), 0, IF(OR($K$6="Square Grid", M567=1), M567*N567*$K$5, (INT((N567+1)/2)*M567 + INT(N567/2)*IF(($G$6-M567*H567)&gt;=0.5*H567, M567, M567-1))*$K$5))</f>
        <v/>
      </c>
      <c r="P567" s="41">
        <f>IF(L567&lt;=0, 0, INT($G$8/L567))</f>
        <v/>
      </c>
      <c r="Q567" s="42">
        <f>MIN(O567, P567)</f>
        <v/>
      </c>
      <c r="R567" s="43">
        <f>ROUND((Q567*L567)/1000, 2)</f>
        <v/>
      </c>
      <c r="S567" s="44">
        <f>IF($C$8&gt;0, R567/$C$8, 0)</f>
        <v/>
      </c>
      <c r="T567" s="44">
        <f>IF(O567&gt;0, Q567/O567, 0)</f>
        <v/>
      </c>
      <c r="U567" s="12">
        <f>IF(Q567=0, "Exceeds Limit", IF(P567&lt;=O567, "Weight Limited", "Volume Limited"))</f>
        <v/>
      </c>
    </row>
    <row r="568" ht="19" customHeight="1">
      <c r="A568" s="45" t="n">
        <v>558</v>
      </c>
      <c r="B568" s="50" t="inlineStr">
        <is>
          <t>Stainless Steel 316</t>
        </is>
      </c>
      <c r="C568" s="19" t="inlineStr">
        <is>
          <t>ASME B36.19M</t>
        </is>
      </c>
      <c r="D568" s="18" t="inlineStr">
        <is>
          <t>2''</t>
        </is>
      </c>
      <c r="E568" s="45" t="n">
        <v>50</v>
      </c>
      <c r="F568" s="18" t="inlineStr">
        <is>
          <t>80S</t>
        </is>
      </c>
      <c r="G568" s="20" t="n">
        <v>2.375</v>
      </c>
      <c r="H568" s="47" t="n">
        <v>60.32</v>
      </c>
      <c r="I568" s="20" t="n">
        <v>0.218</v>
      </c>
      <c r="J568" s="47" t="n">
        <v>5.54</v>
      </c>
      <c r="K568" s="20">
        <f>ROUND((H568-J568)*J568*IF(B568="Carbon Steel",$K$7,IF(B568="Stainless Steel 304",$K$8,$L$8)), 3)</f>
        <v/>
      </c>
      <c r="L568" s="47">
        <f>ROUND(K568*$G$5, 2)</f>
        <v/>
      </c>
      <c r="M568" s="45">
        <f>INT($G$6/H568)</f>
        <v/>
      </c>
      <c r="N568" s="45">
        <f>IF(M568=0, 0, IF(OR($K$6="Square Grid", M568=1), INT($G$7/H568), IF($G$7&lt;H568, 0, 1+INT(($G$7-H568)/(0.8660254*H568)))))</f>
        <v/>
      </c>
      <c r="O568" s="48">
        <f>IF(OR(M568=0,N568=0), 0, IF(OR($K$6="Square Grid", M568=1), M568*N568*$K$5, (INT((N568+1)/2)*M568 + INT(N568/2)*IF(($G$6-M568*H568)&gt;=0.5*H568, M568, M568-1))*$K$5))</f>
        <v/>
      </c>
      <c r="P568" s="48">
        <f>IF(L568&lt;=0, 0, INT($G$8/L568))</f>
        <v/>
      </c>
      <c r="Q568" s="42">
        <f>MIN(O568, P568)</f>
        <v/>
      </c>
      <c r="R568" s="43">
        <f>ROUND((Q568*L568)/1000, 2)</f>
        <v/>
      </c>
      <c r="S568" s="49">
        <f>IF($C$8&gt;0, R568/$C$8, 0)</f>
        <v/>
      </c>
      <c r="T568" s="49">
        <f>IF(O568&gt;0, Q568/O568, 0)</f>
        <v/>
      </c>
      <c r="U568" s="18">
        <f>IF(Q568=0, "Exceeds Limit", IF(P568&lt;=O568, "Weight Limited", "Volume Limited"))</f>
        <v/>
      </c>
    </row>
    <row r="569" ht="19" customHeight="1">
      <c r="A569" s="38" t="n">
        <v>559</v>
      </c>
      <c r="B569" s="51" t="inlineStr">
        <is>
          <t>Stainless Steel 316</t>
        </is>
      </c>
      <c r="C569" s="13" t="inlineStr">
        <is>
          <t>ASME B36.19M</t>
        </is>
      </c>
      <c r="D569" s="12" t="inlineStr">
        <is>
          <t>2''</t>
        </is>
      </c>
      <c r="E569" s="38" t="n">
        <v>50</v>
      </c>
      <c r="F569" s="12" t="inlineStr">
        <is>
          <t>STD</t>
        </is>
      </c>
      <c r="G569" s="14" t="n">
        <v>2.375</v>
      </c>
      <c r="H569" s="40" t="n">
        <v>60.32</v>
      </c>
      <c r="I569" s="14" t="n">
        <v>0.154</v>
      </c>
      <c r="J569" s="40" t="n">
        <v>3.91</v>
      </c>
      <c r="K569" s="14">
        <f>ROUND((H569-J569)*J569*IF(B569="Carbon Steel",$K$7,IF(B569="Stainless Steel 304",$K$8,$L$8)), 3)</f>
        <v/>
      </c>
      <c r="L569" s="40">
        <f>ROUND(K569*$G$5, 2)</f>
        <v/>
      </c>
      <c r="M569" s="38">
        <f>INT($G$6/H569)</f>
        <v/>
      </c>
      <c r="N569" s="38">
        <f>IF(M569=0, 0, IF(OR($K$6="Square Grid", M569=1), INT($G$7/H569), IF($G$7&lt;H569, 0, 1+INT(($G$7-H569)/(0.8660254*H569)))))</f>
        <v/>
      </c>
      <c r="O569" s="41">
        <f>IF(OR(M569=0,N569=0), 0, IF(OR($K$6="Square Grid", M569=1), M569*N569*$K$5, (INT((N569+1)/2)*M569 + INT(N569/2)*IF(($G$6-M569*H569)&gt;=0.5*H569, M569, M569-1))*$K$5))</f>
        <v/>
      </c>
      <c r="P569" s="41">
        <f>IF(L569&lt;=0, 0, INT($G$8/L569))</f>
        <v/>
      </c>
      <c r="Q569" s="42">
        <f>MIN(O569, P569)</f>
        <v/>
      </c>
      <c r="R569" s="43">
        <f>ROUND((Q569*L569)/1000, 2)</f>
        <v/>
      </c>
      <c r="S569" s="44">
        <f>IF($C$8&gt;0, R569/$C$8, 0)</f>
        <v/>
      </c>
      <c r="T569" s="44">
        <f>IF(O569&gt;0, Q569/O569, 0)</f>
        <v/>
      </c>
      <c r="U569" s="12">
        <f>IF(Q569=0, "Exceeds Limit", IF(P569&lt;=O569, "Weight Limited", "Volume Limited"))</f>
        <v/>
      </c>
    </row>
    <row r="570" ht="19" customHeight="1">
      <c r="A570" s="45" t="n">
        <v>560</v>
      </c>
      <c r="B570" s="50" t="inlineStr">
        <is>
          <t>Stainless Steel 316</t>
        </is>
      </c>
      <c r="C570" s="19" t="inlineStr">
        <is>
          <t>ASME B36.19M</t>
        </is>
      </c>
      <c r="D570" s="18" t="inlineStr">
        <is>
          <t>2''</t>
        </is>
      </c>
      <c r="E570" s="45" t="n">
        <v>50</v>
      </c>
      <c r="F570" s="18" t="inlineStr">
        <is>
          <t>XS</t>
        </is>
      </c>
      <c r="G570" s="20" t="n">
        <v>2.375</v>
      </c>
      <c r="H570" s="47" t="n">
        <v>60.32</v>
      </c>
      <c r="I570" s="20" t="n">
        <v>0.218</v>
      </c>
      <c r="J570" s="47" t="n">
        <v>5.54</v>
      </c>
      <c r="K570" s="20">
        <f>ROUND((H570-J570)*J570*IF(B570="Carbon Steel",$K$7,IF(B570="Stainless Steel 304",$K$8,$L$8)), 3)</f>
        <v/>
      </c>
      <c r="L570" s="47">
        <f>ROUND(K570*$G$5, 2)</f>
        <v/>
      </c>
      <c r="M570" s="45">
        <f>INT($G$6/H570)</f>
        <v/>
      </c>
      <c r="N570" s="45">
        <f>IF(M570=0, 0, IF(OR($K$6="Square Grid", M570=1), INT($G$7/H570), IF($G$7&lt;H570, 0, 1+INT(($G$7-H570)/(0.8660254*H570)))))</f>
        <v/>
      </c>
      <c r="O570" s="48">
        <f>IF(OR(M570=0,N570=0), 0, IF(OR($K$6="Square Grid", M570=1), M570*N570*$K$5, (INT((N570+1)/2)*M570 + INT(N570/2)*IF(($G$6-M570*H570)&gt;=0.5*H570, M570, M570-1))*$K$5))</f>
        <v/>
      </c>
      <c r="P570" s="48">
        <f>IF(L570&lt;=0, 0, INT($G$8/L570))</f>
        <v/>
      </c>
      <c r="Q570" s="42">
        <f>MIN(O570, P570)</f>
        <v/>
      </c>
      <c r="R570" s="43">
        <f>ROUND((Q570*L570)/1000, 2)</f>
        <v/>
      </c>
      <c r="S570" s="49">
        <f>IF($C$8&gt;0, R570/$C$8, 0)</f>
        <v/>
      </c>
      <c r="T570" s="49">
        <f>IF(O570&gt;0, Q570/O570, 0)</f>
        <v/>
      </c>
      <c r="U570" s="18">
        <f>IF(Q570=0, "Exceeds Limit", IF(P570&lt;=O570, "Weight Limited", "Volume Limited"))</f>
        <v/>
      </c>
    </row>
    <row r="571" ht="19" customHeight="1">
      <c r="A571" s="38" t="n">
        <v>561</v>
      </c>
      <c r="B571" s="51" t="inlineStr">
        <is>
          <t>Stainless Steel 316</t>
        </is>
      </c>
      <c r="C571" s="13" t="inlineStr">
        <is>
          <t>ASME B36.19M</t>
        </is>
      </c>
      <c r="D571" s="12" t="inlineStr">
        <is>
          <t>2''</t>
        </is>
      </c>
      <c r="E571" s="38" t="n">
        <v>50</v>
      </c>
      <c r="F571" s="12" t="inlineStr">
        <is>
          <t>160</t>
        </is>
      </c>
      <c r="G571" s="14" t="n">
        <v>2.375</v>
      </c>
      <c r="H571" s="40" t="n">
        <v>60.32</v>
      </c>
      <c r="I571" s="14" t="n">
        <v>0.344</v>
      </c>
      <c r="J571" s="40" t="n">
        <v>8.74</v>
      </c>
      <c r="K571" s="14">
        <f>ROUND((H571-J571)*J571*IF(B571="Carbon Steel",$K$7,IF(B571="Stainless Steel 304",$K$8,$L$8)), 3)</f>
        <v/>
      </c>
      <c r="L571" s="40">
        <f>ROUND(K571*$G$5, 2)</f>
        <v/>
      </c>
      <c r="M571" s="38">
        <f>INT($G$6/H571)</f>
        <v/>
      </c>
      <c r="N571" s="38">
        <f>IF(M571=0, 0, IF(OR($K$6="Square Grid", M571=1), INT($G$7/H571), IF($G$7&lt;H571, 0, 1+INT(($G$7-H571)/(0.8660254*H571)))))</f>
        <v/>
      </c>
      <c r="O571" s="41">
        <f>IF(OR(M571=0,N571=0), 0, IF(OR($K$6="Square Grid", M571=1), M571*N571*$K$5, (INT((N571+1)/2)*M571 + INT(N571/2)*IF(($G$6-M571*H571)&gt;=0.5*H571, M571, M571-1))*$K$5))</f>
        <v/>
      </c>
      <c r="P571" s="41">
        <f>IF(L571&lt;=0, 0, INT($G$8/L571))</f>
        <v/>
      </c>
      <c r="Q571" s="42">
        <f>MIN(O571, P571)</f>
        <v/>
      </c>
      <c r="R571" s="43">
        <f>ROUND((Q571*L571)/1000, 2)</f>
        <v/>
      </c>
      <c r="S571" s="44">
        <f>IF($C$8&gt;0, R571/$C$8, 0)</f>
        <v/>
      </c>
      <c r="T571" s="44">
        <f>IF(O571&gt;0, Q571/O571, 0)</f>
        <v/>
      </c>
      <c r="U571" s="12">
        <f>IF(Q571=0, "Exceeds Limit", IF(P571&lt;=O571, "Weight Limited", "Volume Limited"))</f>
        <v/>
      </c>
    </row>
    <row r="572" ht="19" customHeight="1">
      <c r="A572" s="45" t="n">
        <v>562</v>
      </c>
      <c r="B572" s="50" t="inlineStr">
        <is>
          <t>Stainless Steel 316</t>
        </is>
      </c>
      <c r="C572" s="19" t="inlineStr">
        <is>
          <t>ASME B36.19M</t>
        </is>
      </c>
      <c r="D572" s="18" t="inlineStr">
        <is>
          <t>2''</t>
        </is>
      </c>
      <c r="E572" s="45" t="n">
        <v>50</v>
      </c>
      <c r="F572" s="18" t="inlineStr">
        <is>
          <t>XXS</t>
        </is>
      </c>
      <c r="G572" s="20" t="n">
        <v>2.375</v>
      </c>
      <c r="H572" s="47" t="n">
        <v>60.32</v>
      </c>
      <c r="I572" s="20" t="n">
        <v>0.436</v>
      </c>
      <c r="J572" s="47" t="n">
        <v>11.07</v>
      </c>
      <c r="K572" s="20">
        <f>ROUND((H572-J572)*J572*IF(B572="Carbon Steel",$K$7,IF(B572="Stainless Steel 304",$K$8,$L$8)), 3)</f>
        <v/>
      </c>
      <c r="L572" s="47">
        <f>ROUND(K572*$G$5, 2)</f>
        <v/>
      </c>
      <c r="M572" s="45">
        <f>INT($G$6/H572)</f>
        <v/>
      </c>
      <c r="N572" s="45">
        <f>IF(M572=0, 0, IF(OR($K$6="Square Grid", M572=1), INT($G$7/H572), IF($G$7&lt;H572, 0, 1+INT(($G$7-H572)/(0.8660254*H572)))))</f>
        <v/>
      </c>
      <c r="O572" s="48">
        <f>IF(OR(M572=0,N572=0), 0, IF(OR($K$6="Square Grid", M572=1), M572*N572*$K$5, (INT((N572+1)/2)*M572 + INT(N572/2)*IF(($G$6-M572*H572)&gt;=0.5*H572, M572, M572-1))*$K$5))</f>
        <v/>
      </c>
      <c r="P572" s="48">
        <f>IF(L572&lt;=0, 0, INT($G$8/L572))</f>
        <v/>
      </c>
      <c r="Q572" s="42">
        <f>MIN(O572, P572)</f>
        <v/>
      </c>
      <c r="R572" s="43">
        <f>ROUND((Q572*L572)/1000, 2)</f>
        <v/>
      </c>
      <c r="S572" s="49">
        <f>IF($C$8&gt;0, R572/$C$8, 0)</f>
        <v/>
      </c>
      <c r="T572" s="49">
        <f>IF(O572&gt;0, Q572/O572, 0)</f>
        <v/>
      </c>
      <c r="U572" s="18">
        <f>IF(Q572=0, "Exceeds Limit", IF(P572&lt;=O572, "Weight Limited", "Volume Limited"))</f>
        <v/>
      </c>
    </row>
    <row r="573" ht="19" customHeight="1">
      <c r="A573" s="38" t="n">
        <v>563</v>
      </c>
      <c r="B573" s="51" t="inlineStr">
        <is>
          <t>Stainless Steel 316</t>
        </is>
      </c>
      <c r="C573" s="13" t="inlineStr">
        <is>
          <t>ASME B36.19M</t>
        </is>
      </c>
      <c r="D573" s="12" t="inlineStr">
        <is>
          <t>2-1/2''</t>
        </is>
      </c>
      <c r="E573" s="38" t="n">
        <v>65</v>
      </c>
      <c r="F573" s="12" t="inlineStr">
        <is>
          <t>5S</t>
        </is>
      </c>
      <c r="G573" s="14" t="n">
        <v>2.875</v>
      </c>
      <c r="H573" s="40" t="n">
        <v>73.02</v>
      </c>
      <c r="I573" s="14" t="n">
        <v>0.083</v>
      </c>
      <c r="J573" s="40" t="n">
        <v>2.11</v>
      </c>
      <c r="K573" s="14">
        <f>ROUND((H573-J573)*J573*IF(B573="Carbon Steel",$K$7,IF(B573="Stainless Steel 304",$K$8,$L$8)), 3)</f>
        <v/>
      </c>
      <c r="L573" s="40">
        <f>ROUND(K573*$G$5, 2)</f>
        <v/>
      </c>
      <c r="M573" s="38">
        <f>INT($G$6/H573)</f>
        <v/>
      </c>
      <c r="N573" s="38">
        <f>IF(M573=0, 0, IF(OR($K$6="Square Grid", M573=1), INT($G$7/H573), IF($G$7&lt;H573, 0, 1+INT(($G$7-H573)/(0.8660254*H573)))))</f>
        <v/>
      </c>
      <c r="O573" s="41">
        <f>IF(OR(M573=0,N573=0), 0, IF(OR($K$6="Square Grid", M573=1), M573*N573*$K$5, (INT((N573+1)/2)*M573 + INT(N573/2)*IF(($G$6-M573*H573)&gt;=0.5*H573, M573, M573-1))*$K$5))</f>
        <v/>
      </c>
      <c r="P573" s="41">
        <f>IF(L573&lt;=0, 0, INT($G$8/L573))</f>
        <v/>
      </c>
      <c r="Q573" s="42">
        <f>MIN(O573, P573)</f>
        <v/>
      </c>
      <c r="R573" s="43">
        <f>ROUND((Q573*L573)/1000, 2)</f>
        <v/>
      </c>
      <c r="S573" s="44">
        <f>IF($C$8&gt;0, R573/$C$8, 0)</f>
        <v/>
      </c>
      <c r="T573" s="44">
        <f>IF(O573&gt;0, Q573/O573, 0)</f>
        <v/>
      </c>
      <c r="U573" s="12">
        <f>IF(Q573=0, "Exceeds Limit", IF(P573&lt;=O573, "Weight Limited", "Volume Limited"))</f>
        <v/>
      </c>
    </row>
    <row r="574" ht="19" customHeight="1">
      <c r="A574" s="45" t="n">
        <v>564</v>
      </c>
      <c r="B574" s="50" t="inlineStr">
        <is>
          <t>Stainless Steel 316</t>
        </is>
      </c>
      <c r="C574" s="19" t="inlineStr">
        <is>
          <t>ASME B36.19M</t>
        </is>
      </c>
      <c r="D574" s="18" t="inlineStr">
        <is>
          <t>2-1/2''</t>
        </is>
      </c>
      <c r="E574" s="45" t="n">
        <v>65</v>
      </c>
      <c r="F574" s="18" t="inlineStr">
        <is>
          <t>10S</t>
        </is>
      </c>
      <c r="G574" s="20" t="n">
        <v>2.875</v>
      </c>
      <c r="H574" s="47" t="n">
        <v>73.02</v>
      </c>
      <c r="I574" s="20" t="n">
        <v>0.12</v>
      </c>
      <c r="J574" s="47" t="n">
        <v>3.05</v>
      </c>
      <c r="K574" s="20">
        <f>ROUND((H574-J574)*J574*IF(B574="Carbon Steel",$K$7,IF(B574="Stainless Steel 304",$K$8,$L$8)), 3)</f>
        <v/>
      </c>
      <c r="L574" s="47">
        <f>ROUND(K574*$G$5, 2)</f>
        <v/>
      </c>
      <c r="M574" s="45">
        <f>INT($G$6/H574)</f>
        <v/>
      </c>
      <c r="N574" s="45">
        <f>IF(M574=0, 0, IF(OR($K$6="Square Grid", M574=1), INT($G$7/H574), IF($G$7&lt;H574, 0, 1+INT(($G$7-H574)/(0.8660254*H574)))))</f>
        <v/>
      </c>
      <c r="O574" s="48">
        <f>IF(OR(M574=0,N574=0), 0, IF(OR($K$6="Square Grid", M574=1), M574*N574*$K$5, (INT((N574+1)/2)*M574 + INT(N574/2)*IF(($G$6-M574*H574)&gt;=0.5*H574, M574, M574-1))*$K$5))</f>
        <v/>
      </c>
      <c r="P574" s="48">
        <f>IF(L574&lt;=0, 0, INT($G$8/L574))</f>
        <v/>
      </c>
      <c r="Q574" s="42">
        <f>MIN(O574, P574)</f>
        <v/>
      </c>
      <c r="R574" s="43">
        <f>ROUND((Q574*L574)/1000, 2)</f>
        <v/>
      </c>
      <c r="S574" s="49">
        <f>IF($C$8&gt;0, R574/$C$8, 0)</f>
        <v/>
      </c>
      <c r="T574" s="49">
        <f>IF(O574&gt;0, Q574/O574, 0)</f>
        <v/>
      </c>
      <c r="U574" s="18">
        <f>IF(Q574=0, "Exceeds Limit", IF(P574&lt;=O574, "Weight Limited", "Volume Limited"))</f>
        <v/>
      </c>
    </row>
    <row r="575" ht="19" customHeight="1">
      <c r="A575" s="38" t="n">
        <v>565</v>
      </c>
      <c r="B575" s="51" t="inlineStr">
        <is>
          <t>Stainless Steel 316</t>
        </is>
      </c>
      <c r="C575" s="13" t="inlineStr">
        <is>
          <t>ASME B36.19M</t>
        </is>
      </c>
      <c r="D575" s="12" t="inlineStr">
        <is>
          <t>2-1/2''</t>
        </is>
      </c>
      <c r="E575" s="38" t="n">
        <v>65</v>
      </c>
      <c r="F575" s="12" t="inlineStr">
        <is>
          <t>40S</t>
        </is>
      </c>
      <c r="G575" s="14" t="n">
        <v>2.875</v>
      </c>
      <c r="H575" s="40" t="n">
        <v>73.02</v>
      </c>
      <c r="I575" s="14" t="n">
        <v>0.203</v>
      </c>
      <c r="J575" s="40" t="n">
        <v>5.16</v>
      </c>
      <c r="K575" s="14">
        <f>ROUND((H575-J575)*J575*IF(B575="Carbon Steel",$K$7,IF(B575="Stainless Steel 304",$K$8,$L$8)), 3)</f>
        <v/>
      </c>
      <c r="L575" s="40">
        <f>ROUND(K575*$G$5, 2)</f>
        <v/>
      </c>
      <c r="M575" s="38">
        <f>INT($G$6/H575)</f>
        <v/>
      </c>
      <c r="N575" s="38">
        <f>IF(M575=0, 0, IF(OR($K$6="Square Grid", M575=1), INT($G$7/H575), IF($G$7&lt;H575, 0, 1+INT(($G$7-H575)/(0.8660254*H575)))))</f>
        <v/>
      </c>
      <c r="O575" s="41">
        <f>IF(OR(M575=0,N575=0), 0, IF(OR($K$6="Square Grid", M575=1), M575*N575*$K$5, (INT((N575+1)/2)*M575 + INT(N575/2)*IF(($G$6-M575*H575)&gt;=0.5*H575, M575, M575-1))*$K$5))</f>
        <v/>
      </c>
      <c r="P575" s="41">
        <f>IF(L575&lt;=0, 0, INT($G$8/L575))</f>
        <v/>
      </c>
      <c r="Q575" s="42">
        <f>MIN(O575, P575)</f>
        <v/>
      </c>
      <c r="R575" s="43">
        <f>ROUND((Q575*L575)/1000, 2)</f>
        <v/>
      </c>
      <c r="S575" s="44">
        <f>IF($C$8&gt;0, R575/$C$8, 0)</f>
        <v/>
      </c>
      <c r="T575" s="44">
        <f>IF(O575&gt;0, Q575/O575, 0)</f>
        <v/>
      </c>
      <c r="U575" s="12">
        <f>IF(Q575=0, "Exceeds Limit", IF(P575&lt;=O575, "Weight Limited", "Volume Limited"))</f>
        <v/>
      </c>
    </row>
    <row r="576" ht="19" customHeight="1">
      <c r="A576" s="45" t="n">
        <v>566</v>
      </c>
      <c r="B576" s="50" t="inlineStr">
        <is>
          <t>Stainless Steel 316</t>
        </is>
      </c>
      <c r="C576" s="19" t="inlineStr">
        <is>
          <t>ASME B36.19M</t>
        </is>
      </c>
      <c r="D576" s="18" t="inlineStr">
        <is>
          <t>2-1/2''</t>
        </is>
      </c>
      <c r="E576" s="45" t="n">
        <v>65</v>
      </c>
      <c r="F576" s="18" t="inlineStr">
        <is>
          <t>80S</t>
        </is>
      </c>
      <c r="G576" s="20" t="n">
        <v>2.875</v>
      </c>
      <c r="H576" s="47" t="n">
        <v>73.02</v>
      </c>
      <c r="I576" s="20" t="n">
        <v>0.276</v>
      </c>
      <c r="J576" s="47" t="n">
        <v>7.01</v>
      </c>
      <c r="K576" s="20">
        <f>ROUND((H576-J576)*J576*IF(B576="Carbon Steel",$K$7,IF(B576="Stainless Steel 304",$K$8,$L$8)), 3)</f>
        <v/>
      </c>
      <c r="L576" s="47">
        <f>ROUND(K576*$G$5, 2)</f>
        <v/>
      </c>
      <c r="M576" s="45">
        <f>INT($G$6/H576)</f>
        <v/>
      </c>
      <c r="N576" s="45">
        <f>IF(M576=0, 0, IF(OR($K$6="Square Grid", M576=1), INT($G$7/H576), IF($G$7&lt;H576, 0, 1+INT(($G$7-H576)/(0.8660254*H576)))))</f>
        <v/>
      </c>
      <c r="O576" s="48">
        <f>IF(OR(M576=0,N576=0), 0, IF(OR($K$6="Square Grid", M576=1), M576*N576*$K$5, (INT((N576+1)/2)*M576 + INT(N576/2)*IF(($G$6-M576*H576)&gt;=0.5*H576, M576, M576-1))*$K$5))</f>
        <v/>
      </c>
      <c r="P576" s="48">
        <f>IF(L576&lt;=0, 0, INT($G$8/L576))</f>
        <v/>
      </c>
      <c r="Q576" s="42">
        <f>MIN(O576, P576)</f>
        <v/>
      </c>
      <c r="R576" s="43">
        <f>ROUND((Q576*L576)/1000, 2)</f>
        <v/>
      </c>
      <c r="S576" s="49">
        <f>IF($C$8&gt;0, R576/$C$8, 0)</f>
        <v/>
      </c>
      <c r="T576" s="49">
        <f>IF(O576&gt;0, Q576/O576, 0)</f>
        <v/>
      </c>
      <c r="U576" s="18">
        <f>IF(Q576=0, "Exceeds Limit", IF(P576&lt;=O576, "Weight Limited", "Volume Limited"))</f>
        <v/>
      </c>
    </row>
    <row r="577" ht="19" customHeight="1">
      <c r="A577" s="38" t="n">
        <v>567</v>
      </c>
      <c r="B577" s="51" t="inlineStr">
        <is>
          <t>Stainless Steel 316</t>
        </is>
      </c>
      <c r="C577" s="13" t="inlineStr">
        <is>
          <t>ASME B36.19M</t>
        </is>
      </c>
      <c r="D577" s="12" t="inlineStr">
        <is>
          <t>2-1/2''</t>
        </is>
      </c>
      <c r="E577" s="38" t="n">
        <v>65</v>
      </c>
      <c r="F577" s="12" t="inlineStr">
        <is>
          <t>STD</t>
        </is>
      </c>
      <c r="G577" s="14" t="n">
        <v>2.875</v>
      </c>
      <c r="H577" s="40" t="n">
        <v>73.02</v>
      </c>
      <c r="I577" s="14" t="n">
        <v>0.203</v>
      </c>
      <c r="J577" s="40" t="n">
        <v>5.16</v>
      </c>
      <c r="K577" s="14">
        <f>ROUND((H577-J577)*J577*IF(B577="Carbon Steel",$K$7,IF(B577="Stainless Steel 304",$K$8,$L$8)), 3)</f>
        <v/>
      </c>
      <c r="L577" s="40">
        <f>ROUND(K577*$G$5, 2)</f>
        <v/>
      </c>
      <c r="M577" s="38">
        <f>INT($G$6/H577)</f>
        <v/>
      </c>
      <c r="N577" s="38">
        <f>IF(M577=0, 0, IF(OR($K$6="Square Grid", M577=1), INT($G$7/H577), IF($G$7&lt;H577, 0, 1+INT(($G$7-H577)/(0.8660254*H577)))))</f>
        <v/>
      </c>
      <c r="O577" s="41">
        <f>IF(OR(M577=0,N577=0), 0, IF(OR($K$6="Square Grid", M577=1), M577*N577*$K$5, (INT((N577+1)/2)*M577 + INT(N577/2)*IF(($G$6-M577*H577)&gt;=0.5*H577, M577, M577-1))*$K$5))</f>
        <v/>
      </c>
      <c r="P577" s="41">
        <f>IF(L577&lt;=0, 0, INT($G$8/L577))</f>
        <v/>
      </c>
      <c r="Q577" s="42">
        <f>MIN(O577, P577)</f>
        <v/>
      </c>
      <c r="R577" s="43">
        <f>ROUND((Q577*L577)/1000, 2)</f>
        <v/>
      </c>
      <c r="S577" s="44">
        <f>IF($C$8&gt;0, R577/$C$8, 0)</f>
        <v/>
      </c>
      <c r="T577" s="44">
        <f>IF(O577&gt;0, Q577/O577, 0)</f>
        <v/>
      </c>
      <c r="U577" s="12">
        <f>IF(Q577=0, "Exceeds Limit", IF(P577&lt;=O577, "Weight Limited", "Volume Limited"))</f>
        <v/>
      </c>
    </row>
    <row r="578" ht="19" customHeight="1">
      <c r="A578" s="45" t="n">
        <v>568</v>
      </c>
      <c r="B578" s="50" t="inlineStr">
        <is>
          <t>Stainless Steel 316</t>
        </is>
      </c>
      <c r="C578" s="19" t="inlineStr">
        <is>
          <t>ASME B36.19M</t>
        </is>
      </c>
      <c r="D578" s="18" t="inlineStr">
        <is>
          <t>2-1/2''</t>
        </is>
      </c>
      <c r="E578" s="45" t="n">
        <v>65</v>
      </c>
      <c r="F578" s="18" t="inlineStr">
        <is>
          <t>XS</t>
        </is>
      </c>
      <c r="G578" s="20" t="n">
        <v>2.875</v>
      </c>
      <c r="H578" s="47" t="n">
        <v>73.02</v>
      </c>
      <c r="I578" s="20" t="n">
        <v>0.276</v>
      </c>
      <c r="J578" s="47" t="n">
        <v>7.01</v>
      </c>
      <c r="K578" s="20">
        <f>ROUND((H578-J578)*J578*IF(B578="Carbon Steel",$K$7,IF(B578="Stainless Steel 304",$K$8,$L$8)), 3)</f>
        <v/>
      </c>
      <c r="L578" s="47">
        <f>ROUND(K578*$G$5, 2)</f>
        <v/>
      </c>
      <c r="M578" s="45">
        <f>INT($G$6/H578)</f>
        <v/>
      </c>
      <c r="N578" s="45">
        <f>IF(M578=0, 0, IF(OR($K$6="Square Grid", M578=1), INT($G$7/H578), IF($G$7&lt;H578, 0, 1+INT(($G$7-H578)/(0.8660254*H578)))))</f>
        <v/>
      </c>
      <c r="O578" s="48">
        <f>IF(OR(M578=0,N578=0), 0, IF(OR($K$6="Square Grid", M578=1), M578*N578*$K$5, (INT((N578+1)/2)*M578 + INT(N578/2)*IF(($G$6-M578*H578)&gt;=0.5*H578, M578, M578-1))*$K$5))</f>
        <v/>
      </c>
      <c r="P578" s="48">
        <f>IF(L578&lt;=0, 0, INT($G$8/L578))</f>
        <v/>
      </c>
      <c r="Q578" s="42">
        <f>MIN(O578, P578)</f>
        <v/>
      </c>
      <c r="R578" s="43">
        <f>ROUND((Q578*L578)/1000, 2)</f>
        <v/>
      </c>
      <c r="S578" s="49">
        <f>IF($C$8&gt;0, R578/$C$8, 0)</f>
        <v/>
      </c>
      <c r="T578" s="49">
        <f>IF(O578&gt;0, Q578/O578, 0)</f>
        <v/>
      </c>
      <c r="U578" s="18">
        <f>IF(Q578=0, "Exceeds Limit", IF(P578&lt;=O578, "Weight Limited", "Volume Limited"))</f>
        <v/>
      </c>
    </row>
    <row r="579" ht="19" customHeight="1">
      <c r="A579" s="38" t="n">
        <v>569</v>
      </c>
      <c r="B579" s="51" t="inlineStr">
        <is>
          <t>Stainless Steel 316</t>
        </is>
      </c>
      <c r="C579" s="13" t="inlineStr">
        <is>
          <t>ASME B36.19M</t>
        </is>
      </c>
      <c r="D579" s="12" t="inlineStr">
        <is>
          <t>2-1/2''</t>
        </is>
      </c>
      <c r="E579" s="38" t="n">
        <v>65</v>
      </c>
      <c r="F579" s="12" t="inlineStr">
        <is>
          <t>160</t>
        </is>
      </c>
      <c r="G579" s="14" t="n">
        <v>2.875</v>
      </c>
      <c r="H579" s="40" t="n">
        <v>73.02</v>
      </c>
      <c r="I579" s="14" t="n">
        <v>0.375</v>
      </c>
      <c r="J579" s="40" t="n">
        <v>9.52</v>
      </c>
      <c r="K579" s="14">
        <f>ROUND((H579-J579)*J579*IF(B579="Carbon Steel",$K$7,IF(B579="Stainless Steel 304",$K$8,$L$8)), 3)</f>
        <v/>
      </c>
      <c r="L579" s="40">
        <f>ROUND(K579*$G$5, 2)</f>
        <v/>
      </c>
      <c r="M579" s="38">
        <f>INT($G$6/H579)</f>
        <v/>
      </c>
      <c r="N579" s="38">
        <f>IF(M579=0, 0, IF(OR($K$6="Square Grid", M579=1), INT($G$7/H579), IF($G$7&lt;H579, 0, 1+INT(($G$7-H579)/(0.8660254*H579)))))</f>
        <v/>
      </c>
      <c r="O579" s="41">
        <f>IF(OR(M579=0,N579=0), 0, IF(OR($K$6="Square Grid", M579=1), M579*N579*$K$5, (INT((N579+1)/2)*M579 + INT(N579/2)*IF(($G$6-M579*H579)&gt;=0.5*H579, M579, M579-1))*$K$5))</f>
        <v/>
      </c>
      <c r="P579" s="41">
        <f>IF(L579&lt;=0, 0, INT($G$8/L579))</f>
        <v/>
      </c>
      <c r="Q579" s="42">
        <f>MIN(O579, P579)</f>
        <v/>
      </c>
      <c r="R579" s="43">
        <f>ROUND((Q579*L579)/1000, 2)</f>
        <v/>
      </c>
      <c r="S579" s="44">
        <f>IF($C$8&gt;0, R579/$C$8, 0)</f>
        <v/>
      </c>
      <c r="T579" s="44">
        <f>IF(O579&gt;0, Q579/O579, 0)</f>
        <v/>
      </c>
      <c r="U579" s="12">
        <f>IF(Q579=0, "Exceeds Limit", IF(P579&lt;=O579, "Weight Limited", "Volume Limited"))</f>
        <v/>
      </c>
    </row>
    <row r="580" ht="19" customHeight="1">
      <c r="A580" s="45" t="n">
        <v>570</v>
      </c>
      <c r="B580" s="50" t="inlineStr">
        <is>
          <t>Stainless Steel 316</t>
        </is>
      </c>
      <c r="C580" s="19" t="inlineStr">
        <is>
          <t>ASME B36.19M</t>
        </is>
      </c>
      <c r="D580" s="18" t="inlineStr">
        <is>
          <t>2-1/2''</t>
        </is>
      </c>
      <c r="E580" s="45" t="n">
        <v>65</v>
      </c>
      <c r="F580" s="18" t="inlineStr">
        <is>
          <t>XXS</t>
        </is>
      </c>
      <c r="G580" s="20" t="n">
        <v>2.875</v>
      </c>
      <c r="H580" s="47" t="n">
        <v>73.02</v>
      </c>
      <c r="I580" s="20" t="n">
        <v>0.552</v>
      </c>
      <c r="J580" s="47" t="n">
        <v>14.02</v>
      </c>
      <c r="K580" s="20">
        <f>ROUND((H580-J580)*J580*IF(B580="Carbon Steel",$K$7,IF(B580="Stainless Steel 304",$K$8,$L$8)), 3)</f>
        <v/>
      </c>
      <c r="L580" s="47">
        <f>ROUND(K580*$G$5, 2)</f>
        <v/>
      </c>
      <c r="M580" s="45">
        <f>INT($G$6/H580)</f>
        <v/>
      </c>
      <c r="N580" s="45">
        <f>IF(M580=0, 0, IF(OR($K$6="Square Grid", M580=1), INT($G$7/H580), IF($G$7&lt;H580, 0, 1+INT(($G$7-H580)/(0.8660254*H580)))))</f>
        <v/>
      </c>
      <c r="O580" s="48">
        <f>IF(OR(M580=0,N580=0), 0, IF(OR($K$6="Square Grid", M580=1), M580*N580*$K$5, (INT((N580+1)/2)*M580 + INT(N580/2)*IF(($G$6-M580*H580)&gt;=0.5*H580, M580, M580-1))*$K$5))</f>
        <v/>
      </c>
      <c r="P580" s="48">
        <f>IF(L580&lt;=0, 0, INT($G$8/L580))</f>
        <v/>
      </c>
      <c r="Q580" s="42">
        <f>MIN(O580, P580)</f>
        <v/>
      </c>
      <c r="R580" s="43">
        <f>ROUND((Q580*L580)/1000, 2)</f>
        <v/>
      </c>
      <c r="S580" s="49">
        <f>IF($C$8&gt;0, R580/$C$8, 0)</f>
        <v/>
      </c>
      <c r="T580" s="49">
        <f>IF(O580&gt;0, Q580/O580, 0)</f>
        <v/>
      </c>
      <c r="U580" s="18">
        <f>IF(Q580=0, "Exceeds Limit", IF(P580&lt;=O580, "Weight Limited", "Volume Limited"))</f>
        <v/>
      </c>
    </row>
    <row r="581" ht="19" customHeight="1">
      <c r="A581" s="38" t="n">
        <v>571</v>
      </c>
      <c r="B581" s="51" t="inlineStr">
        <is>
          <t>Stainless Steel 316</t>
        </is>
      </c>
      <c r="C581" s="13" t="inlineStr">
        <is>
          <t>ASME B36.19M</t>
        </is>
      </c>
      <c r="D581" s="12" t="inlineStr">
        <is>
          <t>3''</t>
        </is>
      </c>
      <c r="E581" s="38" t="n">
        <v>80</v>
      </c>
      <c r="F581" s="12" t="inlineStr">
        <is>
          <t>5S</t>
        </is>
      </c>
      <c r="G581" s="14" t="n">
        <v>3.5</v>
      </c>
      <c r="H581" s="40" t="n">
        <v>88.90000000000001</v>
      </c>
      <c r="I581" s="14" t="n">
        <v>0.083</v>
      </c>
      <c r="J581" s="40" t="n">
        <v>2.11</v>
      </c>
      <c r="K581" s="14">
        <f>ROUND((H581-J581)*J581*IF(B581="Carbon Steel",$K$7,IF(B581="Stainless Steel 304",$K$8,$L$8)), 3)</f>
        <v/>
      </c>
      <c r="L581" s="40">
        <f>ROUND(K581*$G$5, 2)</f>
        <v/>
      </c>
      <c r="M581" s="38">
        <f>INT($G$6/H581)</f>
        <v/>
      </c>
      <c r="N581" s="38">
        <f>IF(M581=0, 0, IF(OR($K$6="Square Grid", M581=1), INT($G$7/H581), IF($G$7&lt;H581, 0, 1+INT(($G$7-H581)/(0.8660254*H581)))))</f>
        <v/>
      </c>
      <c r="O581" s="41">
        <f>IF(OR(M581=0,N581=0), 0, IF(OR($K$6="Square Grid", M581=1), M581*N581*$K$5, (INT((N581+1)/2)*M581 + INT(N581/2)*IF(($G$6-M581*H581)&gt;=0.5*H581, M581, M581-1))*$K$5))</f>
        <v/>
      </c>
      <c r="P581" s="41">
        <f>IF(L581&lt;=0, 0, INT($G$8/L581))</f>
        <v/>
      </c>
      <c r="Q581" s="42">
        <f>MIN(O581, P581)</f>
        <v/>
      </c>
      <c r="R581" s="43">
        <f>ROUND((Q581*L581)/1000, 2)</f>
        <v/>
      </c>
      <c r="S581" s="44">
        <f>IF($C$8&gt;0, R581/$C$8, 0)</f>
        <v/>
      </c>
      <c r="T581" s="44">
        <f>IF(O581&gt;0, Q581/O581, 0)</f>
        <v/>
      </c>
      <c r="U581" s="12">
        <f>IF(Q581=0, "Exceeds Limit", IF(P581&lt;=O581, "Weight Limited", "Volume Limited"))</f>
        <v/>
      </c>
    </row>
    <row r="582" ht="19" customHeight="1">
      <c r="A582" s="45" t="n">
        <v>572</v>
      </c>
      <c r="B582" s="50" t="inlineStr">
        <is>
          <t>Stainless Steel 316</t>
        </is>
      </c>
      <c r="C582" s="19" t="inlineStr">
        <is>
          <t>ASME B36.19M</t>
        </is>
      </c>
      <c r="D582" s="18" t="inlineStr">
        <is>
          <t>3''</t>
        </is>
      </c>
      <c r="E582" s="45" t="n">
        <v>80</v>
      </c>
      <c r="F582" s="18" t="inlineStr">
        <is>
          <t>10S</t>
        </is>
      </c>
      <c r="G582" s="20" t="n">
        <v>3.5</v>
      </c>
      <c r="H582" s="47" t="n">
        <v>88.90000000000001</v>
      </c>
      <c r="I582" s="20" t="n">
        <v>0.12</v>
      </c>
      <c r="J582" s="47" t="n">
        <v>3.05</v>
      </c>
      <c r="K582" s="20">
        <f>ROUND((H582-J582)*J582*IF(B582="Carbon Steel",$K$7,IF(B582="Stainless Steel 304",$K$8,$L$8)), 3)</f>
        <v/>
      </c>
      <c r="L582" s="47">
        <f>ROUND(K582*$G$5, 2)</f>
        <v/>
      </c>
      <c r="M582" s="45">
        <f>INT($G$6/H582)</f>
        <v/>
      </c>
      <c r="N582" s="45">
        <f>IF(M582=0, 0, IF(OR($K$6="Square Grid", M582=1), INT($G$7/H582), IF($G$7&lt;H582, 0, 1+INT(($G$7-H582)/(0.8660254*H582)))))</f>
        <v/>
      </c>
      <c r="O582" s="48">
        <f>IF(OR(M582=0,N582=0), 0, IF(OR($K$6="Square Grid", M582=1), M582*N582*$K$5, (INT((N582+1)/2)*M582 + INT(N582/2)*IF(($G$6-M582*H582)&gt;=0.5*H582, M582, M582-1))*$K$5))</f>
        <v/>
      </c>
      <c r="P582" s="48">
        <f>IF(L582&lt;=0, 0, INT($G$8/L582))</f>
        <v/>
      </c>
      <c r="Q582" s="42">
        <f>MIN(O582, P582)</f>
        <v/>
      </c>
      <c r="R582" s="43">
        <f>ROUND((Q582*L582)/1000, 2)</f>
        <v/>
      </c>
      <c r="S582" s="49">
        <f>IF($C$8&gt;0, R582/$C$8, 0)</f>
        <v/>
      </c>
      <c r="T582" s="49">
        <f>IF(O582&gt;0, Q582/O582, 0)</f>
        <v/>
      </c>
      <c r="U582" s="18">
        <f>IF(Q582=0, "Exceeds Limit", IF(P582&lt;=O582, "Weight Limited", "Volume Limited"))</f>
        <v/>
      </c>
    </row>
    <row r="583" ht="19" customHeight="1">
      <c r="A583" s="38" t="n">
        <v>573</v>
      </c>
      <c r="B583" s="51" t="inlineStr">
        <is>
          <t>Stainless Steel 316</t>
        </is>
      </c>
      <c r="C583" s="13" t="inlineStr">
        <is>
          <t>ASME B36.19M</t>
        </is>
      </c>
      <c r="D583" s="12" t="inlineStr">
        <is>
          <t>3''</t>
        </is>
      </c>
      <c r="E583" s="38" t="n">
        <v>80</v>
      </c>
      <c r="F583" s="12" t="inlineStr">
        <is>
          <t>40S</t>
        </is>
      </c>
      <c r="G583" s="14" t="n">
        <v>3.5</v>
      </c>
      <c r="H583" s="40" t="n">
        <v>88.90000000000001</v>
      </c>
      <c r="I583" s="14" t="n">
        <v>0.216</v>
      </c>
      <c r="J583" s="40" t="n">
        <v>5.49</v>
      </c>
      <c r="K583" s="14">
        <f>ROUND((H583-J583)*J583*IF(B583="Carbon Steel",$K$7,IF(B583="Stainless Steel 304",$K$8,$L$8)), 3)</f>
        <v/>
      </c>
      <c r="L583" s="40">
        <f>ROUND(K583*$G$5, 2)</f>
        <v/>
      </c>
      <c r="M583" s="38">
        <f>INT($G$6/H583)</f>
        <v/>
      </c>
      <c r="N583" s="38">
        <f>IF(M583=0, 0, IF(OR($K$6="Square Grid", M583=1), INT($G$7/H583), IF($G$7&lt;H583, 0, 1+INT(($G$7-H583)/(0.8660254*H583)))))</f>
        <v/>
      </c>
      <c r="O583" s="41">
        <f>IF(OR(M583=0,N583=0), 0, IF(OR($K$6="Square Grid", M583=1), M583*N583*$K$5, (INT((N583+1)/2)*M583 + INT(N583/2)*IF(($G$6-M583*H583)&gt;=0.5*H583, M583, M583-1))*$K$5))</f>
        <v/>
      </c>
      <c r="P583" s="41">
        <f>IF(L583&lt;=0, 0, INT($G$8/L583))</f>
        <v/>
      </c>
      <c r="Q583" s="42">
        <f>MIN(O583, P583)</f>
        <v/>
      </c>
      <c r="R583" s="43">
        <f>ROUND((Q583*L583)/1000, 2)</f>
        <v/>
      </c>
      <c r="S583" s="44">
        <f>IF($C$8&gt;0, R583/$C$8, 0)</f>
        <v/>
      </c>
      <c r="T583" s="44">
        <f>IF(O583&gt;0, Q583/O583, 0)</f>
        <v/>
      </c>
      <c r="U583" s="12">
        <f>IF(Q583=0, "Exceeds Limit", IF(P583&lt;=O583, "Weight Limited", "Volume Limited"))</f>
        <v/>
      </c>
    </row>
    <row r="584" ht="19" customHeight="1">
      <c r="A584" s="45" t="n">
        <v>574</v>
      </c>
      <c r="B584" s="50" t="inlineStr">
        <is>
          <t>Stainless Steel 316</t>
        </is>
      </c>
      <c r="C584" s="19" t="inlineStr">
        <is>
          <t>ASME B36.19M</t>
        </is>
      </c>
      <c r="D584" s="18" t="inlineStr">
        <is>
          <t>3''</t>
        </is>
      </c>
      <c r="E584" s="45" t="n">
        <v>80</v>
      </c>
      <c r="F584" s="18" t="inlineStr">
        <is>
          <t>80S</t>
        </is>
      </c>
      <c r="G584" s="20" t="n">
        <v>3.5</v>
      </c>
      <c r="H584" s="47" t="n">
        <v>88.90000000000001</v>
      </c>
      <c r="I584" s="20" t="n">
        <v>0.3</v>
      </c>
      <c r="J584" s="47" t="n">
        <v>7.62</v>
      </c>
      <c r="K584" s="20">
        <f>ROUND((H584-J584)*J584*IF(B584="Carbon Steel",$K$7,IF(B584="Stainless Steel 304",$K$8,$L$8)), 3)</f>
        <v/>
      </c>
      <c r="L584" s="47">
        <f>ROUND(K584*$G$5, 2)</f>
        <v/>
      </c>
      <c r="M584" s="45">
        <f>INT($G$6/H584)</f>
        <v/>
      </c>
      <c r="N584" s="45">
        <f>IF(M584=0, 0, IF(OR($K$6="Square Grid", M584=1), INT($G$7/H584), IF($G$7&lt;H584, 0, 1+INT(($G$7-H584)/(0.8660254*H584)))))</f>
        <v/>
      </c>
      <c r="O584" s="48">
        <f>IF(OR(M584=0,N584=0), 0, IF(OR($K$6="Square Grid", M584=1), M584*N584*$K$5, (INT((N584+1)/2)*M584 + INT(N584/2)*IF(($G$6-M584*H584)&gt;=0.5*H584, M584, M584-1))*$K$5))</f>
        <v/>
      </c>
      <c r="P584" s="48">
        <f>IF(L584&lt;=0, 0, INT($G$8/L584))</f>
        <v/>
      </c>
      <c r="Q584" s="42">
        <f>MIN(O584, P584)</f>
        <v/>
      </c>
      <c r="R584" s="43">
        <f>ROUND((Q584*L584)/1000, 2)</f>
        <v/>
      </c>
      <c r="S584" s="49">
        <f>IF($C$8&gt;0, R584/$C$8, 0)</f>
        <v/>
      </c>
      <c r="T584" s="49">
        <f>IF(O584&gt;0, Q584/O584, 0)</f>
        <v/>
      </c>
      <c r="U584" s="18">
        <f>IF(Q584=0, "Exceeds Limit", IF(P584&lt;=O584, "Weight Limited", "Volume Limited"))</f>
        <v/>
      </c>
    </row>
    <row r="585" ht="19" customHeight="1">
      <c r="A585" s="38" t="n">
        <v>575</v>
      </c>
      <c r="B585" s="51" t="inlineStr">
        <is>
          <t>Stainless Steel 316</t>
        </is>
      </c>
      <c r="C585" s="13" t="inlineStr">
        <is>
          <t>ASME B36.19M</t>
        </is>
      </c>
      <c r="D585" s="12" t="inlineStr">
        <is>
          <t>3''</t>
        </is>
      </c>
      <c r="E585" s="38" t="n">
        <v>80</v>
      </c>
      <c r="F585" s="12" t="inlineStr">
        <is>
          <t>STD</t>
        </is>
      </c>
      <c r="G585" s="14" t="n">
        <v>3.5</v>
      </c>
      <c r="H585" s="40" t="n">
        <v>88.90000000000001</v>
      </c>
      <c r="I585" s="14" t="n">
        <v>0.216</v>
      </c>
      <c r="J585" s="40" t="n">
        <v>5.49</v>
      </c>
      <c r="K585" s="14">
        <f>ROUND((H585-J585)*J585*IF(B585="Carbon Steel",$K$7,IF(B585="Stainless Steel 304",$K$8,$L$8)), 3)</f>
        <v/>
      </c>
      <c r="L585" s="40">
        <f>ROUND(K585*$G$5, 2)</f>
        <v/>
      </c>
      <c r="M585" s="38">
        <f>INT($G$6/H585)</f>
        <v/>
      </c>
      <c r="N585" s="38">
        <f>IF(M585=0, 0, IF(OR($K$6="Square Grid", M585=1), INT($G$7/H585), IF($G$7&lt;H585, 0, 1+INT(($G$7-H585)/(0.8660254*H585)))))</f>
        <v/>
      </c>
      <c r="O585" s="41">
        <f>IF(OR(M585=0,N585=0), 0, IF(OR($K$6="Square Grid", M585=1), M585*N585*$K$5, (INT((N585+1)/2)*M585 + INT(N585/2)*IF(($G$6-M585*H585)&gt;=0.5*H585, M585, M585-1))*$K$5))</f>
        <v/>
      </c>
      <c r="P585" s="41">
        <f>IF(L585&lt;=0, 0, INT($G$8/L585))</f>
        <v/>
      </c>
      <c r="Q585" s="42">
        <f>MIN(O585, P585)</f>
        <v/>
      </c>
      <c r="R585" s="43">
        <f>ROUND((Q585*L585)/1000, 2)</f>
        <v/>
      </c>
      <c r="S585" s="44">
        <f>IF($C$8&gt;0, R585/$C$8, 0)</f>
        <v/>
      </c>
      <c r="T585" s="44">
        <f>IF(O585&gt;0, Q585/O585, 0)</f>
        <v/>
      </c>
      <c r="U585" s="12">
        <f>IF(Q585=0, "Exceeds Limit", IF(P585&lt;=O585, "Weight Limited", "Volume Limited"))</f>
        <v/>
      </c>
    </row>
    <row r="586" ht="19" customHeight="1">
      <c r="A586" s="45" t="n">
        <v>576</v>
      </c>
      <c r="B586" s="50" t="inlineStr">
        <is>
          <t>Stainless Steel 316</t>
        </is>
      </c>
      <c r="C586" s="19" t="inlineStr">
        <is>
          <t>ASME B36.19M</t>
        </is>
      </c>
      <c r="D586" s="18" t="inlineStr">
        <is>
          <t>3''</t>
        </is>
      </c>
      <c r="E586" s="45" t="n">
        <v>80</v>
      </c>
      <c r="F586" s="18" t="inlineStr">
        <is>
          <t>XS</t>
        </is>
      </c>
      <c r="G586" s="20" t="n">
        <v>3.5</v>
      </c>
      <c r="H586" s="47" t="n">
        <v>88.90000000000001</v>
      </c>
      <c r="I586" s="20" t="n">
        <v>0.3</v>
      </c>
      <c r="J586" s="47" t="n">
        <v>7.62</v>
      </c>
      <c r="K586" s="20">
        <f>ROUND((H586-J586)*J586*IF(B586="Carbon Steel",$K$7,IF(B586="Stainless Steel 304",$K$8,$L$8)), 3)</f>
        <v/>
      </c>
      <c r="L586" s="47">
        <f>ROUND(K586*$G$5, 2)</f>
        <v/>
      </c>
      <c r="M586" s="45">
        <f>INT($G$6/H586)</f>
        <v/>
      </c>
      <c r="N586" s="45">
        <f>IF(M586=0, 0, IF(OR($K$6="Square Grid", M586=1), INT($G$7/H586), IF($G$7&lt;H586, 0, 1+INT(($G$7-H586)/(0.8660254*H586)))))</f>
        <v/>
      </c>
      <c r="O586" s="48">
        <f>IF(OR(M586=0,N586=0), 0, IF(OR($K$6="Square Grid", M586=1), M586*N586*$K$5, (INT((N586+1)/2)*M586 + INT(N586/2)*IF(($G$6-M586*H586)&gt;=0.5*H586, M586, M586-1))*$K$5))</f>
        <v/>
      </c>
      <c r="P586" s="48">
        <f>IF(L586&lt;=0, 0, INT($G$8/L586))</f>
        <v/>
      </c>
      <c r="Q586" s="42">
        <f>MIN(O586, P586)</f>
        <v/>
      </c>
      <c r="R586" s="43">
        <f>ROUND((Q586*L586)/1000, 2)</f>
        <v/>
      </c>
      <c r="S586" s="49">
        <f>IF($C$8&gt;0, R586/$C$8, 0)</f>
        <v/>
      </c>
      <c r="T586" s="49">
        <f>IF(O586&gt;0, Q586/O586, 0)</f>
        <v/>
      </c>
      <c r="U586" s="18">
        <f>IF(Q586=0, "Exceeds Limit", IF(P586&lt;=O586, "Weight Limited", "Volume Limited"))</f>
        <v/>
      </c>
    </row>
    <row r="587" ht="19" customHeight="1">
      <c r="A587" s="38" t="n">
        <v>577</v>
      </c>
      <c r="B587" s="51" t="inlineStr">
        <is>
          <t>Stainless Steel 316</t>
        </is>
      </c>
      <c r="C587" s="13" t="inlineStr">
        <is>
          <t>ASME B36.19M</t>
        </is>
      </c>
      <c r="D587" s="12" t="inlineStr">
        <is>
          <t>3''</t>
        </is>
      </c>
      <c r="E587" s="38" t="n">
        <v>80</v>
      </c>
      <c r="F587" s="12" t="inlineStr">
        <is>
          <t>160</t>
        </is>
      </c>
      <c r="G587" s="14" t="n">
        <v>3.5</v>
      </c>
      <c r="H587" s="40" t="n">
        <v>88.90000000000001</v>
      </c>
      <c r="I587" s="14" t="n">
        <v>0.438</v>
      </c>
      <c r="J587" s="40" t="n">
        <v>11.13</v>
      </c>
      <c r="K587" s="14">
        <f>ROUND((H587-J587)*J587*IF(B587="Carbon Steel",$K$7,IF(B587="Stainless Steel 304",$K$8,$L$8)), 3)</f>
        <v/>
      </c>
      <c r="L587" s="40">
        <f>ROUND(K587*$G$5, 2)</f>
        <v/>
      </c>
      <c r="M587" s="38">
        <f>INT($G$6/H587)</f>
        <v/>
      </c>
      <c r="N587" s="38">
        <f>IF(M587=0, 0, IF(OR($K$6="Square Grid", M587=1), INT($G$7/H587), IF($G$7&lt;H587, 0, 1+INT(($G$7-H587)/(0.8660254*H587)))))</f>
        <v/>
      </c>
      <c r="O587" s="41">
        <f>IF(OR(M587=0,N587=0), 0, IF(OR($K$6="Square Grid", M587=1), M587*N587*$K$5, (INT((N587+1)/2)*M587 + INT(N587/2)*IF(($G$6-M587*H587)&gt;=0.5*H587, M587, M587-1))*$K$5))</f>
        <v/>
      </c>
      <c r="P587" s="41">
        <f>IF(L587&lt;=0, 0, INT($G$8/L587))</f>
        <v/>
      </c>
      <c r="Q587" s="42">
        <f>MIN(O587, P587)</f>
        <v/>
      </c>
      <c r="R587" s="43">
        <f>ROUND((Q587*L587)/1000, 2)</f>
        <v/>
      </c>
      <c r="S587" s="44">
        <f>IF($C$8&gt;0, R587/$C$8, 0)</f>
        <v/>
      </c>
      <c r="T587" s="44">
        <f>IF(O587&gt;0, Q587/O587, 0)</f>
        <v/>
      </c>
      <c r="U587" s="12">
        <f>IF(Q587=0, "Exceeds Limit", IF(P587&lt;=O587, "Weight Limited", "Volume Limited"))</f>
        <v/>
      </c>
    </row>
    <row r="588" ht="19" customHeight="1">
      <c r="A588" s="45" t="n">
        <v>578</v>
      </c>
      <c r="B588" s="50" t="inlineStr">
        <is>
          <t>Stainless Steel 316</t>
        </is>
      </c>
      <c r="C588" s="19" t="inlineStr">
        <is>
          <t>ASME B36.19M</t>
        </is>
      </c>
      <c r="D588" s="18" t="inlineStr">
        <is>
          <t>3''</t>
        </is>
      </c>
      <c r="E588" s="45" t="n">
        <v>80</v>
      </c>
      <c r="F588" s="18" t="inlineStr">
        <is>
          <t>XXS</t>
        </is>
      </c>
      <c r="G588" s="20" t="n">
        <v>3.5</v>
      </c>
      <c r="H588" s="47" t="n">
        <v>88.90000000000001</v>
      </c>
      <c r="I588" s="20" t="n">
        <v>0.6</v>
      </c>
      <c r="J588" s="47" t="n">
        <v>15.24</v>
      </c>
      <c r="K588" s="20">
        <f>ROUND((H588-J588)*J588*IF(B588="Carbon Steel",$K$7,IF(B588="Stainless Steel 304",$K$8,$L$8)), 3)</f>
        <v/>
      </c>
      <c r="L588" s="47">
        <f>ROUND(K588*$G$5, 2)</f>
        <v/>
      </c>
      <c r="M588" s="45">
        <f>INT($G$6/H588)</f>
        <v/>
      </c>
      <c r="N588" s="45">
        <f>IF(M588=0, 0, IF(OR($K$6="Square Grid", M588=1), INT($G$7/H588), IF($G$7&lt;H588, 0, 1+INT(($G$7-H588)/(0.8660254*H588)))))</f>
        <v/>
      </c>
      <c r="O588" s="48">
        <f>IF(OR(M588=0,N588=0), 0, IF(OR($K$6="Square Grid", M588=1), M588*N588*$K$5, (INT((N588+1)/2)*M588 + INT(N588/2)*IF(($G$6-M588*H588)&gt;=0.5*H588, M588, M588-1))*$K$5))</f>
        <v/>
      </c>
      <c r="P588" s="48">
        <f>IF(L588&lt;=0, 0, INT($G$8/L588))</f>
        <v/>
      </c>
      <c r="Q588" s="42">
        <f>MIN(O588, P588)</f>
        <v/>
      </c>
      <c r="R588" s="43">
        <f>ROUND((Q588*L588)/1000, 2)</f>
        <v/>
      </c>
      <c r="S588" s="49">
        <f>IF($C$8&gt;0, R588/$C$8, 0)</f>
        <v/>
      </c>
      <c r="T588" s="49">
        <f>IF(O588&gt;0, Q588/O588, 0)</f>
        <v/>
      </c>
      <c r="U588" s="18">
        <f>IF(Q588=0, "Exceeds Limit", IF(P588&lt;=O588, "Weight Limited", "Volume Limited"))</f>
        <v/>
      </c>
    </row>
    <row r="589" ht="19" customHeight="1">
      <c r="A589" s="38" t="n">
        <v>579</v>
      </c>
      <c r="B589" s="51" t="inlineStr">
        <is>
          <t>Stainless Steel 316</t>
        </is>
      </c>
      <c r="C589" s="13" t="inlineStr">
        <is>
          <t>ASME B36.19M</t>
        </is>
      </c>
      <c r="D589" s="12" t="inlineStr">
        <is>
          <t>3-1/2''</t>
        </is>
      </c>
      <c r="E589" s="38" t="n">
        <v>90</v>
      </c>
      <c r="F589" s="12" t="inlineStr">
        <is>
          <t>5S</t>
        </is>
      </c>
      <c r="G589" s="14" t="n">
        <v>4</v>
      </c>
      <c r="H589" s="40" t="n">
        <v>101.6</v>
      </c>
      <c r="I589" s="14" t="n">
        <v>0.083</v>
      </c>
      <c r="J589" s="40" t="n">
        <v>2.11</v>
      </c>
      <c r="K589" s="14">
        <f>ROUND((H589-J589)*J589*IF(B589="Carbon Steel",$K$7,IF(B589="Stainless Steel 304",$K$8,$L$8)), 3)</f>
        <v/>
      </c>
      <c r="L589" s="40">
        <f>ROUND(K589*$G$5, 2)</f>
        <v/>
      </c>
      <c r="M589" s="38">
        <f>INT($G$6/H589)</f>
        <v/>
      </c>
      <c r="N589" s="38">
        <f>IF(M589=0, 0, IF(OR($K$6="Square Grid", M589=1), INT($G$7/H589), IF($G$7&lt;H589, 0, 1+INT(($G$7-H589)/(0.8660254*H589)))))</f>
        <v/>
      </c>
      <c r="O589" s="41">
        <f>IF(OR(M589=0,N589=0), 0, IF(OR($K$6="Square Grid", M589=1), M589*N589*$K$5, (INT((N589+1)/2)*M589 + INT(N589/2)*IF(($G$6-M589*H589)&gt;=0.5*H589, M589, M589-1))*$K$5))</f>
        <v/>
      </c>
      <c r="P589" s="41">
        <f>IF(L589&lt;=0, 0, INT($G$8/L589))</f>
        <v/>
      </c>
      <c r="Q589" s="42">
        <f>MIN(O589, P589)</f>
        <v/>
      </c>
      <c r="R589" s="43">
        <f>ROUND((Q589*L589)/1000, 2)</f>
        <v/>
      </c>
      <c r="S589" s="44">
        <f>IF($C$8&gt;0, R589/$C$8, 0)</f>
        <v/>
      </c>
      <c r="T589" s="44">
        <f>IF(O589&gt;0, Q589/O589, 0)</f>
        <v/>
      </c>
      <c r="U589" s="12">
        <f>IF(Q589=0, "Exceeds Limit", IF(P589&lt;=O589, "Weight Limited", "Volume Limited"))</f>
        <v/>
      </c>
    </row>
    <row r="590" ht="19" customHeight="1">
      <c r="A590" s="45" t="n">
        <v>580</v>
      </c>
      <c r="B590" s="50" t="inlineStr">
        <is>
          <t>Stainless Steel 316</t>
        </is>
      </c>
      <c r="C590" s="19" t="inlineStr">
        <is>
          <t>ASME B36.19M</t>
        </is>
      </c>
      <c r="D590" s="18" t="inlineStr">
        <is>
          <t>3-1/2''</t>
        </is>
      </c>
      <c r="E590" s="45" t="n">
        <v>90</v>
      </c>
      <c r="F590" s="18" t="inlineStr">
        <is>
          <t>10S</t>
        </is>
      </c>
      <c r="G590" s="20" t="n">
        <v>4</v>
      </c>
      <c r="H590" s="47" t="n">
        <v>101.6</v>
      </c>
      <c r="I590" s="20" t="n">
        <v>0.12</v>
      </c>
      <c r="J590" s="47" t="n">
        <v>3.05</v>
      </c>
      <c r="K590" s="20">
        <f>ROUND((H590-J590)*J590*IF(B590="Carbon Steel",$K$7,IF(B590="Stainless Steel 304",$K$8,$L$8)), 3)</f>
        <v/>
      </c>
      <c r="L590" s="47">
        <f>ROUND(K590*$G$5, 2)</f>
        <v/>
      </c>
      <c r="M590" s="45">
        <f>INT($G$6/H590)</f>
        <v/>
      </c>
      <c r="N590" s="45">
        <f>IF(M590=0, 0, IF(OR($K$6="Square Grid", M590=1), INT($G$7/H590), IF($G$7&lt;H590, 0, 1+INT(($G$7-H590)/(0.8660254*H590)))))</f>
        <v/>
      </c>
      <c r="O590" s="48">
        <f>IF(OR(M590=0,N590=0), 0, IF(OR($K$6="Square Grid", M590=1), M590*N590*$K$5, (INT((N590+1)/2)*M590 + INT(N590/2)*IF(($G$6-M590*H590)&gt;=0.5*H590, M590, M590-1))*$K$5))</f>
        <v/>
      </c>
      <c r="P590" s="48">
        <f>IF(L590&lt;=0, 0, INT($G$8/L590))</f>
        <v/>
      </c>
      <c r="Q590" s="42">
        <f>MIN(O590, P590)</f>
        <v/>
      </c>
      <c r="R590" s="43">
        <f>ROUND((Q590*L590)/1000, 2)</f>
        <v/>
      </c>
      <c r="S590" s="49">
        <f>IF($C$8&gt;0, R590/$C$8, 0)</f>
        <v/>
      </c>
      <c r="T590" s="49">
        <f>IF(O590&gt;0, Q590/O590, 0)</f>
        <v/>
      </c>
      <c r="U590" s="18">
        <f>IF(Q590=0, "Exceeds Limit", IF(P590&lt;=O590, "Weight Limited", "Volume Limited"))</f>
        <v/>
      </c>
    </row>
    <row r="591" ht="19" customHeight="1">
      <c r="A591" s="38" t="n">
        <v>581</v>
      </c>
      <c r="B591" s="51" t="inlineStr">
        <is>
          <t>Stainless Steel 316</t>
        </is>
      </c>
      <c r="C591" s="13" t="inlineStr">
        <is>
          <t>ASME B36.19M</t>
        </is>
      </c>
      <c r="D591" s="12" t="inlineStr">
        <is>
          <t>3-1/2''</t>
        </is>
      </c>
      <c r="E591" s="38" t="n">
        <v>90</v>
      </c>
      <c r="F591" s="12" t="inlineStr">
        <is>
          <t>40S</t>
        </is>
      </c>
      <c r="G591" s="14" t="n">
        <v>4</v>
      </c>
      <c r="H591" s="40" t="n">
        <v>101.6</v>
      </c>
      <c r="I591" s="14" t="n">
        <v>0.226</v>
      </c>
      <c r="J591" s="40" t="n">
        <v>5.74</v>
      </c>
      <c r="K591" s="14">
        <f>ROUND((H591-J591)*J591*IF(B591="Carbon Steel",$K$7,IF(B591="Stainless Steel 304",$K$8,$L$8)), 3)</f>
        <v/>
      </c>
      <c r="L591" s="40">
        <f>ROUND(K591*$G$5, 2)</f>
        <v/>
      </c>
      <c r="M591" s="38">
        <f>INT($G$6/H591)</f>
        <v/>
      </c>
      <c r="N591" s="38">
        <f>IF(M591=0, 0, IF(OR($K$6="Square Grid", M591=1), INT($G$7/H591), IF($G$7&lt;H591, 0, 1+INT(($G$7-H591)/(0.8660254*H591)))))</f>
        <v/>
      </c>
      <c r="O591" s="41">
        <f>IF(OR(M591=0,N591=0), 0, IF(OR($K$6="Square Grid", M591=1), M591*N591*$K$5, (INT((N591+1)/2)*M591 + INT(N591/2)*IF(($G$6-M591*H591)&gt;=0.5*H591, M591, M591-1))*$K$5))</f>
        <v/>
      </c>
      <c r="P591" s="41">
        <f>IF(L591&lt;=0, 0, INT($G$8/L591))</f>
        <v/>
      </c>
      <c r="Q591" s="42">
        <f>MIN(O591, P591)</f>
        <v/>
      </c>
      <c r="R591" s="43">
        <f>ROUND((Q591*L591)/1000, 2)</f>
        <v/>
      </c>
      <c r="S591" s="44">
        <f>IF($C$8&gt;0, R591/$C$8, 0)</f>
        <v/>
      </c>
      <c r="T591" s="44">
        <f>IF(O591&gt;0, Q591/O591, 0)</f>
        <v/>
      </c>
      <c r="U591" s="12">
        <f>IF(Q591=0, "Exceeds Limit", IF(P591&lt;=O591, "Weight Limited", "Volume Limited"))</f>
        <v/>
      </c>
    </row>
    <row r="592" ht="19" customHeight="1">
      <c r="A592" s="45" t="n">
        <v>582</v>
      </c>
      <c r="B592" s="50" t="inlineStr">
        <is>
          <t>Stainless Steel 316</t>
        </is>
      </c>
      <c r="C592" s="19" t="inlineStr">
        <is>
          <t>ASME B36.19M</t>
        </is>
      </c>
      <c r="D592" s="18" t="inlineStr">
        <is>
          <t>3-1/2''</t>
        </is>
      </c>
      <c r="E592" s="45" t="n">
        <v>90</v>
      </c>
      <c r="F592" s="18" t="inlineStr">
        <is>
          <t>80S</t>
        </is>
      </c>
      <c r="G592" s="20" t="n">
        <v>4</v>
      </c>
      <c r="H592" s="47" t="n">
        <v>101.6</v>
      </c>
      <c r="I592" s="20" t="n">
        <v>0.318</v>
      </c>
      <c r="J592" s="47" t="n">
        <v>8.08</v>
      </c>
      <c r="K592" s="20">
        <f>ROUND((H592-J592)*J592*IF(B592="Carbon Steel",$K$7,IF(B592="Stainless Steel 304",$K$8,$L$8)), 3)</f>
        <v/>
      </c>
      <c r="L592" s="47">
        <f>ROUND(K592*$G$5, 2)</f>
        <v/>
      </c>
      <c r="M592" s="45">
        <f>INT($G$6/H592)</f>
        <v/>
      </c>
      <c r="N592" s="45">
        <f>IF(M592=0, 0, IF(OR($K$6="Square Grid", M592=1), INT($G$7/H592), IF($G$7&lt;H592, 0, 1+INT(($G$7-H592)/(0.8660254*H592)))))</f>
        <v/>
      </c>
      <c r="O592" s="48">
        <f>IF(OR(M592=0,N592=0), 0, IF(OR($K$6="Square Grid", M592=1), M592*N592*$K$5, (INT((N592+1)/2)*M592 + INT(N592/2)*IF(($G$6-M592*H592)&gt;=0.5*H592, M592, M592-1))*$K$5))</f>
        <v/>
      </c>
      <c r="P592" s="48">
        <f>IF(L592&lt;=0, 0, INT($G$8/L592))</f>
        <v/>
      </c>
      <c r="Q592" s="42">
        <f>MIN(O592, P592)</f>
        <v/>
      </c>
      <c r="R592" s="43">
        <f>ROUND((Q592*L592)/1000, 2)</f>
        <v/>
      </c>
      <c r="S592" s="49">
        <f>IF($C$8&gt;0, R592/$C$8, 0)</f>
        <v/>
      </c>
      <c r="T592" s="49">
        <f>IF(O592&gt;0, Q592/O592, 0)</f>
        <v/>
      </c>
      <c r="U592" s="18">
        <f>IF(Q592=0, "Exceeds Limit", IF(P592&lt;=O592, "Weight Limited", "Volume Limited"))</f>
        <v/>
      </c>
    </row>
    <row r="593" ht="19" customHeight="1">
      <c r="A593" s="38" t="n">
        <v>583</v>
      </c>
      <c r="B593" s="51" t="inlineStr">
        <is>
          <t>Stainless Steel 316</t>
        </is>
      </c>
      <c r="C593" s="13" t="inlineStr">
        <is>
          <t>ASME B36.19M</t>
        </is>
      </c>
      <c r="D593" s="12" t="inlineStr">
        <is>
          <t>3-1/2''</t>
        </is>
      </c>
      <c r="E593" s="38" t="n">
        <v>90</v>
      </c>
      <c r="F593" s="12" t="inlineStr">
        <is>
          <t>STD</t>
        </is>
      </c>
      <c r="G593" s="14" t="n">
        <v>4</v>
      </c>
      <c r="H593" s="40" t="n">
        <v>101.6</v>
      </c>
      <c r="I593" s="14" t="n">
        <v>0.226</v>
      </c>
      <c r="J593" s="40" t="n">
        <v>5.74</v>
      </c>
      <c r="K593" s="14">
        <f>ROUND((H593-J593)*J593*IF(B593="Carbon Steel",$K$7,IF(B593="Stainless Steel 304",$K$8,$L$8)), 3)</f>
        <v/>
      </c>
      <c r="L593" s="40">
        <f>ROUND(K593*$G$5, 2)</f>
        <v/>
      </c>
      <c r="M593" s="38">
        <f>INT($G$6/H593)</f>
        <v/>
      </c>
      <c r="N593" s="38">
        <f>IF(M593=0, 0, IF(OR($K$6="Square Grid", M593=1), INT($G$7/H593), IF($G$7&lt;H593, 0, 1+INT(($G$7-H593)/(0.8660254*H593)))))</f>
        <v/>
      </c>
      <c r="O593" s="41">
        <f>IF(OR(M593=0,N593=0), 0, IF(OR($K$6="Square Grid", M593=1), M593*N593*$K$5, (INT((N593+1)/2)*M593 + INT(N593/2)*IF(($G$6-M593*H593)&gt;=0.5*H593, M593, M593-1))*$K$5))</f>
        <v/>
      </c>
      <c r="P593" s="41">
        <f>IF(L593&lt;=0, 0, INT($G$8/L593))</f>
        <v/>
      </c>
      <c r="Q593" s="42">
        <f>MIN(O593, P593)</f>
        <v/>
      </c>
      <c r="R593" s="43">
        <f>ROUND((Q593*L593)/1000, 2)</f>
        <v/>
      </c>
      <c r="S593" s="44">
        <f>IF($C$8&gt;0, R593/$C$8, 0)</f>
        <v/>
      </c>
      <c r="T593" s="44">
        <f>IF(O593&gt;0, Q593/O593, 0)</f>
        <v/>
      </c>
      <c r="U593" s="12">
        <f>IF(Q593=0, "Exceeds Limit", IF(P593&lt;=O593, "Weight Limited", "Volume Limited"))</f>
        <v/>
      </c>
    </row>
    <row r="594" ht="19" customHeight="1">
      <c r="A594" s="45" t="n">
        <v>584</v>
      </c>
      <c r="B594" s="50" t="inlineStr">
        <is>
          <t>Stainless Steel 316</t>
        </is>
      </c>
      <c r="C594" s="19" t="inlineStr">
        <is>
          <t>ASME B36.19M</t>
        </is>
      </c>
      <c r="D594" s="18" t="inlineStr">
        <is>
          <t>3-1/2''</t>
        </is>
      </c>
      <c r="E594" s="45" t="n">
        <v>90</v>
      </c>
      <c r="F594" s="18" t="inlineStr">
        <is>
          <t>XS</t>
        </is>
      </c>
      <c r="G594" s="20" t="n">
        <v>4</v>
      </c>
      <c r="H594" s="47" t="n">
        <v>101.6</v>
      </c>
      <c r="I594" s="20" t="n">
        <v>0.318</v>
      </c>
      <c r="J594" s="47" t="n">
        <v>8.08</v>
      </c>
      <c r="K594" s="20">
        <f>ROUND((H594-J594)*J594*IF(B594="Carbon Steel",$K$7,IF(B594="Stainless Steel 304",$K$8,$L$8)), 3)</f>
        <v/>
      </c>
      <c r="L594" s="47">
        <f>ROUND(K594*$G$5, 2)</f>
        <v/>
      </c>
      <c r="M594" s="45">
        <f>INT($G$6/H594)</f>
        <v/>
      </c>
      <c r="N594" s="45">
        <f>IF(M594=0, 0, IF(OR($K$6="Square Grid", M594=1), INT($G$7/H594), IF($G$7&lt;H594, 0, 1+INT(($G$7-H594)/(0.8660254*H594)))))</f>
        <v/>
      </c>
      <c r="O594" s="48">
        <f>IF(OR(M594=0,N594=0), 0, IF(OR($K$6="Square Grid", M594=1), M594*N594*$K$5, (INT((N594+1)/2)*M594 + INT(N594/2)*IF(($G$6-M594*H594)&gt;=0.5*H594, M594, M594-1))*$K$5))</f>
        <v/>
      </c>
      <c r="P594" s="48">
        <f>IF(L594&lt;=0, 0, INT($G$8/L594))</f>
        <v/>
      </c>
      <c r="Q594" s="42">
        <f>MIN(O594, P594)</f>
        <v/>
      </c>
      <c r="R594" s="43">
        <f>ROUND((Q594*L594)/1000, 2)</f>
        <v/>
      </c>
      <c r="S594" s="49">
        <f>IF($C$8&gt;0, R594/$C$8, 0)</f>
        <v/>
      </c>
      <c r="T594" s="49">
        <f>IF(O594&gt;0, Q594/O594, 0)</f>
        <v/>
      </c>
      <c r="U594" s="18">
        <f>IF(Q594=0, "Exceeds Limit", IF(P594&lt;=O594, "Weight Limited", "Volume Limited"))</f>
        <v/>
      </c>
    </row>
    <row r="595" ht="19" customHeight="1">
      <c r="A595" s="38" t="n">
        <v>585</v>
      </c>
      <c r="B595" s="51" t="inlineStr">
        <is>
          <t>Stainless Steel 316</t>
        </is>
      </c>
      <c r="C595" s="13" t="inlineStr">
        <is>
          <t>ASME B36.19M</t>
        </is>
      </c>
      <c r="D595" s="12" t="inlineStr">
        <is>
          <t>3-1/2''</t>
        </is>
      </c>
      <c r="E595" s="38" t="n">
        <v>90</v>
      </c>
      <c r="F595" s="12" t="inlineStr">
        <is>
          <t>XXS</t>
        </is>
      </c>
      <c r="G595" s="14" t="n">
        <v>4</v>
      </c>
      <c r="H595" s="40" t="n">
        <v>101.6</v>
      </c>
      <c r="I595" s="14" t="n">
        <v>0.636</v>
      </c>
      <c r="J595" s="40" t="n">
        <v>16.15</v>
      </c>
      <c r="K595" s="14">
        <f>ROUND((H595-J595)*J595*IF(B595="Carbon Steel",$K$7,IF(B595="Stainless Steel 304",$K$8,$L$8)), 3)</f>
        <v/>
      </c>
      <c r="L595" s="40">
        <f>ROUND(K595*$G$5, 2)</f>
        <v/>
      </c>
      <c r="M595" s="38">
        <f>INT($G$6/H595)</f>
        <v/>
      </c>
      <c r="N595" s="38">
        <f>IF(M595=0, 0, IF(OR($K$6="Square Grid", M595=1), INT($G$7/H595), IF($G$7&lt;H595, 0, 1+INT(($G$7-H595)/(0.8660254*H595)))))</f>
        <v/>
      </c>
      <c r="O595" s="41">
        <f>IF(OR(M595=0,N595=0), 0, IF(OR($K$6="Square Grid", M595=1), M595*N595*$K$5, (INT((N595+1)/2)*M595 + INT(N595/2)*IF(($G$6-M595*H595)&gt;=0.5*H595, M595, M595-1))*$K$5))</f>
        <v/>
      </c>
      <c r="P595" s="41">
        <f>IF(L595&lt;=0, 0, INT($G$8/L595))</f>
        <v/>
      </c>
      <c r="Q595" s="42">
        <f>MIN(O595, P595)</f>
        <v/>
      </c>
      <c r="R595" s="43">
        <f>ROUND((Q595*L595)/1000, 2)</f>
        <v/>
      </c>
      <c r="S595" s="44">
        <f>IF($C$8&gt;0, R595/$C$8, 0)</f>
        <v/>
      </c>
      <c r="T595" s="44">
        <f>IF(O595&gt;0, Q595/O595, 0)</f>
        <v/>
      </c>
      <c r="U595" s="12">
        <f>IF(Q595=0, "Exceeds Limit", IF(P595&lt;=O595, "Weight Limited", "Volume Limited"))</f>
        <v/>
      </c>
    </row>
    <row r="596" ht="19" customHeight="1">
      <c r="A596" s="45" t="n">
        <v>586</v>
      </c>
      <c r="B596" s="50" t="inlineStr">
        <is>
          <t>Stainless Steel 316</t>
        </is>
      </c>
      <c r="C596" s="19" t="inlineStr">
        <is>
          <t>ASME B36.19M</t>
        </is>
      </c>
      <c r="D596" s="18" t="inlineStr">
        <is>
          <t>4''</t>
        </is>
      </c>
      <c r="E596" s="45" t="n">
        <v>100</v>
      </c>
      <c r="F596" s="18" t="inlineStr">
        <is>
          <t>5S</t>
        </is>
      </c>
      <c r="G596" s="20" t="n">
        <v>4.5</v>
      </c>
      <c r="H596" s="47" t="n">
        <v>114.3</v>
      </c>
      <c r="I596" s="20" t="n">
        <v>0.083</v>
      </c>
      <c r="J596" s="47" t="n">
        <v>2.11</v>
      </c>
      <c r="K596" s="20">
        <f>ROUND((H596-J596)*J596*IF(B596="Carbon Steel",$K$7,IF(B596="Stainless Steel 304",$K$8,$L$8)), 3)</f>
        <v/>
      </c>
      <c r="L596" s="47">
        <f>ROUND(K596*$G$5, 2)</f>
        <v/>
      </c>
      <c r="M596" s="45">
        <f>INT($G$6/H596)</f>
        <v/>
      </c>
      <c r="N596" s="45">
        <f>IF(M596=0, 0, IF(OR($K$6="Square Grid", M596=1), INT($G$7/H596), IF($G$7&lt;H596, 0, 1+INT(($G$7-H596)/(0.8660254*H596)))))</f>
        <v/>
      </c>
      <c r="O596" s="48">
        <f>IF(OR(M596=0,N596=0), 0, IF(OR($K$6="Square Grid", M596=1), M596*N596*$K$5, (INT((N596+1)/2)*M596 + INT(N596/2)*IF(($G$6-M596*H596)&gt;=0.5*H596, M596, M596-1))*$K$5))</f>
        <v/>
      </c>
      <c r="P596" s="48">
        <f>IF(L596&lt;=0, 0, INT($G$8/L596))</f>
        <v/>
      </c>
      <c r="Q596" s="42">
        <f>MIN(O596, P596)</f>
        <v/>
      </c>
      <c r="R596" s="43">
        <f>ROUND((Q596*L596)/1000, 2)</f>
        <v/>
      </c>
      <c r="S596" s="49">
        <f>IF($C$8&gt;0, R596/$C$8, 0)</f>
        <v/>
      </c>
      <c r="T596" s="49">
        <f>IF(O596&gt;0, Q596/O596, 0)</f>
        <v/>
      </c>
      <c r="U596" s="18">
        <f>IF(Q596=0, "Exceeds Limit", IF(P596&lt;=O596, "Weight Limited", "Volume Limited"))</f>
        <v/>
      </c>
    </row>
    <row r="597" ht="19" customHeight="1">
      <c r="A597" s="38" t="n">
        <v>587</v>
      </c>
      <c r="B597" s="51" t="inlineStr">
        <is>
          <t>Stainless Steel 316</t>
        </is>
      </c>
      <c r="C597" s="13" t="inlineStr">
        <is>
          <t>ASME B36.19M</t>
        </is>
      </c>
      <c r="D597" s="12" t="inlineStr">
        <is>
          <t>4''</t>
        </is>
      </c>
      <c r="E597" s="38" t="n">
        <v>100</v>
      </c>
      <c r="F597" s="12" t="inlineStr">
        <is>
          <t>10S</t>
        </is>
      </c>
      <c r="G597" s="14" t="n">
        <v>4.5</v>
      </c>
      <c r="H597" s="40" t="n">
        <v>114.3</v>
      </c>
      <c r="I597" s="14" t="n">
        <v>0.12</v>
      </c>
      <c r="J597" s="40" t="n">
        <v>3.05</v>
      </c>
      <c r="K597" s="14">
        <f>ROUND((H597-J597)*J597*IF(B597="Carbon Steel",$K$7,IF(B597="Stainless Steel 304",$K$8,$L$8)), 3)</f>
        <v/>
      </c>
      <c r="L597" s="40">
        <f>ROUND(K597*$G$5, 2)</f>
        <v/>
      </c>
      <c r="M597" s="38">
        <f>INT($G$6/H597)</f>
        <v/>
      </c>
      <c r="N597" s="38">
        <f>IF(M597=0, 0, IF(OR($K$6="Square Grid", M597=1), INT($G$7/H597), IF($G$7&lt;H597, 0, 1+INT(($G$7-H597)/(0.8660254*H597)))))</f>
        <v/>
      </c>
      <c r="O597" s="41">
        <f>IF(OR(M597=0,N597=0), 0, IF(OR($K$6="Square Grid", M597=1), M597*N597*$K$5, (INT((N597+1)/2)*M597 + INT(N597/2)*IF(($G$6-M597*H597)&gt;=0.5*H597, M597, M597-1))*$K$5))</f>
        <v/>
      </c>
      <c r="P597" s="41">
        <f>IF(L597&lt;=0, 0, INT($G$8/L597))</f>
        <v/>
      </c>
      <c r="Q597" s="42">
        <f>MIN(O597, P597)</f>
        <v/>
      </c>
      <c r="R597" s="43">
        <f>ROUND((Q597*L597)/1000, 2)</f>
        <v/>
      </c>
      <c r="S597" s="44">
        <f>IF($C$8&gt;0, R597/$C$8, 0)</f>
        <v/>
      </c>
      <c r="T597" s="44">
        <f>IF(O597&gt;0, Q597/O597, 0)</f>
        <v/>
      </c>
      <c r="U597" s="12">
        <f>IF(Q597=0, "Exceeds Limit", IF(P597&lt;=O597, "Weight Limited", "Volume Limited"))</f>
        <v/>
      </c>
    </row>
    <row r="598" ht="19" customHeight="1">
      <c r="A598" s="45" t="n">
        <v>588</v>
      </c>
      <c r="B598" s="50" t="inlineStr">
        <is>
          <t>Stainless Steel 316</t>
        </is>
      </c>
      <c r="C598" s="19" t="inlineStr">
        <is>
          <t>ASME B36.19M</t>
        </is>
      </c>
      <c r="D598" s="18" t="inlineStr">
        <is>
          <t>4''</t>
        </is>
      </c>
      <c r="E598" s="45" t="n">
        <v>100</v>
      </c>
      <c r="F598" s="18" t="inlineStr">
        <is>
          <t>40S</t>
        </is>
      </c>
      <c r="G598" s="20" t="n">
        <v>4.5</v>
      </c>
      <c r="H598" s="47" t="n">
        <v>114.3</v>
      </c>
      <c r="I598" s="20" t="n">
        <v>0.237</v>
      </c>
      <c r="J598" s="47" t="n">
        <v>6.02</v>
      </c>
      <c r="K598" s="20">
        <f>ROUND((H598-J598)*J598*IF(B598="Carbon Steel",$K$7,IF(B598="Stainless Steel 304",$K$8,$L$8)), 3)</f>
        <v/>
      </c>
      <c r="L598" s="47">
        <f>ROUND(K598*$G$5, 2)</f>
        <v/>
      </c>
      <c r="M598" s="45">
        <f>INT($G$6/H598)</f>
        <v/>
      </c>
      <c r="N598" s="45">
        <f>IF(M598=0, 0, IF(OR($K$6="Square Grid", M598=1), INT($G$7/H598), IF($G$7&lt;H598, 0, 1+INT(($G$7-H598)/(0.8660254*H598)))))</f>
        <v/>
      </c>
      <c r="O598" s="48">
        <f>IF(OR(M598=0,N598=0), 0, IF(OR($K$6="Square Grid", M598=1), M598*N598*$K$5, (INT((N598+1)/2)*M598 + INT(N598/2)*IF(($G$6-M598*H598)&gt;=0.5*H598, M598, M598-1))*$K$5))</f>
        <v/>
      </c>
      <c r="P598" s="48">
        <f>IF(L598&lt;=0, 0, INT($G$8/L598))</f>
        <v/>
      </c>
      <c r="Q598" s="42">
        <f>MIN(O598, P598)</f>
        <v/>
      </c>
      <c r="R598" s="43">
        <f>ROUND((Q598*L598)/1000, 2)</f>
        <v/>
      </c>
      <c r="S598" s="49">
        <f>IF($C$8&gt;0, R598/$C$8, 0)</f>
        <v/>
      </c>
      <c r="T598" s="49">
        <f>IF(O598&gt;0, Q598/O598, 0)</f>
        <v/>
      </c>
      <c r="U598" s="18">
        <f>IF(Q598=0, "Exceeds Limit", IF(P598&lt;=O598, "Weight Limited", "Volume Limited"))</f>
        <v/>
      </c>
    </row>
    <row r="599" ht="19" customHeight="1">
      <c r="A599" s="38" t="n">
        <v>589</v>
      </c>
      <c r="B599" s="51" t="inlineStr">
        <is>
          <t>Stainless Steel 316</t>
        </is>
      </c>
      <c r="C599" s="13" t="inlineStr">
        <is>
          <t>ASME B36.19M</t>
        </is>
      </c>
      <c r="D599" s="12" t="inlineStr">
        <is>
          <t>4''</t>
        </is>
      </c>
      <c r="E599" s="38" t="n">
        <v>100</v>
      </c>
      <c r="F599" s="12" t="inlineStr">
        <is>
          <t>80S</t>
        </is>
      </c>
      <c r="G599" s="14" t="n">
        <v>4.5</v>
      </c>
      <c r="H599" s="40" t="n">
        <v>114.3</v>
      </c>
      <c r="I599" s="14" t="n">
        <v>0.337</v>
      </c>
      <c r="J599" s="40" t="n">
        <v>8.56</v>
      </c>
      <c r="K599" s="14">
        <f>ROUND((H599-J599)*J599*IF(B599="Carbon Steel",$K$7,IF(B599="Stainless Steel 304",$K$8,$L$8)), 3)</f>
        <v/>
      </c>
      <c r="L599" s="40">
        <f>ROUND(K599*$G$5, 2)</f>
        <v/>
      </c>
      <c r="M599" s="38">
        <f>INT($G$6/H599)</f>
        <v/>
      </c>
      <c r="N599" s="38">
        <f>IF(M599=0, 0, IF(OR($K$6="Square Grid", M599=1), INT($G$7/H599), IF($G$7&lt;H599, 0, 1+INT(($G$7-H599)/(0.8660254*H599)))))</f>
        <v/>
      </c>
      <c r="O599" s="41">
        <f>IF(OR(M599=0,N599=0), 0, IF(OR($K$6="Square Grid", M599=1), M599*N599*$K$5, (INT((N599+1)/2)*M599 + INT(N599/2)*IF(($G$6-M599*H599)&gt;=0.5*H599, M599, M599-1))*$K$5))</f>
        <v/>
      </c>
      <c r="P599" s="41">
        <f>IF(L599&lt;=0, 0, INT($G$8/L599))</f>
        <v/>
      </c>
      <c r="Q599" s="42">
        <f>MIN(O599, P599)</f>
        <v/>
      </c>
      <c r="R599" s="43">
        <f>ROUND((Q599*L599)/1000, 2)</f>
        <v/>
      </c>
      <c r="S599" s="44">
        <f>IF($C$8&gt;0, R599/$C$8, 0)</f>
        <v/>
      </c>
      <c r="T599" s="44">
        <f>IF(O599&gt;0, Q599/O599, 0)</f>
        <v/>
      </c>
      <c r="U599" s="12">
        <f>IF(Q599=0, "Exceeds Limit", IF(P599&lt;=O599, "Weight Limited", "Volume Limited"))</f>
        <v/>
      </c>
    </row>
    <row r="600" ht="19" customHeight="1">
      <c r="A600" s="45" t="n">
        <v>590</v>
      </c>
      <c r="B600" s="50" t="inlineStr">
        <is>
          <t>Stainless Steel 316</t>
        </is>
      </c>
      <c r="C600" s="19" t="inlineStr">
        <is>
          <t>ASME B36.19M</t>
        </is>
      </c>
      <c r="D600" s="18" t="inlineStr">
        <is>
          <t>4''</t>
        </is>
      </c>
      <c r="E600" s="45" t="n">
        <v>100</v>
      </c>
      <c r="F600" s="18" t="inlineStr">
        <is>
          <t>STD</t>
        </is>
      </c>
      <c r="G600" s="20" t="n">
        <v>4.5</v>
      </c>
      <c r="H600" s="47" t="n">
        <v>114.3</v>
      </c>
      <c r="I600" s="20" t="n">
        <v>0.237</v>
      </c>
      <c r="J600" s="47" t="n">
        <v>6.02</v>
      </c>
      <c r="K600" s="20">
        <f>ROUND((H600-J600)*J600*IF(B600="Carbon Steel",$K$7,IF(B600="Stainless Steel 304",$K$8,$L$8)), 3)</f>
        <v/>
      </c>
      <c r="L600" s="47">
        <f>ROUND(K600*$G$5, 2)</f>
        <v/>
      </c>
      <c r="M600" s="45">
        <f>INT($G$6/H600)</f>
        <v/>
      </c>
      <c r="N600" s="45">
        <f>IF(M600=0, 0, IF(OR($K$6="Square Grid", M600=1), INT($G$7/H600), IF($G$7&lt;H600, 0, 1+INT(($G$7-H600)/(0.8660254*H600)))))</f>
        <v/>
      </c>
      <c r="O600" s="48">
        <f>IF(OR(M600=0,N600=0), 0, IF(OR($K$6="Square Grid", M600=1), M600*N600*$K$5, (INT((N600+1)/2)*M600 + INT(N600/2)*IF(($G$6-M600*H600)&gt;=0.5*H600, M600, M600-1))*$K$5))</f>
        <v/>
      </c>
      <c r="P600" s="48">
        <f>IF(L600&lt;=0, 0, INT($G$8/L600))</f>
        <v/>
      </c>
      <c r="Q600" s="42">
        <f>MIN(O600, P600)</f>
        <v/>
      </c>
      <c r="R600" s="43">
        <f>ROUND((Q600*L600)/1000, 2)</f>
        <v/>
      </c>
      <c r="S600" s="49">
        <f>IF($C$8&gt;0, R600/$C$8, 0)</f>
        <v/>
      </c>
      <c r="T600" s="49">
        <f>IF(O600&gt;0, Q600/O600, 0)</f>
        <v/>
      </c>
      <c r="U600" s="18">
        <f>IF(Q600=0, "Exceeds Limit", IF(P600&lt;=O600, "Weight Limited", "Volume Limited"))</f>
        <v/>
      </c>
    </row>
    <row r="601" ht="19" customHeight="1">
      <c r="A601" s="38" t="n">
        <v>591</v>
      </c>
      <c r="B601" s="51" t="inlineStr">
        <is>
          <t>Stainless Steel 316</t>
        </is>
      </c>
      <c r="C601" s="13" t="inlineStr">
        <is>
          <t>ASME B36.19M</t>
        </is>
      </c>
      <c r="D601" s="12" t="inlineStr">
        <is>
          <t>4''</t>
        </is>
      </c>
      <c r="E601" s="38" t="n">
        <v>100</v>
      </c>
      <c r="F601" s="12" t="inlineStr">
        <is>
          <t>XS</t>
        </is>
      </c>
      <c r="G601" s="14" t="n">
        <v>4.5</v>
      </c>
      <c r="H601" s="40" t="n">
        <v>114.3</v>
      </c>
      <c r="I601" s="14" t="n">
        <v>0.337</v>
      </c>
      <c r="J601" s="40" t="n">
        <v>8.56</v>
      </c>
      <c r="K601" s="14">
        <f>ROUND((H601-J601)*J601*IF(B601="Carbon Steel",$K$7,IF(B601="Stainless Steel 304",$K$8,$L$8)), 3)</f>
        <v/>
      </c>
      <c r="L601" s="40">
        <f>ROUND(K601*$G$5, 2)</f>
        <v/>
      </c>
      <c r="M601" s="38">
        <f>INT($G$6/H601)</f>
        <v/>
      </c>
      <c r="N601" s="38">
        <f>IF(M601=0, 0, IF(OR($K$6="Square Grid", M601=1), INT($G$7/H601), IF($G$7&lt;H601, 0, 1+INT(($G$7-H601)/(0.8660254*H601)))))</f>
        <v/>
      </c>
      <c r="O601" s="41">
        <f>IF(OR(M601=0,N601=0), 0, IF(OR($K$6="Square Grid", M601=1), M601*N601*$K$5, (INT((N601+1)/2)*M601 + INT(N601/2)*IF(($G$6-M601*H601)&gt;=0.5*H601, M601, M601-1))*$K$5))</f>
        <v/>
      </c>
      <c r="P601" s="41">
        <f>IF(L601&lt;=0, 0, INT($G$8/L601))</f>
        <v/>
      </c>
      <c r="Q601" s="42">
        <f>MIN(O601, P601)</f>
        <v/>
      </c>
      <c r="R601" s="43">
        <f>ROUND((Q601*L601)/1000, 2)</f>
        <v/>
      </c>
      <c r="S601" s="44">
        <f>IF($C$8&gt;0, R601/$C$8, 0)</f>
        <v/>
      </c>
      <c r="T601" s="44">
        <f>IF(O601&gt;0, Q601/O601, 0)</f>
        <v/>
      </c>
      <c r="U601" s="12">
        <f>IF(Q601=0, "Exceeds Limit", IF(P601&lt;=O601, "Weight Limited", "Volume Limited"))</f>
        <v/>
      </c>
    </row>
    <row r="602" ht="19" customHeight="1">
      <c r="A602" s="45" t="n">
        <v>592</v>
      </c>
      <c r="B602" s="50" t="inlineStr">
        <is>
          <t>Stainless Steel 316</t>
        </is>
      </c>
      <c r="C602" s="19" t="inlineStr">
        <is>
          <t>ASME B36.19M</t>
        </is>
      </c>
      <c r="D602" s="18" t="inlineStr">
        <is>
          <t>4''</t>
        </is>
      </c>
      <c r="E602" s="45" t="n">
        <v>100</v>
      </c>
      <c r="F602" s="18" t="inlineStr">
        <is>
          <t>160</t>
        </is>
      </c>
      <c r="G602" s="20" t="n">
        <v>4.5</v>
      </c>
      <c r="H602" s="47" t="n">
        <v>114.3</v>
      </c>
      <c r="I602" s="20" t="n">
        <v>0.531</v>
      </c>
      <c r="J602" s="47" t="n">
        <v>13.49</v>
      </c>
      <c r="K602" s="20">
        <f>ROUND((H602-J602)*J602*IF(B602="Carbon Steel",$K$7,IF(B602="Stainless Steel 304",$K$8,$L$8)), 3)</f>
        <v/>
      </c>
      <c r="L602" s="47">
        <f>ROUND(K602*$G$5, 2)</f>
        <v/>
      </c>
      <c r="M602" s="45">
        <f>INT($G$6/H602)</f>
        <v/>
      </c>
      <c r="N602" s="45">
        <f>IF(M602=0, 0, IF(OR($K$6="Square Grid", M602=1), INT($G$7/H602), IF($G$7&lt;H602, 0, 1+INT(($G$7-H602)/(0.8660254*H602)))))</f>
        <v/>
      </c>
      <c r="O602" s="48">
        <f>IF(OR(M602=0,N602=0), 0, IF(OR($K$6="Square Grid", M602=1), M602*N602*$K$5, (INT((N602+1)/2)*M602 + INT(N602/2)*IF(($G$6-M602*H602)&gt;=0.5*H602, M602, M602-1))*$K$5))</f>
        <v/>
      </c>
      <c r="P602" s="48">
        <f>IF(L602&lt;=0, 0, INT($G$8/L602))</f>
        <v/>
      </c>
      <c r="Q602" s="42">
        <f>MIN(O602, P602)</f>
        <v/>
      </c>
      <c r="R602" s="43">
        <f>ROUND((Q602*L602)/1000, 2)</f>
        <v/>
      </c>
      <c r="S602" s="49">
        <f>IF($C$8&gt;0, R602/$C$8, 0)</f>
        <v/>
      </c>
      <c r="T602" s="49">
        <f>IF(O602&gt;0, Q602/O602, 0)</f>
        <v/>
      </c>
      <c r="U602" s="18">
        <f>IF(Q602=0, "Exceeds Limit", IF(P602&lt;=O602, "Weight Limited", "Volume Limited"))</f>
        <v/>
      </c>
    </row>
    <row r="603" ht="19" customHeight="1">
      <c r="A603" s="38" t="n">
        <v>593</v>
      </c>
      <c r="B603" s="51" t="inlineStr">
        <is>
          <t>Stainless Steel 316</t>
        </is>
      </c>
      <c r="C603" s="13" t="inlineStr">
        <is>
          <t>ASME B36.19M</t>
        </is>
      </c>
      <c r="D603" s="12" t="inlineStr">
        <is>
          <t>4''</t>
        </is>
      </c>
      <c r="E603" s="38" t="n">
        <v>100</v>
      </c>
      <c r="F603" s="12" t="inlineStr">
        <is>
          <t>XXS</t>
        </is>
      </c>
      <c r="G603" s="14" t="n">
        <v>4.5</v>
      </c>
      <c r="H603" s="40" t="n">
        <v>114.3</v>
      </c>
      <c r="I603" s="14" t="n">
        <v>0.674</v>
      </c>
      <c r="J603" s="40" t="n">
        <v>17.12</v>
      </c>
      <c r="K603" s="14">
        <f>ROUND((H603-J603)*J603*IF(B603="Carbon Steel",$K$7,IF(B603="Stainless Steel 304",$K$8,$L$8)), 3)</f>
        <v/>
      </c>
      <c r="L603" s="40">
        <f>ROUND(K603*$G$5, 2)</f>
        <v/>
      </c>
      <c r="M603" s="38">
        <f>INT($G$6/H603)</f>
        <v/>
      </c>
      <c r="N603" s="38">
        <f>IF(M603=0, 0, IF(OR($K$6="Square Grid", M603=1), INT($G$7/H603), IF($G$7&lt;H603, 0, 1+INT(($G$7-H603)/(0.8660254*H603)))))</f>
        <v/>
      </c>
      <c r="O603" s="41">
        <f>IF(OR(M603=0,N603=0), 0, IF(OR($K$6="Square Grid", M603=1), M603*N603*$K$5, (INT((N603+1)/2)*M603 + INT(N603/2)*IF(($G$6-M603*H603)&gt;=0.5*H603, M603, M603-1))*$K$5))</f>
        <v/>
      </c>
      <c r="P603" s="41">
        <f>IF(L603&lt;=0, 0, INT($G$8/L603))</f>
        <v/>
      </c>
      <c r="Q603" s="42">
        <f>MIN(O603, P603)</f>
        <v/>
      </c>
      <c r="R603" s="43">
        <f>ROUND((Q603*L603)/1000, 2)</f>
        <v/>
      </c>
      <c r="S603" s="44">
        <f>IF($C$8&gt;0, R603/$C$8, 0)</f>
        <v/>
      </c>
      <c r="T603" s="44">
        <f>IF(O603&gt;0, Q603/O603, 0)</f>
        <v/>
      </c>
      <c r="U603" s="12">
        <f>IF(Q603=0, "Exceeds Limit", IF(P603&lt;=O603, "Weight Limited", "Volume Limited"))</f>
        <v/>
      </c>
    </row>
    <row r="604" ht="19" customHeight="1">
      <c r="A604" s="45" t="n">
        <v>594</v>
      </c>
      <c r="B604" s="50" t="inlineStr">
        <is>
          <t>Stainless Steel 316</t>
        </is>
      </c>
      <c r="C604" s="19" t="inlineStr">
        <is>
          <t>ASME B36.19M</t>
        </is>
      </c>
      <c r="D604" s="18" t="inlineStr">
        <is>
          <t>5''</t>
        </is>
      </c>
      <c r="E604" s="45" t="n">
        <v>125</v>
      </c>
      <c r="F604" s="18" t="inlineStr">
        <is>
          <t>5S</t>
        </is>
      </c>
      <c r="G604" s="20" t="n">
        <v>5.563</v>
      </c>
      <c r="H604" s="47" t="n">
        <v>141.3</v>
      </c>
      <c r="I604" s="20" t="n">
        <v>0.109</v>
      </c>
      <c r="J604" s="47" t="n">
        <v>2.77</v>
      </c>
      <c r="K604" s="20">
        <f>ROUND((H604-J604)*J604*IF(B604="Carbon Steel",$K$7,IF(B604="Stainless Steel 304",$K$8,$L$8)), 3)</f>
        <v/>
      </c>
      <c r="L604" s="47">
        <f>ROUND(K604*$G$5, 2)</f>
        <v/>
      </c>
      <c r="M604" s="45">
        <f>INT($G$6/H604)</f>
        <v/>
      </c>
      <c r="N604" s="45">
        <f>IF(M604=0, 0, IF(OR($K$6="Square Grid", M604=1), INT($G$7/H604), IF($G$7&lt;H604, 0, 1+INT(($G$7-H604)/(0.8660254*H604)))))</f>
        <v/>
      </c>
      <c r="O604" s="48">
        <f>IF(OR(M604=0,N604=0), 0, IF(OR($K$6="Square Grid", M604=1), M604*N604*$K$5, (INT((N604+1)/2)*M604 + INT(N604/2)*IF(($G$6-M604*H604)&gt;=0.5*H604, M604, M604-1))*$K$5))</f>
        <v/>
      </c>
      <c r="P604" s="48">
        <f>IF(L604&lt;=0, 0, INT($G$8/L604))</f>
        <v/>
      </c>
      <c r="Q604" s="42">
        <f>MIN(O604, P604)</f>
        <v/>
      </c>
      <c r="R604" s="43">
        <f>ROUND((Q604*L604)/1000, 2)</f>
        <v/>
      </c>
      <c r="S604" s="49">
        <f>IF($C$8&gt;0, R604/$C$8, 0)</f>
        <v/>
      </c>
      <c r="T604" s="49">
        <f>IF(O604&gt;0, Q604/O604, 0)</f>
        <v/>
      </c>
      <c r="U604" s="18">
        <f>IF(Q604=0, "Exceeds Limit", IF(P604&lt;=O604, "Weight Limited", "Volume Limited"))</f>
        <v/>
      </c>
    </row>
    <row r="605" ht="19" customHeight="1">
      <c r="A605" s="38" t="n">
        <v>595</v>
      </c>
      <c r="B605" s="51" t="inlineStr">
        <is>
          <t>Stainless Steel 316</t>
        </is>
      </c>
      <c r="C605" s="13" t="inlineStr">
        <is>
          <t>ASME B36.19M</t>
        </is>
      </c>
      <c r="D605" s="12" t="inlineStr">
        <is>
          <t>5''</t>
        </is>
      </c>
      <c r="E605" s="38" t="n">
        <v>125</v>
      </c>
      <c r="F605" s="12" t="inlineStr">
        <is>
          <t>10S</t>
        </is>
      </c>
      <c r="G605" s="14" t="n">
        <v>5.563</v>
      </c>
      <c r="H605" s="40" t="n">
        <v>141.3</v>
      </c>
      <c r="I605" s="14" t="n">
        <v>0.134</v>
      </c>
      <c r="J605" s="40" t="n">
        <v>3.4</v>
      </c>
      <c r="K605" s="14">
        <f>ROUND((H605-J605)*J605*IF(B605="Carbon Steel",$K$7,IF(B605="Stainless Steel 304",$K$8,$L$8)), 3)</f>
        <v/>
      </c>
      <c r="L605" s="40">
        <f>ROUND(K605*$G$5, 2)</f>
        <v/>
      </c>
      <c r="M605" s="38">
        <f>INT($G$6/H605)</f>
        <v/>
      </c>
      <c r="N605" s="38">
        <f>IF(M605=0, 0, IF(OR($K$6="Square Grid", M605=1), INT($G$7/H605), IF($G$7&lt;H605, 0, 1+INT(($G$7-H605)/(0.8660254*H605)))))</f>
        <v/>
      </c>
      <c r="O605" s="41">
        <f>IF(OR(M605=0,N605=0), 0, IF(OR($K$6="Square Grid", M605=1), M605*N605*$K$5, (INT((N605+1)/2)*M605 + INT(N605/2)*IF(($G$6-M605*H605)&gt;=0.5*H605, M605, M605-1))*$K$5))</f>
        <v/>
      </c>
      <c r="P605" s="41">
        <f>IF(L605&lt;=0, 0, INT($G$8/L605))</f>
        <v/>
      </c>
      <c r="Q605" s="42">
        <f>MIN(O605, P605)</f>
        <v/>
      </c>
      <c r="R605" s="43">
        <f>ROUND((Q605*L605)/1000, 2)</f>
        <v/>
      </c>
      <c r="S605" s="44">
        <f>IF($C$8&gt;0, R605/$C$8, 0)</f>
        <v/>
      </c>
      <c r="T605" s="44">
        <f>IF(O605&gt;0, Q605/O605, 0)</f>
        <v/>
      </c>
      <c r="U605" s="12">
        <f>IF(Q605=0, "Exceeds Limit", IF(P605&lt;=O605, "Weight Limited", "Volume Limited"))</f>
        <v/>
      </c>
    </row>
    <row r="606" ht="19" customHeight="1">
      <c r="A606" s="45" t="n">
        <v>596</v>
      </c>
      <c r="B606" s="50" t="inlineStr">
        <is>
          <t>Stainless Steel 316</t>
        </is>
      </c>
      <c r="C606" s="19" t="inlineStr">
        <is>
          <t>ASME B36.19M</t>
        </is>
      </c>
      <c r="D606" s="18" t="inlineStr">
        <is>
          <t>5''</t>
        </is>
      </c>
      <c r="E606" s="45" t="n">
        <v>125</v>
      </c>
      <c r="F606" s="18" t="inlineStr">
        <is>
          <t>40S</t>
        </is>
      </c>
      <c r="G606" s="20" t="n">
        <v>5.563</v>
      </c>
      <c r="H606" s="47" t="n">
        <v>141.3</v>
      </c>
      <c r="I606" s="20" t="n">
        <v>0.258</v>
      </c>
      <c r="J606" s="47" t="n">
        <v>6.55</v>
      </c>
      <c r="K606" s="20">
        <f>ROUND((H606-J606)*J606*IF(B606="Carbon Steel",$K$7,IF(B606="Stainless Steel 304",$K$8,$L$8)), 3)</f>
        <v/>
      </c>
      <c r="L606" s="47">
        <f>ROUND(K606*$G$5, 2)</f>
        <v/>
      </c>
      <c r="M606" s="45">
        <f>INT($G$6/H606)</f>
        <v/>
      </c>
      <c r="N606" s="45">
        <f>IF(M606=0, 0, IF(OR($K$6="Square Grid", M606=1), INT($G$7/H606), IF($G$7&lt;H606, 0, 1+INT(($G$7-H606)/(0.8660254*H606)))))</f>
        <v/>
      </c>
      <c r="O606" s="48">
        <f>IF(OR(M606=0,N606=0), 0, IF(OR($K$6="Square Grid", M606=1), M606*N606*$K$5, (INT((N606+1)/2)*M606 + INT(N606/2)*IF(($G$6-M606*H606)&gt;=0.5*H606, M606, M606-1))*$K$5))</f>
        <v/>
      </c>
      <c r="P606" s="48">
        <f>IF(L606&lt;=0, 0, INT($G$8/L606))</f>
        <v/>
      </c>
      <c r="Q606" s="42">
        <f>MIN(O606, P606)</f>
        <v/>
      </c>
      <c r="R606" s="43">
        <f>ROUND((Q606*L606)/1000, 2)</f>
        <v/>
      </c>
      <c r="S606" s="49">
        <f>IF($C$8&gt;0, R606/$C$8, 0)</f>
        <v/>
      </c>
      <c r="T606" s="49">
        <f>IF(O606&gt;0, Q606/O606, 0)</f>
        <v/>
      </c>
      <c r="U606" s="18">
        <f>IF(Q606=0, "Exceeds Limit", IF(P606&lt;=O606, "Weight Limited", "Volume Limited"))</f>
        <v/>
      </c>
    </row>
    <row r="607" ht="19" customHeight="1">
      <c r="A607" s="38" t="n">
        <v>597</v>
      </c>
      <c r="B607" s="51" t="inlineStr">
        <is>
          <t>Stainless Steel 316</t>
        </is>
      </c>
      <c r="C607" s="13" t="inlineStr">
        <is>
          <t>ASME B36.19M</t>
        </is>
      </c>
      <c r="D607" s="12" t="inlineStr">
        <is>
          <t>5''</t>
        </is>
      </c>
      <c r="E607" s="38" t="n">
        <v>125</v>
      </c>
      <c r="F607" s="12" t="inlineStr">
        <is>
          <t>80S</t>
        </is>
      </c>
      <c r="G607" s="14" t="n">
        <v>5.563</v>
      </c>
      <c r="H607" s="40" t="n">
        <v>141.3</v>
      </c>
      <c r="I607" s="14" t="n">
        <v>0.375</v>
      </c>
      <c r="J607" s="40" t="n">
        <v>9.52</v>
      </c>
      <c r="K607" s="14">
        <f>ROUND((H607-J607)*J607*IF(B607="Carbon Steel",$K$7,IF(B607="Stainless Steel 304",$K$8,$L$8)), 3)</f>
        <v/>
      </c>
      <c r="L607" s="40">
        <f>ROUND(K607*$G$5, 2)</f>
        <v/>
      </c>
      <c r="M607" s="38">
        <f>INT($G$6/H607)</f>
        <v/>
      </c>
      <c r="N607" s="38">
        <f>IF(M607=0, 0, IF(OR($K$6="Square Grid", M607=1), INT($G$7/H607), IF($G$7&lt;H607, 0, 1+INT(($G$7-H607)/(0.8660254*H607)))))</f>
        <v/>
      </c>
      <c r="O607" s="41">
        <f>IF(OR(M607=0,N607=0), 0, IF(OR($K$6="Square Grid", M607=1), M607*N607*$K$5, (INT((N607+1)/2)*M607 + INT(N607/2)*IF(($G$6-M607*H607)&gt;=0.5*H607, M607, M607-1))*$K$5))</f>
        <v/>
      </c>
      <c r="P607" s="41">
        <f>IF(L607&lt;=0, 0, INT($G$8/L607))</f>
        <v/>
      </c>
      <c r="Q607" s="42">
        <f>MIN(O607, P607)</f>
        <v/>
      </c>
      <c r="R607" s="43">
        <f>ROUND((Q607*L607)/1000, 2)</f>
        <v/>
      </c>
      <c r="S607" s="44">
        <f>IF($C$8&gt;0, R607/$C$8, 0)</f>
        <v/>
      </c>
      <c r="T607" s="44">
        <f>IF(O607&gt;0, Q607/O607, 0)</f>
        <v/>
      </c>
      <c r="U607" s="12">
        <f>IF(Q607=0, "Exceeds Limit", IF(P607&lt;=O607, "Weight Limited", "Volume Limited"))</f>
        <v/>
      </c>
    </row>
    <row r="608" ht="19" customHeight="1">
      <c r="A608" s="45" t="n">
        <v>598</v>
      </c>
      <c r="B608" s="50" t="inlineStr">
        <is>
          <t>Stainless Steel 316</t>
        </is>
      </c>
      <c r="C608" s="19" t="inlineStr">
        <is>
          <t>ASME B36.19M</t>
        </is>
      </c>
      <c r="D608" s="18" t="inlineStr">
        <is>
          <t>5''</t>
        </is>
      </c>
      <c r="E608" s="45" t="n">
        <v>125</v>
      </c>
      <c r="F608" s="18" t="inlineStr">
        <is>
          <t>STD</t>
        </is>
      </c>
      <c r="G608" s="20" t="n">
        <v>5.563</v>
      </c>
      <c r="H608" s="47" t="n">
        <v>141.3</v>
      </c>
      <c r="I608" s="20" t="n">
        <v>0.258</v>
      </c>
      <c r="J608" s="47" t="n">
        <v>6.55</v>
      </c>
      <c r="K608" s="20">
        <f>ROUND((H608-J608)*J608*IF(B608="Carbon Steel",$K$7,IF(B608="Stainless Steel 304",$K$8,$L$8)), 3)</f>
        <v/>
      </c>
      <c r="L608" s="47">
        <f>ROUND(K608*$G$5, 2)</f>
        <v/>
      </c>
      <c r="M608" s="45">
        <f>INT($G$6/H608)</f>
        <v/>
      </c>
      <c r="N608" s="45">
        <f>IF(M608=0, 0, IF(OR($K$6="Square Grid", M608=1), INT($G$7/H608), IF($G$7&lt;H608, 0, 1+INT(($G$7-H608)/(0.8660254*H608)))))</f>
        <v/>
      </c>
      <c r="O608" s="48">
        <f>IF(OR(M608=0,N608=0), 0, IF(OR($K$6="Square Grid", M608=1), M608*N608*$K$5, (INT((N608+1)/2)*M608 + INT(N608/2)*IF(($G$6-M608*H608)&gt;=0.5*H608, M608, M608-1))*$K$5))</f>
        <v/>
      </c>
      <c r="P608" s="48">
        <f>IF(L608&lt;=0, 0, INT($G$8/L608))</f>
        <v/>
      </c>
      <c r="Q608" s="42">
        <f>MIN(O608, P608)</f>
        <v/>
      </c>
      <c r="R608" s="43">
        <f>ROUND((Q608*L608)/1000, 2)</f>
        <v/>
      </c>
      <c r="S608" s="49">
        <f>IF($C$8&gt;0, R608/$C$8, 0)</f>
        <v/>
      </c>
      <c r="T608" s="49">
        <f>IF(O608&gt;0, Q608/O608, 0)</f>
        <v/>
      </c>
      <c r="U608" s="18">
        <f>IF(Q608=0, "Exceeds Limit", IF(P608&lt;=O608, "Weight Limited", "Volume Limited"))</f>
        <v/>
      </c>
    </row>
    <row r="609" ht="19" customHeight="1">
      <c r="A609" s="38" t="n">
        <v>599</v>
      </c>
      <c r="B609" s="51" t="inlineStr">
        <is>
          <t>Stainless Steel 316</t>
        </is>
      </c>
      <c r="C609" s="13" t="inlineStr">
        <is>
          <t>ASME B36.19M</t>
        </is>
      </c>
      <c r="D609" s="12" t="inlineStr">
        <is>
          <t>5''</t>
        </is>
      </c>
      <c r="E609" s="38" t="n">
        <v>125</v>
      </c>
      <c r="F609" s="12" t="inlineStr">
        <is>
          <t>XS</t>
        </is>
      </c>
      <c r="G609" s="14" t="n">
        <v>5.563</v>
      </c>
      <c r="H609" s="40" t="n">
        <v>141.3</v>
      </c>
      <c r="I609" s="14" t="n">
        <v>0.375</v>
      </c>
      <c r="J609" s="40" t="n">
        <v>9.52</v>
      </c>
      <c r="K609" s="14">
        <f>ROUND((H609-J609)*J609*IF(B609="Carbon Steel",$K$7,IF(B609="Stainless Steel 304",$K$8,$L$8)), 3)</f>
        <v/>
      </c>
      <c r="L609" s="40">
        <f>ROUND(K609*$G$5, 2)</f>
        <v/>
      </c>
      <c r="M609" s="38">
        <f>INT($G$6/H609)</f>
        <v/>
      </c>
      <c r="N609" s="38">
        <f>IF(M609=0, 0, IF(OR($K$6="Square Grid", M609=1), INT($G$7/H609), IF($G$7&lt;H609, 0, 1+INT(($G$7-H609)/(0.8660254*H609)))))</f>
        <v/>
      </c>
      <c r="O609" s="41">
        <f>IF(OR(M609=0,N609=0), 0, IF(OR($K$6="Square Grid", M609=1), M609*N609*$K$5, (INT((N609+1)/2)*M609 + INT(N609/2)*IF(($G$6-M609*H609)&gt;=0.5*H609, M609, M609-1))*$K$5))</f>
        <v/>
      </c>
      <c r="P609" s="41">
        <f>IF(L609&lt;=0, 0, INT($G$8/L609))</f>
        <v/>
      </c>
      <c r="Q609" s="42">
        <f>MIN(O609, P609)</f>
        <v/>
      </c>
      <c r="R609" s="43">
        <f>ROUND((Q609*L609)/1000, 2)</f>
        <v/>
      </c>
      <c r="S609" s="44">
        <f>IF($C$8&gt;0, R609/$C$8, 0)</f>
        <v/>
      </c>
      <c r="T609" s="44">
        <f>IF(O609&gt;0, Q609/O609, 0)</f>
        <v/>
      </c>
      <c r="U609" s="12">
        <f>IF(Q609=0, "Exceeds Limit", IF(P609&lt;=O609, "Weight Limited", "Volume Limited"))</f>
        <v/>
      </c>
    </row>
    <row r="610" ht="19" customHeight="1">
      <c r="A610" s="45" t="n">
        <v>600</v>
      </c>
      <c r="B610" s="50" t="inlineStr">
        <is>
          <t>Stainless Steel 316</t>
        </is>
      </c>
      <c r="C610" s="19" t="inlineStr">
        <is>
          <t>ASME B36.19M</t>
        </is>
      </c>
      <c r="D610" s="18" t="inlineStr">
        <is>
          <t>5''</t>
        </is>
      </c>
      <c r="E610" s="45" t="n">
        <v>125</v>
      </c>
      <c r="F610" s="18" t="inlineStr">
        <is>
          <t>160</t>
        </is>
      </c>
      <c r="G610" s="20" t="n">
        <v>5.563</v>
      </c>
      <c r="H610" s="47" t="n">
        <v>141.3</v>
      </c>
      <c r="I610" s="20" t="n">
        <v>0.625</v>
      </c>
      <c r="J610" s="47" t="n">
        <v>15.88</v>
      </c>
      <c r="K610" s="20">
        <f>ROUND((H610-J610)*J610*IF(B610="Carbon Steel",$K$7,IF(B610="Stainless Steel 304",$K$8,$L$8)), 3)</f>
        <v/>
      </c>
      <c r="L610" s="47">
        <f>ROUND(K610*$G$5, 2)</f>
        <v/>
      </c>
      <c r="M610" s="45">
        <f>INT($G$6/H610)</f>
        <v/>
      </c>
      <c r="N610" s="45">
        <f>IF(M610=0, 0, IF(OR($K$6="Square Grid", M610=1), INT($G$7/H610), IF($G$7&lt;H610, 0, 1+INT(($G$7-H610)/(0.8660254*H610)))))</f>
        <v/>
      </c>
      <c r="O610" s="48">
        <f>IF(OR(M610=0,N610=0), 0, IF(OR($K$6="Square Grid", M610=1), M610*N610*$K$5, (INT((N610+1)/2)*M610 + INT(N610/2)*IF(($G$6-M610*H610)&gt;=0.5*H610, M610, M610-1))*$K$5))</f>
        <v/>
      </c>
      <c r="P610" s="48">
        <f>IF(L610&lt;=0, 0, INT($G$8/L610))</f>
        <v/>
      </c>
      <c r="Q610" s="42">
        <f>MIN(O610, P610)</f>
        <v/>
      </c>
      <c r="R610" s="43">
        <f>ROUND((Q610*L610)/1000, 2)</f>
        <v/>
      </c>
      <c r="S610" s="49">
        <f>IF($C$8&gt;0, R610/$C$8, 0)</f>
        <v/>
      </c>
      <c r="T610" s="49">
        <f>IF(O610&gt;0, Q610/O610, 0)</f>
        <v/>
      </c>
      <c r="U610" s="18">
        <f>IF(Q610=0, "Exceeds Limit", IF(P610&lt;=O610, "Weight Limited", "Volume Limited"))</f>
        <v/>
      </c>
    </row>
    <row r="611" ht="19" customHeight="1">
      <c r="A611" s="38" t="n">
        <v>601</v>
      </c>
      <c r="B611" s="51" t="inlineStr">
        <is>
          <t>Stainless Steel 316</t>
        </is>
      </c>
      <c r="C611" s="13" t="inlineStr">
        <is>
          <t>ASME B36.19M</t>
        </is>
      </c>
      <c r="D611" s="12" t="inlineStr">
        <is>
          <t>5''</t>
        </is>
      </c>
      <c r="E611" s="38" t="n">
        <v>125</v>
      </c>
      <c r="F611" s="12" t="inlineStr">
        <is>
          <t>XXS</t>
        </is>
      </c>
      <c r="G611" s="14" t="n">
        <v>5.563</v>
      </c>
      <c r="H611" s="40" t="n">
        <v>141.3</v>
      </c>
      <c r="I611" s="14" t="n">
        <v>0.75</v>
      </c>
      <c r="J611" s="40" t="n">
        <v>19.05</v>
      </c>
      <c r="K611" s="14">
        <f>ROUND((H611-J611)*J611*IF(B611="Carbon Steel",$K$7,IF(B611="Stainless Steel 304",$K$8,$L$8)), 3)</f>
        <v/>
      </c>
      <c r="L611" s="40">
        <f>ROUND(K611*$G$5, 2)</f>
        <v/>
      </c>
      <c r="M611" s="38">
        <f>INT($G$6/H611)</f>
        <v/>
      </c>
      <c r="N611" s="38">
        <f>IF(M611=0, 0, IF(OR($K$6="Square Grid", M611=1), INT($G$7/H611), IF($G$7&lt;H611, 0, 1+INT(($G$7-H611)/(0.8660254*H611)))))</f>
        <v/>
      </c>
      <c r="O611" s="41">
        <f>IF(OR(M611=0,N611=0), 0, IF(OR($K$6="Square Grid", M611=1), M611*N611*$K$5, (INT((N611+1)/2)*M611 + INT(N611/2)*IF(($G$6-M611*H611)&gt;=0.5*H611, M611, M611-1))*$K$5))</f>
        <v/>
      </c>
      <c r="P611" s="41">
        <f>IF(L611&lt;=0, 0, INT($G$8/L611))</f>
        <v/>
      </c>
      <c r="Q611" s="42">
        <f>MIN(O611, P611)</f>
        <v/>
      </c>
      <c r="R611" s="43">
        <f>ROUND((Q611*L611)/1000, 2)</f>
        <v/>
      </c>
      <c r="S611" s="44">
        <f>IF($C$8&gt;0, R611/$C$8, 0)</f>
        <v/>
      </c>
      <c r="T611" s="44">
        <f>IF(O611&gt;0, Q611/O611, 0)</f>
        <v/>
      </c>
      <c r="U611" s="12">
        <f>IF(Q611=0, "Exceeds Limit", IF(P611&lt;=O611, "Weight Limited", "Volume Limited"))</f>
        <v/>
      </c>
    </row>
    <row r="612" ht="19" customHeight="1">
      <c r="A612" s="45" t="n">
        <v>602</v>
      </c>
      <c r="B612" s="50" t="inlineStr">
        <is>
          <t>Stainless Steel 316</t>
        </is>
      </c>
      <c r="C612" s="19" t="inlineStr">
        <is>
          <t>ASME B36.19M</t>
        </is>
      </c>
      <c r="D612" s="18" t="inlineStr">
        <is>
          <t>6''</t>
        </is>
      </c>
      <c r="E612" s="45" t="n">
        <v>150</v>
      </c>
      <c r="F612" s="18" t="inlineStr">
        <is>
          <t>5S</t>
        </is>
      </c>
      <c r="G612" s="20" t="n">
        <v>6.625</v>
      </c>
      <c r="H612" s="47" t="n">
        <v>168.27</v>
      </c>
      <c r="I612" s="20" t="n">
        <v>0.109</v>
      </c>
      <c r="J612" s="47" t="n">
        <v>2.77</v>
      </c>
      <c r="K612" s="20">
        <f>ROUND((H612-J612)*J612*IF(B612="Carbon Steel",$K$7,IF(B612="Stainless Steel 304",$K$8,$L$8)), 3)</f>
        <v/>
      </c>
      <c r="L612" s="47">
        <f>ROUND(K612*$G$5, 2)</f>
        <v/>
      </c>
      <c r="M612" s="45">
        <f>INT($G$6/H612)</f>
        <v/>
      </c>
      <c r="N612" s="45">
        <f>IF(M612=0, 0, IF(OR($K$6="Square Grid", M612=1), INT($G$7/H612), IF($G$7&lt;H612, 0, 1+INT(($G$7-H612)/(0.8660254*H612)))))</f>
        <v/>
      </c>
      <c r="O612" s="48">
        <f>IF(OR(M612=0,N612=0), 0, IF(OR($K$6="Square Grid", M612=1), M612*N612*$K$5, (INT((N612+1)/2)*M612 + INT(N612/2)*IF(($G$6-M612*H612)&gt;=0.5*H612, M612, M612-1))*$K$5))</f>
        <v/>
      </c>
      <c r="P612" s="48">
        <f>IF(L612&lt;=0, 0, INT($G$8/L612))</f>
        <v/>
      </c>
      <c r="Q612" s="42">
        <f>MIN(O612, P612)</f>
        <v/>
      </c>
      <c r="R612" s="43">
        <f>ROUND((Q612*L612)/1000, 2)</f>
        <v/>
      </c>
      <c r="S612" s="49">
        <f>IF($C$8&gt;0, R612/$C$8, 0)</f>
        <v/>
      </c>
      <c r="T612" s="49">
        <f>IF(O612&gt;0, Q612/O612, 0)</f>
        <v/>
      </c>
      <c r="U612" s="18">
        <f>IF(Q612=0, "Exceeds Limit", IF(P612&lt;=O612, "Weight Limited", "Volume Limited"))</f>
        <v/>
      </c>
    </row>
    <row r="613" ht="19" customHeight="1">
      <c r="A613" s="38" t="n">
        <v>603</v>
      </c>
      <c r="B613" s="51" t="inlineStr">
        <is>
          <t>Stainless Steel 316</t>
        </is>
      </c>
      <c r="C613" s="13" t="inlineStr">
        <is>
          <t>ASME B36.19M</t>
        </is>
      </c>
      <c r="D613" s="12" t="inlineStr">
        <is>
          <t>6''</t>
        </is>
      </c>
      <c r="E613" s="38" t="n">
        <v>150</v>
      </c>
      <c r="F613" s="12" t="inlineStr">
        <is>
          <t>10S</t>
        </is>
      </c>
      <c r="G613" s="14" t="n">
        <v>6.625</v>
      </c>
      <c r="H613" s="40" t="n">
        <v>168.27</v>
      </c>
      <c r="I613" s="14" t="n">
        <v>0.134</v>
      </c>
      <c r="J613" s="40" t="n">
        <v>3.4</v>
      </c>
      <c r="K613" s="14">
        <f>ROUND((H613-J613)*J613*IF(B613="Carbon Steel",$K$7,IF(B613="Stainless Steel 304",$K$8,$L$8)), 3)</f>
        <v/>
      </c>
      <c r="L613" s="40">
        <f>ROUND(K613*$G$5, 2)</f>
        <v/>
      </c>
      <c r="M613" s="38">
        <f>INT($G$6/H613)</f>
        <v/>
      </c>
      <c r="N613" s="38">
        <f>IF(M613=0, 0, IF(OR($K$6="Square Grid", M613=1), INT($G$7/H613), IF($G$7&lt;H613, 0, 1+INT(($G$7-H613)/(0.8660254*H613)))))</f>
        <v/>
      </c>
      <c r="O613" s="41">
        <f>IF(OR(M613=0,N613=0), 0, IF(OR($K$6="Square Grid", M613=1), M613*N613*$K$5, (INT((N613+1)/2)*M613 + INT(N613/2)*IF(($G$6-M613*H613)&gt;=0.5*H613, M613, M613-1))*$K$5))</f>
        <v/>
      </c>
      <c r="P613" s="41">
        <f>IF(L613&lt;=0, 0, INT($G$8/L613))</f>
        <v/>
      </c>
      <c r="Q613" s="42">
        <f>MIN(O613, P613)</f>
        <v/>
      </c>
      <c r="R613" s="43">
        <f>ROUND((Q613*L613)/1000, 2)</f>
        <v/>
      </c>
      <c r="S613" s="44">
        <f>IF($C$8&gt;0, R613/$C$8, 0)</f>
        <v/>
      </c>
      <c r="T613" s="44">
        <f>IF(O613&gt;0, Q613/O613, 0)</f>
        <v/>
      </c>
      <c r="U613" s="12">
        <f>IF(Q613=0, "Exceeds Limit", IF(P613&lt;=O613, "Weight Limited", "Volume Limited"))</f>
        <v/>
      </c>
    </row>
    <row r="614" ht="19" customHeight="1">
      <c r="A614" s="45" t="n">
        <v>604</v>
      </c>
      <c r="B614" s="50" t="inlineStr">
        <is>
          <t>Stainless Steel 316</t>
        </is>
      </c>
      <c r="C614" s="19" t="inlineStr">
        <is>
          <t>ASME B36.19M</t>
        </is>
      </c>
      <c r="D614" s="18" t="inlineStr">
        <is>
          <t>6''</t>
        </is>
      </c>
      <c r="E614" s="45" t="n">
        <v>150</v>
      </c>
      <c r="F614" s="18" t="inlineStr">
        <is>
          <t>40S</t>
        </is>
      </c>
      <c r="G614" s="20" t="n">
        <v>6.625</v>
      </c>
      <c r="H614" s="47" t="n">
        <v>168.27</v>
      </c>
      <c r="I614" s="20" t="n">
        <v>0.28</v>
      </c>
      <c r="J614" s="47" t="n">
        <v>7.11</v>
      </c>
      <c r="K614" s="20">
        <f>ROUND((H614-J614)*J614*IF(B614="Carbon Steel",$K$7,IF(B614="Stainless Steel 304",$K$8,$L$8)), 3)</f>
        <v/>
      </c>
      <c r="L614" s="47">
        <f>ROUND(K614*$G$5, 2)</f>
        <v/>
      </c>
      <c r="M614" s="45">
        <f>INT($G$6/H614)</f>
        <v/>
      </c>
      <c r="N614" s="45">
        <f>IF(M614=0, 0, IF(OR($K$6="Square Grid", M614=1), INT($G$7/H614), IF($G$7&lt;H614, 0, 1+INT(($G$7-H614)/(0.8660254*H614)))))</f>
        <v/>
      </c>
      <c r="O614" s="48">
        <f>IF(OR(M614=0,N614=0), 0, IF(OR($K$6="Square Grid", M614=1), M614*N614*$K$5, (INT((N614+1)/2)*M614 + INT(N614/2)*IF(($G$6-M614*H614)&gt;=0.5*H614, M614, M614-1))*$K$5))</f>
        <v/>
      </c>
      <c r="P614" s="48">
        <f>IF(L614&lt;=0, 0, INT($G$8/L614))</f>
        <v/>
      </c>
      <c r="Q614" s="42">
        <f>MIN(O614, P614)</f>
        <v/>
      </c>
      <c r="R614" s="43">
        <f>ROUND((Q614*L614)/1000, 2)</f>
        <v/>
      </c>
      <c r="S614" s="49">
        <f>IF($C$8&gt;0, R614/$C$8, 0)</f>
        <v/>
      </c>
      <c r="T614" s="49">
        <f>IF(O614&gt;0, Q614/O614, 0)</f>
        <v/>
      </c>
      <c r="U614" s="18">
        <f>IF(Q614=0, "Exceeds Limit", IF(P614&lt;=O614, "Weight Limited", "Volume Limited"))</f>
        <v/>
      </c>
    </row>
    <row r="615" ht="19" customHeight="1">
      <c r="A615" s="38" t="n">
        <v>605</v>
      </c>
      <c r="B615" s="51" t="inlineStr">
        <is>
          <t>Stainless Steel 316</t>
        </is>
      </c>
      <c r="C615" s="13" t="inlineStr">
        <is>
          <t>ASME B36.19M</t>
        </is>
      </c>
      <c r="D615" s="12" t="inlineStr">
        <is>
          <t>6''</t>
        </is>
      </c>
      <c r="E615" s="38" t="n">
        <v>150</v>
      </c>
      <c r="F615" s="12" t="inlineStr">
        <is>
          <t>80S</t>
        </is>
      </c>
      <c r="G615" s="14" t="n">
        <v>6.625</v>
      </c>
      <c r="H615" s="40" t="n">
        <v>168.27</v>
      </c>
      <c r="I615" s="14" t="n">
        <v>0.432</v>
      </c>
      <c r="J615" s="40" t="n">
        <v>10.97</v>
      </c>
      <c r="K615" s="14">
        <f>ROUND((H615-J615)*J615*IF(B615="Carbon Steel",$K$7,IF(B615="Stainless Steel 304",$K$8,$L$8)), 3)</f>
        <v/>
      </c>
      <c r="L615" s="40">
        <f>ROUND(K615*$G$5, 2)</f>
        <v/>
      </c>
      <c r="M615" s="38">
        <f>INT($G$6/H615)</f>
        <v/>
      </c>
      <c r="N615" s="38">
        <f>IF(M615=0, 0, IF(OR($K$6="Square Grid", M615=1), INT($G$7/H615), IF($G$7&lt;H615, 0, 1+INT(($G$7-H615)/(0.8660254*H615)))))</f>
        <v/>
      </c>
      <c r="O615" s="41">
        <f>IF(OR(M615=0,N615=0), 0, IF(OR($K$6="Square Grid", M615=1), M615*N615*$K$5, (INT((N615+1)/2)*M615 + INT(N615/2)*IF(($G$6-M615*H615)&gt;=0.5*H615, M615, M615-1))*$K$5))</f>
        <v/>
      </c>
      <c r="P615" s="41">
        <f>IF(L615&lt;=0, 0, INT($G$8/L615))</f>
        <v/>
      </c>
      <c r="Q615" s="42">
        <f>MIN(O615, P615)</f>
        <v/>
      </c>
      <c r="R615" s="43">
        <f>ROUND((Q615*L615)/1000, 2)</f>
        <v/>
      </c>
      <c r="S615" s="44">
        <f>IF($C$8&gt;0, R615/$C$8, 0)</f>
        <v/>
      </c>
      <c r="T615" s="44">
        <f>IF(O615&gt;0, Q615/O615, 0)</f>
        <v/>
      </c>
      <c r="U615" s="12">
        <f>IF(Q615=0, "Exceeds Limit", IF(P615&lt;=O615, "Weight Limited", "Volume Limited"))</f>
        <v/>
      </c>
    </row>
    <row r="616" ht="19" customHeight="1">
      <c r="A616" s="45" t="n">
        <v>606</v>
      </c>
      <c r="B616" s="50" t="inlineStr">
        <is>
          <t>Stainless Steel 316</t>
        </is>
      </c>
      <c r="C616" s="19" t="inlineStr">
        <is>
          <t>ASME B36.19M</t>
        </is>
      </c>
      <c r="D616" s="18" t="inlineStr">
        <is>
          <t>6''</t>
        </is>
      </c>
      <c r="E616" s="45" t="n">
        <v>150</v>
      </c>
      <c r="F616" s="18" t="inlineStr">
        <is>
          <t>STD</t>
        </is>
      </c>
      <c r="G616" s="20" t="n">
        <v>6.625</v>
      </c>
      <c r="H616" s="47" t="n">
        <v>168.27</v>
      </c>
      <c r="I616" s="20" t="n">
        <v>0.28</v>
      </c>
      <c r="J616" s="47" t="n">
        <v>7.11</v>
      </c>
      <c r="K616" s="20">
        <f>ROUND((H616-J616)*J616*IF(B616="Carbon Steel",$K$7,IF(B616="Stainless Steel 304",$K$8,$L$8)), 3)</f>
        <v/>
      </c>
      <c r="L616" s="47">
        <f>ROUND(K616*$G$5, 2)</f>
        <v/>
      </c>
      <c r="M616" s="45">
        <f>INT($G$6/H616)</f>
        <v/>
      </c>
      <c r="N616" s="45">
        <f>IF(M616=0, 0, IF(OR($K$6="Square Grid", M616=1), INT($G$7/H616), IF($G$7&lt;H616, 0, 1+INT(($G$7-H616)/(0.8660254*H616)))))</f>
        <v/>
      </c>
      <c r="O616" s="48">
        <f>IF(OR(M616=0,N616=0), 0, IF(OR($K$6="Square Grid", M616=1), M616*N616*$K$5, (INT((N616+1)/2)*M616 + INT(N616/2)*IF(($G$6-M616*H616)&gt;=0.5*H616, M616, M616-1))*$K$5))</f>
        <v/>
      </c>
      <c r="P616" s="48">
        <f>IF(L616&lt;=0, 0, INT($G$8/L616))</f>
        <v/>
      </c>
      <c r="Q616" s="42">
        <f>MIN(O616, P616)</f>
        <v/>
      </c>
      <c r="R616" s="43">
        <f>ROUND((Q616*L616)/1000, 2)</f>
        <v/>
      </c>
      <c r="S616" s="49">
        <f>IF($C$8&gt;0, R616/$C$8, 0)</f>
        <v/>
      </c>
      <c r="T616" s="49">
        <f>IF(O616&gt;0, Q616/O616, 0)</f>
        <v/>
      </c>
      <c r="U616" s="18">
        <f>IF(Q616=0, "Exceeds Limit", IF(P616&lt;=O616, "Weight Limited", "Volume Limited"))</f>
        <v/>
      </c>
    </row>
    <row r="617" ht="19" customHeight="1">
      <c r="A617" s="38" t="n">
        <v>607</v>
      </c>
      <c r="B617" s="51" t="inlineStr">
        <is>
          <t>Stainless Steel 316</t>
        </is>
      </c>
      <c r="C617" s="13" t="inlineStr">
        <is>
          <t>ASME B36.19M</t>
        </is>
      </c>
      <c r="D617" s="12" t="inlineStr">
        <is>
          <t>6''</t>
        </is>
      </c>
      <c r="E617" s="38" t="n">
        <v>150</v>
      </c>
      <c r="F617" s="12" t="inlineStr">
        <is>
          <t>XS</t>
        </is>
      </c>
      <c r="G617" s="14" t="n">
        <v>6.625</v>
      </c>
      <c r="H617" s="40" t="n">
        <v>168.27</v>
      </c>
      <c r="I617" s="14" t="n">
        <v>0.432</v>
      </c>
      <c r="J617" s="40" t="n">
        <v>10.97</v>
      </c>
      <c r="K617" s="14">
        <f>ROUND((H617-J617)*J617*IF(B617="Carbon Steel",$K$7,IF(B617="Stainless Steel 304",$K$8,$L$8)), 3)</f>
        <v/>
      </c>
      <c r="L617" s="40">
        <f>ROUND(K617*$G$5, 2)</f>
        <v/>
      </c>
      <c r="M617" s="38">
        <f>INT($G$6/H617)</f>
        <v/>
      </c>
      <c r="N617" s="38">
        <f>IF(M617=0, 0, IF(OR($K$6="Square Grid", M617=1), INT($G$7/H617), IF($G$7&lt;H617, 0, 1+INT(($G$7-H617)/(0.8660254*H617)))))</f>
        <v/>
      </c>
      <c r="O617" s="41">
        <f>IF(OR(M617=0,N617=0), 0, IF(OR($K$6="Square Grid", M617=1), M617*N617*$K$5, (INT((N617+1)/2)*M617 + INT(N617/2)*IF(($G$6-M617*H617)&gt;=0.5*H617, M617, M617-1))*$K$5))</f>
        <v/>
      </c>
      <c r="P617" s="41">
        <f>IF(L617&lt;=0, 0, INT($G$8/L617))</f>
        <v/>
      </c>
      <c r="Q617" s="42">
        <f>MIN(O617, P617)</f>
        <v/>
      </c>
      <c r="R617" s="43">
        <f>ROUND((Q617*L617)/1000, 2)</f>
        <v/>
      </c>
      <c r="S617" s="44">
        <f>IF($C$8&gt;0, R617/$C$8, 0)</f>
        <v/>
      </c>
      <c r="T617" s="44">
        <f>IF(O617&gt;0, Q617/O617, 0)</f>
        <v/>
      </c>
      <c r="U617" s="12">
        <f>IF(Q617=0, "Exceeds Limit", IF(P617&lt;=O617, "Weight Limited", "Volume Limited"))</f>
        <v/>
      </c>
    </row>
    <row r="618" ht="19" customHeight="1">
      <c r="A618" s="45" t="n">
        <v>608</v>
      </c>
      <c r="B618" s="50" t="inlineStr">
        <is>
          <t>Stainless Steel 316</t>
        </is>
      </c>
      <c r="C618" s="19" t="inlineStr">
        <is>
          <t>ASME B36.19M</t>
        </is>
      </c>
      <c r="D618" s="18" t="inlineStr">
        <is>
          <t>6''</t>
        </is>
      </c>
      <c r="E618" s="45" t="n">
        <v>150</v>
      </c>
      <c r="F618" s="18" t="inlineStr">
        <is>
          <t>160</t>
        </is>
      </c>
      <c r="G618" s="20" t="n">
        <v>6.625</v>
      </c>
      <c r="H618" s="47" t="n">
        <v>168.27</v>
      </c>
      <c r="I618" s="20" t="n">
        <v>0.719</v>
      </c>
      <c r="J618" s="47" t="n">
        <v>18.26</v>
      </c>
      <c r="K618" s="20">
        <f>ROUND((H618-J618)*J618*IF(B618="Carbon Steel",$K$7,IF(B618="Stainless Steel 304",$K$8,$L$8)), 3)</f>
        <v/>
      </c>
      <c r="L618" s="47">
        <f>ROUND(K618*$G$5, 2)</f>
        <v/>
      </c>
      <c r="M618" s="45">
        <f>INT($G$6/H618)</f>
        <v/>
      </c>
      <c r="N618" s="45">
        <f>IF(M618=0, 0, IF(OR($K$6="Square Grid", M618=1), INT($G$7/H618), IF($G$7&lt;H618, 0, 1+INT(($G$7-H618)/(0.8660254*H618)))))</f>
        <v/>
      </c>
      <c r="O618" s="48">
        <f>IF(OR(M618=0,N618=0), 0, IF(OR($K$6="Square Grid", M618=1), M618*N618*$K$5, (INT((N618+1)/2)*M618 + INT(N618/2)*IF(($G$6-M618*H618)&gt;=0.5*H618, M618, M618-1))*$K$5))</f>
        <v/>
      </c>
      <c r="P618" s="48">
        <f>IF(L618&lt;=0, 0, INT($G$8/L618))</f>
        <v/>
      </c>
      <c r="Q618" s="42">
        <f>MIN(O618, P618)</f>
        <v/>
      </c>
      <c r="R618" s="43">
        <f>ROUND((Q618*L618)/1000, 2)</f>
        <v/>
      </c>
      <c r="S618" s="49">
        <f>IF($C$8&gt;0, R618/$C$8, 0)</f>
        <v/>
      </c>
      <c r="T618" s="49">
        <f>IF(O618&gt;0, Q618/O618, 0)</f>
        <v/>
      </c>
      <c r="U618" s="18">
        <f>IF(Q618=0, "Exceeds Limit", IF(P618&lt;=O618, "Weight Limited", "Volume Limited"))</f>
        <v/>
      </c>
    </row>
    <row r="619" ht="19" customHeight="1">
      <c r="A619" s="38" t="n">
        <v>609</v>
      </c>
      <c r="B619" s="51" t="inlineStr">
        <is>
          <t>Stainless Steel 316</t>
        </is>
      </c>
      <c r="C619" s="13" t="inlineStr">
        <is>
          <t>ASME B36.19M</t>
        </is>
      </c>
      <c r="D619" s="12" t="inlineStr">
        <is>
          <t>6''</t>
        </is>
      </c>
      <c r="E619" s="38" t="n">
        <v>150</v>
      </c>
      <c r="F619" s="12" t="inlineStr">
        <is>
          <t>XXS</t>
        </is>
      </c>
      <c r="G619" s="14" t="n">
        <v>6.625</v>
      </c>
      <c r="H619" s="40" t="n">
        <v>168.27</v>
      </c>
      <c r="I619" s="14" t="n">
        <v>0.864</v>
      </c>
      <c r="J619" s="40" t="n">
        <v>21.95</v>
      </c>
      <c r="K619" s="14">
        <f>ROUND((H619-J619)*J619*IF(B619="Carbon Steel",$K$7,IF(B619="Stainless Steel 304",$K$8,$L$8)), 3)</f>
        <v/>
      </c>
      <c r="L619" s="40">
        <f>ROUND(K619*$G$5, 2)</f>
        <v/>
      </c>
      <c r="M619" s="38">
        <f>INT($G$6/H619)</f>
        <v/>
      </c>
      <c r="N619" s="38">
        <f>IF(M619=0, 0, IF(OR($K$6="Square Grid", M619=1), INT($G$7/H619), IF($G$7&lt;H619, 0, 1+INT(($G$7-H619)/(0.8660254*H619)))))</f>
        <v/>
      </c>
      <c r="O619" s="41">
        <f>IF(OR(M619=0,N619=0), 0, IF(OR($K$6="Square Grid", M619=1), M619*N619*$K$5, (INT((N619+1)/2)*M619 + INT(N619/2)*IF(($G$6-M619*H619)&gt;=0.5*H619, M619, M619-1))*$K$5))</f>
        <v/>
      </c>
      <c r="P619" s="41">
        <f>IF(L619&lt;=0, 0, INT($G$8/L619))</f>
        <v/>
      </c>
      <c r="Q619" s="42">
        <f>MIN(O619, P619)</f>
        <v/>
      </c>
      <c r="R619" s="43">
        <f>ROUND((Q619*L619)/1000, 2)</f>
        <v/>
      </c>
      <c r="S619" s="44">
        <f>IF($C$8&gt;0, R619/$C$8, 0)</f>
        <v/>
      </c>
      <c r="T619" s="44">
        <f>IF(O619&gt;0, Q619/O619, 0)</f>
        <v/>
      </c>
      <c r="U619" s="12">
        <f>IF(Q619=0, "Exceeds Limit", IF(P619&lt;=O619, "Weight Limited", "Volume Limited"))</f>
        <v/>
      </c>
    </row>
    <row r="620" ht="19" customHeight="1">
      <c r="A620" s="45" t="n">
        <v>610</v>
      </c>
      <c r="B620" s="50" t="inlineStr">
        <is>
          <t>Stainless Steel 316</t>
        </is>
      </c>
      <c r="C620" s="19" t="inlineStr">
        <is>
          <t>ASME B36.19M</t>
        </is>
      </c>
      <c r="D620" s="18" t="inlineStr">
        <is>
          <t>8''</t>
        </is>
      </c>
      <c r="E620" s="45" t="n">
        <v>200</v>
      </c>
      <c r="F620" s="18" t="inlineStr">
        <is>
          <t>5S</t>
        </is>
      </c>
      <c r="G620" s="20" t="n">
        <v>8.625</v>
      </c>
      <c r="H620" s="47" t="n">
        <v>219.07</v>
      </c>
      <c r="I620" s="20" t="n">
        <v>0.109</v>
      </c>
      <c r="J620" s="47" t="n">
        <v>2.77</v>
      </c>
      <c r="K620" s="20">
        <f>ROUND((H620-J620)*J620*IF(B620="Carbon Steel",$K$7,IF(B620="Stainless Steel 304",$K$8,$L$8)), 3)</f>
        <v/>
      </c>
      <c r="L620" s="47">
        <f>ROUND(K620*$G$5, 2)</f>
        <v/>
      </c>
      <c r="M620" s="45">
        <f>INT($G$6/H620)</f>
        <v/>
      </c>
      <c r="N620" s="45">
        <f>IF(M620=0, 0, IF(OR($K$6="Square Grid", M620=1), INT($G$7/H620), IF($G$7&lt;H620, 0, 1+INT(($G$7-H620)/(0.8660254*H620)))))</f>
        <v/>
      </c>
      <c r="O620" s="48">
        <f>IF(OR(M620=0,N620=0), 0, IF(OR($K$6="Square Grid", M620=1), M620*N620*$K$5, (INT((N620+1)/2)*M620 + INT(N620/2)*IF(($G$6-M620*H620)&gt;=0.5*H620, M620, M620-1))*$K$5))</f>
        <v/>
      </c>
      <c r="P620" s="48">
        <f>IF(L620&lt;=0, 0, INT($G$8/L620))</f>
        <v/>
      </c>
      <c r="Q620" s="42">
        <f>MIN(O620, P620)</f>
        <v/>
      </c>
      <c r="R620" s="43">
        <f>ROUND((Q620*L620)/1000, 2)</f>
        <v/>
      </c>
      <c r="S620" s="49">
        <f>IF($C$8&gt;0, R620/$C$8, 0)</f>
        <v/>
      </c>
      <c r="T620" s="49">
        <f>IF(O620&gt;0, Q620/O620, 0)</f>
        <v/>
      </c>
      <c r="U620" s="18">
        <f>IF(Q620=0, "Exceeds Limit", IF(P620&lt;=O620, "Weight Limited", "Volume Limited"))</f>
        <v/>
      </c>
    </row>
    <row r="621" ht="19" customHeight="1">
      <c r="A621" s="38" t="n">
        <v>611</v>
      </c>
      <c r="B621" s="51" t="inlineStr">
        <is>
          <t>Stainless Steel 316</t>
        </is>
      </c>
      <c r="C621" s="13" t="inlineStr">
        <is>
          <t>ASME B36.19M</t>
        </is>
      </c>
      <c r="D621" s="12" t="inlineStr">
        <is>
          <t>8''</t>
        </is>
      </c>
      <c r="E621" s="38" t="n">
        <v>200</v>
      </c>
      <c r="F621" s="12" t="inlineStr">
        <is>
          <t>10S</t>
        </is>
      </c>
      <c r="G621" s="14" t="n">
        <v>8.625</v>
      </c>
      <c r="H621" s="40" t="n">
        <v>219.07</v>
      </c>
      <c r="I621" s="14" t="n">
        <v>0.148</v>
      </c>
      <c r="J621" s="40" t="n">
        <v>3.76</v>
      </c>
      <c r="K621" s="14">
        <f>ROUND((H621-J621)*J621*IF(B621="Carbon Steel",$K$7,IF(B621="Stainless Steel 304",$K$8,$L$8)), 3)</f>
        <v/>
      </c>
      <c r="L621" s="40">
        <f>ROUND(K621*$G$5, 2)</f>
        <v/>
      </c>
      <c r="M621" s="38">
        <f>INT($G$6/H621)</f>
        <v/>
      </c>
      <c r="N621" s="38">
        <f>IF(M621=0, 0, IF(OR($K$6="Square Grid", M621=1), INT($G$7/H621), IF($G$7&lt;H621, 0, 1+INT(($G$7-H621)/(0.8660254*H621)))))</f>
        <v/>
      </c>
      <c r="O621" s="41">
        <f>IF(OR(M621=0,N621=0), 0, IF(OR($K$6="Square Grid", M621=1), M621*N621*$K$5, (INT((N621+1)/2)*M621 + INT(N621/2)*IF(($G$6-M621*H621)&gt;=0.5*H621, M621, M621-1))*$K$5))</f>
        <v/>
      </c>
      <c r="P621" s="41">
        <f>IF(L621&lt;=0, 0, INT($G$8/L621))</f>
        <v/>
      </c>
      <c r="Q621" s="42">
        <f>MIN(O621, P621)</f>
        <v/>
      </c>
      <c r="R621" s="43">
        <f>ROUND((Q621*L621)/1000, 2)</f>
        <v/>
      </c>
      <c r="S621" s="44">
        <f>IF($C$8&gt;0, R621/$C$8, 0)</f>
        <v/>
      </c>
      <c r="T621" s="44">
        <f>IF(O621&gt;0, Q621/O621, 0)</f>
        <v/>
      </c>
      <c r="U621" s="12">
        <f>IF(Q621=0, "Exceeds Limit", IF(P621&lt;=O621, "Weight Limited", "Volume Limited"))</f>
        <v/>
      </c>
    </row>
    <row r="622" ht="19" customHeight="1">
      <c r="A622" s="45" t="n">
        <v>612</v>
      </c>
      <c r="B622" s="50" t="inlineStr">
        <is>
          <t>Stainless Steel 316</t>
        </is>
      </c>
      <c r="C622" s="19" t="inlineStr">
        <is>
          <t>ASME B36.19M</t>
        </is>
      </c>
      <c r="D622" s="18" t="inlineStr">
        <is>
          <t>8''</t>
        </is>
      </c>
      <c r="E622" s="45" t="n">
        <v>200</v>
      </c>
      <c r="F622" s="18" t="inlineStr">
        <is>
          <t>40S</t>
        </is>
      </c>
      <c r="G622" s="20" t="n">
        <v>8.625</v>
      </c>
      <c r="H622" s="47" t="n">
        <v>219.07</v>
      </c>
      <c r="I622" s="20" t="n">
        <v>0.322</v>
      </c>
      <c r="J622" s="47" t="n">
        <v>8.18</v>
      </c>
      <c r="K622" s="20">
        <f>ROUND((H622-J622)*J622*IF(B622="Carbon Steel",$K$7,IF(B622="Stainless Steel 304",$K$8,$L$8)), 3)</f>
        <v/>
      </c>
      <c r="L622" s="47">
        <f>ROUND(K622*$G$5, 2)</f>
        <v/>
      </c>
      <c r="M622" s="45">
        <f>INT($G$6/H622)</f>
        <v/>
      </c>
      <c r="N622" s="45">
        <f>IF(M622=0, 0, IF(OR($K$6="Square Grid", M622=1), INT($G$7/H622), IF($G$7&lt;H622, 0, 1+INT(($G$7-H622)/(0.8660254*H622)))))</f>
        <v/>
      </c>
      <c r="O622" s="48">
        <f>IF(OR(M622=0,N622=0), 0, IF(OR($K$6="Square Grid", M622=1), M622*N622*$K$5, (INT((N622+1)/2)*M622 + INT(N622/2)*IF(($G$6-M622*H622)&gt;=0.5*H622, M622, M622-1))*$K$5))</f>
        <v/>
      </c>
      <c r="P622" s="48">
        <f>IF(L622&lt;=0, 0, INT($G$8/L622))</f>
        <v/>
      </c>
      <c r="Q622" s="42">
        <f>MIN(O622, P622)</f>
        <v/>
      </c>
      <c r="R622" s="43">
        <f>ROUND((Q622*L622)/1000, 2)</f>
        <v/>
      </c>
      <c r="S622" s="49">
        <f>IF($C$8&gt;0, R622/$C$8, 0)</f>
        <v/>
      </c>
      <c r="T622" s="49">
        <f>IF(O622&gt;0, Q622/O622, 0)</f>
        <v/>
      </c>
      <c r="U622" s="18">
        <f>IF(Q622=0, "Exceeds Limit", IF(P622&lt;=O622, "Weight Limited", "Volume Limited"))</f>
        <v/>
      </c>
    </row>
    <row r="623" ht="19" customHeight="1">
      <c r="A623" s="38" t="n">
        <v>613</v>
      </c>
      <c r="B623" s="51" t="inlineStr">
        <is>
          <t>Stainless Steel 316</t>
        </is>
      </c>
      <c r="C623" s="13" t="inlineStr">
        <is>
          <t>ASME B36.19M</t>
        </is>
      </c>
      <c r="D623" s="12" t="inlineStr">
        <is>
          <t>8''</t>
        </is>
      </c>
      <c r="E623" s="38" t="n">
        <v>200</v>
      </c>
      <c r="F623" s="12" t="inlineStr">
        <is>
          <t>80S</t>
        </is>
      </c>
      <c r="G623" s="14" t="n">
        <v>8.625</v>
      </c>
      <c r="H623" s="40" t="n">
        <v>219.07</v>
      </c>
      <c r="I623" s="14" t="n">
        <v>0.5</v>
      </c>
      <c r="J623" s="40" t="n">
        <v>12.7</v>
      </c>
      <c r="K623" s="14">
        <f>ROUND((H623-J623)*J623*IF(B623="Carbon Steel",$K$7,IF(B623="Stainless Steel 304",$K$8,$L$8)), 3)</f>
        <v/>
      </c>
      <c r="L623" s="40">
        <f>ROUND(K623*$G$5, 2)</f>
        <v/>
      </c>
      <c r="M623" s="38">
        <f>INT($G$6/H623)</f>
        <v/>
      </c>
      <c r="N623" s="38">
        <f>IF(M623=0, 0, IF(OR($K$6="Square Grid", M623=1), INT($G$7/H623), IF($G$7&lt;H623, 0, 1+INT(($G$7-H623)/(0.8660254*H623)))))</f>
        <v/>
      </c>
      <c r="O623" s="41">
        <f>IF(OR(M623=0,N623=0), 0, IF(OR($K$6="Square Grid", M623=1), M623*N623*$K$5, (INT((N623+1)/2)*M623 + INT(N623/2)*IF(($G$6-M623*H623)&gt;=0.5*H623, M623, M623-1))*$K$5))</f>
        <v/>
      </c>
      <c r="P623" s="41">
        <f>IF(L623&lt;=0, 0, INT($G$8/L623))</f>
        <v/>
      </c>
      <c r="Q623" s="42">
        <f>MIN(O623, P623)</f>
        <v/>
      </c>
      <c r="R623" s="43">
        <f>ROUND((Q623*L623)/1000, 2)</f>
        <v/>
      </c>
      <c r="S623" s="44">
        <f>IF($C$8&gt;0, R623/$C$8, 0)</f>
        <v/>
      </c>
      <c r="T623" s="44">
        <f>IF(O623&gt;0, Q623/O623, 0)</f>
        <v/>
      </c>
      <c r="U623" s="12">
        <f>IF(Q623=0, "Exceeds Limit", IF(P623&lt;=O623, "Weight Limited", "Volume Limited"))</f>
        <v/>
      </c>
    </row>
    <row r="624" ht="19" customHeight="1">
      <c r="A624" s="45" t="n">
        <v>614</v>
      </c>
      <c r="B624" s="50" t="inlineStr">
        <is>
          <t>Stainless Steel 316</t>
        </is>
      </c>
      <c r="C624" s="19" t="inlineStr">
        <is>
          <t>ASME B36.19M</t>
        </is>
      </c>
      <c r="D624" s="18" t="inlineStr">
        <is>
          <t>8''</t>
        </is>
      </c>
      <c r="E624" s="45" t="n">
        <v>200</v>
      </c>
      <c r="F624" s="18" t="inlineStr">
        <is>
          <t>STD</t>
        </is>
      </c>
      <c r="G624" s="20" t="n">
        <v>8.625</v>
      </c>
      <c r="H624" s="47" t="n">
        <v>219.07</v>
      </c>
      <c r="I624" s="20" t="n">
        <v>0.322</v>
      </c>
      <c r="J624" s="47" t="n">
        <v>8.18</v>
      </c>
      <c r="K624" s="20">
        <f>ROUND((H624-J624)*J624*IF(B624="Carbon Steel",$K$7,IF(B624="Stainless Steel 304",$K$8,$L$8)), 3)</f>
        <v/>
      </c>
      <c r="L624" s="47">
        <f>ROUND(K624*$G$5, 2)</f>
        <v/>
      </c>
      <c r="M624" s="45">
        <f>INT($G$6/H624)</f>
        <v/>
      </c>
      <c r="N624" s="45">
        <f>IF(M624=0, 0, IF(OR($K$6="Square Grid", M624=1), INT($G$7/H624), IF($G$7&lt;H624, 0, 1+INT(($G$7-H624)/(0.8660254*H624)))))</f>
        <v/>
      </c>
      <c r="O624" s="48">
        <f>IF(OR(M624=0,N624=0), 0, IF(OR($K$6="Square Grid", M624=1), M624*N624*$K$5, (INT((N624+1)/2)*M624 + INT(N624/2)*IF(($G$6-M624*H624)&gt;=0.5*H624, M624, M624-1))*$K$5))</f>
        <v/>
      </c>
      <c r="P624" s="48">
        <f>IF(L624&lt;=0, 0, INT($G$8/L624))</f>
        <v/>
      </c>
      <c r="Q624" s="42">
        <f>MIN(O624, P624)</f>
        <v/>
      </c>
      <c r="R624" s="43">
        <f>ROUND((Q624*L624)/1000, 2)</f>
        <v/>
      </c>
      <c r="S624" s="49">
        <f>IF($C$8&gt;0, R624/$C$8, 0)</f>
        <v/>
      </c>
      <c r="T624" s="49">
        <f>IF(O624&gt;0, Q624/O624, 0)</f>
        <v/>
      </c>
      <c r="U624" s="18">
        <f>IF(Q624=0, "Exceeds Limit", IF(P624&lt;=O624, "Weight Limited", "Volume Limited"))</f>
        <v/>
      </c>
    </row>
    <row r="625" ht="19" customHeight="1">
      <c r="A625" s="38" t="n">
        <v>615</v>
      </c>
      <c r="B625" s="51" t="inlineStr">
        <is>
          <t>Stainless Steel 316</t>
        </is>
      </c>
      <c r="C625" s="13" t="inlineStr">
        <is>
          <t>ASME B36.19M</t>
        </is>
      </c>
      <c r="D625" s="12" t="inlineStr">
        <is>
          <t>8''</t>
        </is>
      </c>
      <c r="E625" s="38" t="n">
        <v>200</v>
      </c>
      <c r="F625" s="12" t="inlineStr">
        <is>
          <t>XS</t>
        </is>
      </c>
      <c r="G625" s="14" t="n">
        <v>8.625</v>
      </c>
      <c r="H625" s="40" t="n">
        <v>219.07</v>
      </c>
      <c r="I625" s="14" t="n">
        <v>0.5</v>
      </c>
      <c r="J625" s="40" t="n">
        <v>12.7</v>
      </c>
      <c r="K625" s="14">
        <f>ROUND((H625-J625)*J625*IF(B625="Carbon Steel",$K$7,IF(B625="Stainless Steel 304",$K$8,$L$8)), 3)</f>
        <v/>
      </c>
      <c r="L625" s="40">
        <f>ROUND(K625*$G$5, 2)</f>
        <v/>
      </c>
      <c r="M625" s="38">
        <f>INT($G$6/H625)</f>
        <v/>
      </c>
      <c r="N625" s="38">
        <f>IF(M625=0, 0, IF(OR($K$6="Square Grid", M625=1), INT($G$7/H625), IF($G$7&lt;H625, 0, 1+INT(($G$7-H625)/(0.8660254*H625)))))</f>
        <v/>
      </c>
      <c r="O625" s="41">
        <f>IF(OR(M625=0,N625=0), 0, IF(OR($K$6="Square Grid", M625=1), M625*N625*$K$5, (INT((N625+1)/2)*M625 + INT(N625/2)*IF(($G$6-M625*H625)&gt;=0.5*H625, M625, M625-1))*$K$5))</f>
        <v/>
      </c>
      <c r="P625" s="41">
        <f>IF(L625&lt;=0, 0, INT($G$8/L625))</f>
        <v/>
      </c>
      <c r="Q625" s="42">
        <f>MIN(O625, P625)</f>
        <v/>
      </c>
      <c r="R625" s="43">
        <f>ROUND((Q625*L625)/1000, 2)</f>
        <v/>
      </c>
      <c r="S625" s="44">
        <f>IF($C$8&gt;0, R625/$C$8, 0)</f>
        <v/>
      </c>
      <c r="T625" s="44">
        <f>IF(O625&gt;0, Q625/O625, 0)</f>
        <v/>
      </c>
      <c r="U625" s="12">
        <f>IF(Q625=0, "Exceeds Limit", IF(P625&lt;=O625, "Weight Limited", "Volume Limited"))</f>
        <v/>
      </c>
    </row>
    <row r="626" ht="19" customHeight="1">
      <c r="A626" s="45" t="n">
        <v>616</v>
      </c>
      <c r="B626" s="50" t="inlineStr">
        <is>
          <t>Stainless Steel 316</t>
        </is>
      </c>
      <c r="C626" s="19" t="inlineStr">
        <is>
          <t>ASME B36.19M</t>
        </is>
      </c>
      <c r="D626" s="18" t="inlineStr">
        <is>
          <t>8''</t>
        </is>
      </c>
      <c r="E626" s="45" t="n">
        <v>200</v>
      </c>
      <c r="F626" s="18" t="inlineStr">
        <is>
          <t>160</t>
        </is>
      </c>
      <c r="G626" s="20" t="n">
        <v>8.625</v>
      </c>
      <c r="H626" s="47" t="n">
        <v>219.07</v>
      </c>
      <c r="I626" s="20" t="n">
        <v>0.906</v>
      </c>
      <c r="J626" s="47" t="n">
        <v>23.01</v>
      </c>
      <c r="K626" s="20">
        <f>ROUND((H626-J626)*J626*IF(B626="Carbon Steel",$K$7,IF(B626="Stainless Steel 304",$K$8,$L$8)), 3)</f>
        <v/>
      </c>
      <c r="L626" s="47">
        <f>ROUND(K626*$G$5, 2)</f>
        <v/>
      </c>
      <c r="M626" s="45">
        <f>INT($G$6/H626)</f>
        <v/>
      </c>
      <c r="N626" s="45">
        <f>IF(M626=0, 0, IF(OR($K$6="Square Grid", M626=1), INT($G$7/H626), IF($G$7&lt;H626, 0, 1+INT(($G$7-H626)/(0.8660254*H626)))))</f>
        <v/>
      </c>
      <c r="O626" s="48">
        <f>IF(OR(M626=0,N626=0), 0, IF(OR($K$6="Square Grid", M626=1), M626*N626*$K$5, (INT((N626+1)/2)*M626 + INT(N626/2)*IF(($G$6-M626*H626)&gt;=0.5*H626, M626, M626-1))*$K$5))</f>
        <v/>
      </c>
      <c r="P626" s="48">
        <f>IF(L626&lt;=0, 0, INT($G$8/L626))</f>
        <v/>
      </c>
      <c r="Q626" s="42">
        <f>MIN(O626, P626)</f>
        <v/>
      </c>
      <c r="R626" s="43">
        <f>ROUND((Q626*L626)/1000, 2)</f>
        <v/>
      </c>
      <c r="S626" s="49">
        <f>IF($C$8&gt;0, R626/$C$8, 0)</f>
        <v/>
      </c>
      <c r="T626" s="49">
        <f>IF(O626&gt;0, Q626/O626, 0)</f>
        <v/>
      </c>
      <c r="U626" s="18">
        <f>IF(Q626=0, "Exceeds Limit", IF(P626&lt;=O626, "Weight Limited", "Volume Limited"))</f>
        <v/>
      </c>
    </row>
    <row r="627" ht="19" customHeight="1">
      <c r="A627" s="38" t="n">
        <v>617</v>
      </c>
      <c r="B627" s="51" t="inlineStr">
        <is>
          <t>Stainless Steel 316</t>
        </is>
      </c>
      <c r="C627" s="13" t="inlineStr">
        <is>
          <t>ASME B36.19M</t>
        </is>
      </c>
      <c r="D627" s="12" t="inlineStr">
        <is>
          <t>8''</t>
        </is>
      </c>
      <c r="E627" s="38" t="n">
        <v>200</v>
      </c>
      <c r="F627" s="12" t="inlineStr">
        <is>
          <t>XXS</t>
        </is>
      </c>
      <c r="G627" s="14" t="n">
        <v>8.625</v>
      </c>
      <c r="H627" s="40" t="n">
        <v>219.07</v>
      </c>
      <c r="I627" s="14" t="n">
        <v>0.875</v>
      </c>
      <c r="J627" s="40" t="n">
        <v>22.22</v>
      </c>
      <c r="K627" s="14">
        <f>ROUND((H627-J627)*J627*IF(B627="Carbon Steel",$K$7,IF(B627="Stainless Steel 304",$K$8,$L$8)), 3)</f>
        <v/>
      </c>
      <c r="L627" s="40">
        <f>ROUND(K627*$G$5, 2)</f>
        <v/>
      </c>
      <c r="M627" s="38">
        <f>INT($G$6/H627)</f>
        <v/>
      </c>
      <c r="N627" s="38">
        <f>IF(M627=0, 0, IF(OR($K$6="Square Grid", M627=1), INT($G$7/H627), IF($G$7&lt;H627, 0, 1+INT(($G$7-H627)/(0.8660254*H627)))))</f>
        <v/>
      </c>
      <c r="O627" s="41">
        <f>IF(OR(M627=0,N627=0), 0, IF(OR($K$6="Square Grid", M627=1), M627*N627*$K$5, (INT((N627+1)/2)*M627 + INT(N627/2)*IF(($G$6-M627*H627)&gt;=0.5*H627, M627, M627-1))*$K$5))</f>
        <v/>
      </c>
      <c r="P627" s="41">
        <f>IF(L627&lt;=0, 0, INT($G$8/L627))</f>
        <v/>
      </c>
      <c r="Q627" s="42">
        <f>MIN(O627, P627)</f>
        <v/>
      </c>
      <c r="R627" s="43">
        <f>ROUND((Q627*L627)/1000, 2)</f>
        <v/>
      </c>
      <c r="S627" s="44">
        <f>IF($C$8&gt;0, R627/$C$8, 0)</f>
        <v/>
      </c>
      <c r="T627" s="44">
        <f>IF(O627&gt;0, Q627/O627, 0)</f>
        <v/>
      </c>
      <c r="U627" s="12">
        <f>IF(Q627=0, "Exceeds Limit", IF(P627&lt;=O627, "Weight Limited", "Volume Limited"))</f>
        <v/>
      </c>
    </row>
    <row r="628" ht="19" customHeight="1">
      <c r="A628" s="45" t="n">
        <v>618</v>
      </c>
      <c r="B628" s="50" t="inlineStr">
        <is>
          <t>Stainless Steel 316</t>
        </is>
      </c>
      <c r="C628" s="19" t="inlineStr">
        <is>
          <t>ASME B36.19M</t>
        </is>
      </c>
      <c r="D628" s="18" t="inlineStr">
        <is>
          <t>10''</t>
        </is>
      </c>
      <c r="E628" s="45" t="n">
        <v>250</v>
      </c>
      <c r="F628" s="18" t="inlineStr">
        <is>
          <t>5S</t>
        </is>
      </c>
      <c r="G628" s="20" t="n">
        <v>10.75</v>
      </c>
      <c r="H628" s="47" t="n">
        <v>273.05</v>
      </c>
      <c r="I628" s="20" t="n">
        <v>0.134</v>
      </c>
      <c r="J628" s="47" t="n">
        <v>3.4</v>
      </c>
      <c r="K628" s="20">
        <f>ROUND((H628-J628)*J628*IF(B628="Carbon Steel",$K$7,IF(B628="Stainless Steel 304",$K$8,$L$8)), 3)</f>
        <v/>
      </c>
      <c r="L628" s="47">
        <f>ROUND(K628*$G$5, 2)</f>
        <v/>
      </c>
      <c r="M628" s="45">
        <f>INT($G$6/H628)</f>
        <v/>
      </c>
      <c r="N628" s="45">
        <f>IF(M628=0, 0, IF(OR($K$6="Square Grid", M628=1), INT($G$7/H628), IF($G$7&lt;H628, 0, 1+INT(($G$7-H628)/(0.8660254*H628)))))</f>
        <v/>
      </c>
      <c r="O628" s="48">
        <f>IF(OR(M628=0,N628=0), 0, IF(OR($K$6="Square Grid", M628=1), M628*N628*$K$5, (INT((N628+1)/2)*M628 + INT(N628/2)*IF(($G$6-M628*H628)&gt;=0.5*H628, M628, M628-1))*$K$5))</f>
        <v/>
      </c>
      <c r="P628" s="48">
        <f>IF(L628&lt;=0, 0, INT($G$8/L628))</f>
        <v/>
      </c>
      <c r="Q628" s="42">
        <f>MIN(O628, P628)</f>
        <v/>
      </c>
      <c r="R628" s="43">
        <f>ROUND((Q628*L628)/1000, 2)</f>
        <v/>
      </c>
      <c r="S628" s="49">
        <f>IF($C$8&gt;0, R628/$C$8, 0)</f>
        <v/>
      </c>
      <c r="T628" s="49">
        <f>IF(O628&gt;0, Q628/O628, 0)</f>
        <v/>
      </c>
      <c r="U628" s="18">
        <f>IF(Q628=0, "Exceeds Limit", IF(P628&lt;=O628, "Weight Limited", "Volume Limited"))</f>
        <v/>
      </c>
    </row>
    <row r="629" ht="19" customHeight="1">
      <c r="A629" s="38" t="n">
        <v>619</v>
      </c>
      <c r="B629" s="51" t="inlineStr">
        <is>
          <t>Stainless Steel 316</t>
        </is>
      </c>
      <c r="C629" s="13" t="inlineStr">
        <is>
          <t>ASME B36.19M</t>
        </is>
      </c>
      <c r="D629" s="12" t="inlineStr">
        <is>
          <t>10''</t>
        </is>
      </c>
      <c r="E629" s="38" t="n">
        <v>250</v>
      </c>
      <c r="F629" s="12" t="inlineStr">
        <is>
          <t>10S</t>
        </is>
      </c>
      <c r="G629" s="14" t="n">
        <v>10.75</v>
      </c>
      <c r="H629" s="40" t="n">
        <v>273.05</v>
      </c>
      <c r="I629" s="14" t="n">
        <v>0.165</v>
      </c>
      <c r="J629" s="40" t="n">
        <v>4.19</v>
      </c>
      <c r="K629" s="14">
        <f>ROUND((H629-J629)*J629*IF(B629="Carbon Steel",$K$7,IF(B629="Stainless Steel 304",$K$8,$L$8)), 3)</f>
        <v/>
      </c>
      <c r="L629" s="40">
        <f>ROUND(K629*$G$5, 2)</f>
        <v/>
      </c>
      <c r="M629" s="38">
        <f>INT($G$6/H629)</f>
        <v/>
      </c>
      <c r="N629" s="38">
        <f>IF(M629=0, 0, IF(OR($K$6="Square Grid", M629=1), INT($G$7/H629), IF($G$7&lt;H629, 0, 1+INT(($G$7-H629)/(0.8660254*H629)))))</f>
        <v/>
      </c>
      <c r="O629" s="41">
        <f>IF(OR(M629=0,N629=0), 0, IF(OR($K$6="Square Grid", M629=1), M629*N629*$K$5, (INT((N629+1)/2)*M629 + INT(N629/2)*IF(($G$6-M629*H629)&gt;=0.5*H629, M629, M629-1))*$K$5))</f>
        <v/>
      </c>
      <c r="P629" s="41">
        <f>IF(L629&lt;=0, 0, INT($G$8/L629))</f>
        <v/>
      </c>
      <c r="Q629" s="42">
        <f>MIN(O629, P629)</f>
        <v/>
      </c>
      <c r="R629" s="43">
        <f>ROUND((Q629*L629)/1000, 2)</f>
        <v/>
      </c>
      <c r="S629" s="44">
        <f>IF($C$8&gt;0, R629/$C$8, 0)</f>
        <v/>
      </c>
      <c r="T629" s="44">
        <f>IF(O629&gt;0, Q629/O629, 0)</f>
        <v/>
      </c>
      <c r="U629" s="12">
        <f>IF(Q629=0, "Exceeds Limit", IF(P629&lt;=O629, "Weight Limited", "Volume Limited"))</f>
        <v/>
      </c>
    </row>
    <row r="630" ht="19" customHeight="1">
      <c r="A630" s="45" t="n">
        <v>620</v>
      </c>
      <c r="B630" s="50" t="inlineStr">
        <is>
          <t>Stainless Steel 316</t>
        </is>
      </c>
      <c r="C630" s="19" t="inlineStr">
        <is>
          <t>ASME B36.19M</t>
        </is>
      </c>
      <c r="D630" s="18" t="inlineStr">
        <is>
          <t>10''</t>
        </is>
      </c>
      <c r="E630" s="45" t="n">
        <v>250</v>
      </c>
      <c r="F630" s="18" t="inlineStr">
        <is>
          <t>40S</t>
        </is>
      </c>
      <c r="G630" s="20" t="n">
        <v>10.75</v>
      </c>
      <c r="H630" s="47" t="n">
        <v>273.05</v>
      </c>
      <c r="I630" s="20" t="n">
        <v>0.365</v>
      </c>
      <c r="J630" s="47" t="n">
        <v>9.27</v>
      </c>
      <c r="K630" s="20">
        <f>ROUND((H630-J630)*J630*IF(B630="Carbon Steel",$K$7,IF(B630="Stainless Steel 304",$K$8,$L$8)), 3)</f>
        <v/>
      </c>
      <c r="L630" s="47">
        <f>ROUND(K630*$G$5, 2)</f>
        <v/>
      </c>
      <c r="M630" s="45">
        <f>INT($G$6/H630)</f>
        <v/>
      </c>
      <c r="N630" s="45">
        <f>IF(M630=0, 0, IF(OR($K$6="Square Grid", M630=1), INT($G$7/H630), IF($G$7&lt;H630, 0, 1+INT(($G$7-H630)/(0.8660254*H630)))))</f>
        <v/>
      </c>
      <c r="O630" s="48">
        <f>IF(OR(M630=0,N630=0), 0, IF(OR($K$6="Square Grid", M630=1), M630*N630*$K$5, (INT((N630+1)/2)*M630 + INT(N630/2)*IF(($G$6-M630*H630)&gt;=0.5*H630, M630, M630-1))*$K$5))</f>
        <v/>
      </c>
      <c r="P630" s="48">
        <f>IF(L630&lt;=0, 0, INT($G$8/L630))</f>
        <v/>
      </c>
      <c r="Q630" s="42">
        <f>MIN(O630, P630)</f>
        <v/>
      </c>
      <c r="R630" s="43">
        <f>ROUND((Q630*L630)/1000, 2)</f>
        <v/>
      </c>
      <c r="S630" s="49">
        <f>IF($C$8&gt;0, R630/$C$8, 0)</f>
        <v/>
      </c>
      <c r="T630" s="49">
        <f>IF(O630&gt;0, Q630/O630, 0)</f>
        <v/>
      </c>
      <c r="U630" s="18">
        <f>IF(Q630=0, "Exceeds Limit", IF(P630&lt;=O630, "Weight Limited", "Volume Limited"))</f>
        <v/>
      </c>
    </row>
    <row r="631" ht="19" customHeight="1">
      <c r="A631" s="38" t="n">
        <v>621</v>
      </c>
      <c r="B631" s="51" t="inlineStr">
        <is>
          <t>Stainless Steel 316</t>
        </is>
      </c>
      <c r="C631" s="13" t="inlineStr">
        <is>
          <t>ASME B36.19M</t>
        </is>
      </c>
      <c r="D631" s="12" t="inlineStr">
        <is>
          <t>10''</t>
        </is>
      </c>
      <c r="E631" s="38" t="n">
        <v>250</v>
      </c>
      <c r="F631" s="12" t="inlineStr">
        <is>
          <t>80S</t>
        </is>
      </c>
      <c r="G631" s="14" t="n">
        <v>10.75</v>
      </c>
      <c r="H631" s="40" t="n">
        <v>273.05</v>
      </c>
      <c r="I631" s="14" t="n">
        <v>0.5</v>
      </c>
      <c r="J631" s="40" t="n">
        <v>12.7</v>
      </c>
      <c r="K631" s="14">
        <f>ROUND((H631-J631)*J631*IF(B631="Carbon Steel",$K$7,IF(B631="Stainless Steel 304",$K$8,$L$8)), 3)</f>
        <v/>
      </c>
      <c r="L631" s="40">
        <f>ROUND(K631*$G$5, 2)</f>
        <v/>
      </c>
      <c r="M631" s="38">
        <f>INT($G$6/H631)</f>
        <v/>
      </c>
      <c r="N631" s="38">
        <f>IF(M631=0, 0, IF(OR($K$6="Square Grid", M631=1), INT($G$7/H631), IF($G$7&lt;H631, 0, 1+INT(($G$7-H631)/(0.8660254*H631)))))</f>
        <v/>
      </c>
      <c r="O631" s="41">
        <f>IF(OR(M631=0,N631=0), 0, IF(OR($K$6="Square Grid", M631=1), M631*N631*$K$5, (INT((N631+1)/2)*M631 + INT(N631/2)*IF(($G$6-M631*H631)&gt;=0.5*H631, M631, M631-1))*$K$5))</f>
        <v/>
      </c>
      <c r="P631" s="41">
        <f>IF(L631&lt;=0, 0, INT($G$8/L631))</f>
        <v/>
      </c>
      <c r="Q631" s="42">
        <f>MIN(O631, P631)</f>
        <v/>
      </c>
      <c r="R631" s="43">
        <f>ROUND((Q631*L631)/1000, 2)</f>
        <v/>
      </c>
      <c r="S631" s="44">
        <f>IF($C$8&gt;0, R631/$C$8, 0)</f>
        <v/>
      </c>
      <c r="T631" s="44">
        <f>IF(O631&gt;0, Q631/O631, 0)</f>
        <v/>
      </c>
      <c r="U631" s="12">
        <f>IF(Q631=0, "Exceeds Limit", IF(P631&lt;=O631, "Weight Limited", "Volume Limited"))</f>
        <v/>
      </c>
    </row>
    <row r="632" ht="19" customHeight="1">
      <c r="A632" s="45" t="n">
        <v>622</v>
      </c>
      <c r="B632" s="50" t="inlineStr">
        <is>
          <t>Stainless Steel 316</t>
        </is>
      </c>
      <c r="C632" s="19" t="inlineStr">
        <is>
          <t>ASME B36.19M</t>
        </is>
      </c>
      <c r="D632" s="18" t="inlineStr">
        <is>
          <t>10''</t>
        </is>
      </c>
      <c r="E632" s="45" t="n">
        <v>250</v>
      </c>
      <c r="F632" s="18" t="inlineStr">
        <is>
          <t>STD</t>
        </is>
      </c>
      <c r="G632" s="20" t="n">
        <v>10.75</v>
      </c>
      <c r="H632" s="47" t="n">
        <v>273.05</v>
      </c>
      <c r="I632" s="20" t="n">
        <v>0.365</v>
      </c>
      <c r="J632" s="47" t="n">
        <v>9.27</v>
      </c>
      <c r="K632" s="20">
        <f>ROUND((H632-J632)*J632*IF(B632="Carbon Steel",$K$7,IF(B632="Stainless Steel 304",$K$8,$L$8)), 3)</f>
        <v/>
      </c>
      <c r="L632" s="47">
        <f>ROUND(K632*$G$5, 2)</f>
        <v/>
      </c>
      <c r="M632" s="45">
        <f>INT($G$6/H632)</f>
        <v/>
      </c>
      <c r="N632" s="45">
        <f>IF(M632=0, 0, IF(OR($K$6="Square Grid", M632=1), INT($G$7/H632), IF($G$7&lt;H632, 0, 1+INT(($G$7-H632)/(0.8660254*H632)))))</f>
        <v/>
      </c>
      <c r="O632" s="48">
        <f>IF(OR(M632=0,N632=0), 0, IF(OR($K$6="Square Grid", M632=1), M632*N632*$K$5, (INT((N632+1)/2)*M632 + INT(N632/2)*IF(($G$6-M632*H632)&gt;=0.5*H632, M632, M632-1))*$K$5))</f>
        <v/>
      </c>
      <c r="P632" s="48">
        <f>IF(L632&lt;=0, 0, INT($G$8/L632))</f>
        <v/>
      </c>
      <c r="Q632" s="42">
        <f>MIN(O632, P632)</f>
        <v/>
      </c>
      <c r="R632" s="43">
        <f>ROUND((Q632*L632)/1000, 2)</f>
        <v/>
      </c>
      <c r="S632" s="49">
        <f>IF($C$8&gt;0, R632/$C$8, 0)</f>
        <v/>
      </c>
      <c r="T632" s="49">
        <f>IF(O632&gt;0, Q632/O632, 0)</f>
        <v/>
      </c>
      <c r="U632" s="18">
        <f>IF(Q632=0, "Exceeds Limit", IF(P632&lt;=O632, "Weight Limited", "Volume Limited"))</f>
        <v/>
      </c>
    </row>
    <row r="633" ht="19" customHeight="1">
      <c r="A633" s="38" t="n">
        <v>623</v>
      </c>
      <c r="B633" s="51" t="inlineStr">
        <is>
          <t>Stainless Steel 316</t>
        </is>
      </c>
      <c r="C633" s="13" t="inlineStr">
        <is>
          <t>ASME B36.19M</t>
        </is>
      </c>
      <c r="D633" s="12" t="inlineStr">
        <is>
          <t>10''</t>
        </is>
      </c>
      <c r="E633" s="38" t="n">
        <v>250</v>
      </c>
      <c r="F633" s="12" t="inlineStr">
        <is>
          <t>XS</t>
        </is>
      </c>
      <c r="G633" s="14" t="n">
        <v>10.75</v>
      </c>
      <c r="H633" s="40" t="n">
        <v>273.05</v>
      </c>
      <c r="I633" s="14" t="n">
        <v>0.5</v>
      </c>
      <c r="J633" s="40" t="n">
        <v>12.7</v>
      </c>
      <c r="K633" s="14">
        <f>ROUND((H633-J633)*J633*IF(B633="Carbon Steel",$K$7,IF(B633="Stainless Steel 304",$K$8,$L$8)), 3)</f>
        <v/>
      </c>
      <c r="L633" s="40">
        <f>ROUND(K633*$G$5, 2)</f>
        <v/>
      </c>
      <c r="M633" s="38">
        <f>INT($G$6/H633)</f>
        <v/>
      </c>
      <c r="N633" s="38">
        <f>IF(M633=0, 0, IF(OR($K$6="Square Grid", M633=1), INT($G$7/H633), IF($G$7&lt;H633, 0, 1+INT(($G$7-H633)/(0.8660254*H633)))))</f>
        <v/>
      </c>
      <c r="O633" s="41">
        <f>IF(OR(M633=0,N633=0), 0, IF(OR($K$6="Square Grid", M633=1), M633*N633*$K$5, (INT((N633+1)/2)*M633 + INT(N633/2)*IF(($G$6-M633*H633)&gt;=0.5*H633, M633, M633-1))*$K$5))</f>
        <v/>
      </c>
      <c r="P633" s="41">
        <f>IF(L633&lt;=0, 0, INT($G$8/L633))</f>
        <v/>
      </c>
      <c r="Q633" s="42">
        <f>MIN(O633, P633)</f>
        <v/>
      </c>
      <c r="R633" s="43">
        <f>ROUND((Q633*L633)/1000, 2)</f>
        <v/>
      </c>
      <c r="S633" s="44">
        <f>IF($C$8&gt;0, R633/$C$8, 0)</f>
        <v/>
      </c>
      <c r="T633" s="44">
        <f>IF(O633&gt;0, Q633/O633, 0)</f>
        <v/>
      </c>
      <c r="U633" s="12">
        <f>IF(Q633=0, "Exceeds Limit", IF(P633&lt;=O633, "Weight Limited", "Volume Limited"))</f>
        <v/>
      </c>
    </row>
    <row r="634" ht="19" customHeight="1">
      <c r="A634" s="45" t="n">
        <v>624</v>
      </c>
      <c r="B634" s="50" t="inlineStr">
        <is>
          <t>Stainless Steel 316</t>
        </is>
      </c>
      <c r="C634" s="19" t="inlineStr">
        <is>
          <t>ASME B36.19M</t>
        </is>
      </c>
      <c r="D634" s="18" t="inlineStr">
        <is>
          <t>10''</t>
        </is>
      </c>
      <c r="E634" s="45" t="n">
        <v>250</v>
      </c>
      <c r="F634" s="18" t="inlineStr">
        <is>
          <t>160</t>
        </is>
      </c>
      <c r="G634" s="20" t="n">
        <v>10.75</v>
      </c>
      <c r="H634" s="47" t="n">
        <v>273.05</v>
      </c>
      <c r="I634" s="20" t="n">
        <v>1.125</v>
      </c>
      <c r="J634" s="47" t="n">
        <v>28.57</v>
      </c>
      <c r="K634" s="20">
        <f>ROUND((H634-J634)*J634*IF(B634="Carbon Steel",$K$7,IF(B634="Stainless Steel 304",$K$8,$L$8)), 3)</f>
        <v/>
      </c>
      <c r="L634" s="47">
        <f>ROUND(K634*$G$5, 2)</f>
        <v/>
      </c>
      <c r="M634" s="45">
        <f>INT($G$6/H634)</f>
        <v/>
      </c>
      <c r="N634" s="45">
        <f>IF(M634=0, 0, IF(OR($K$6="Square Grid", M634=1), INT($G$7/H634), IF($G$7&lt;H634, 0, 1+INT(($G$7-H634)/(0.8660254*H634)))))</f>
        <v/>
      </c>
      <c r="O634" s="48">
        <f>IF(OR(M634=0,N634=0), 0, IF(OR($K$6="Square Grid", M634=1), M634*N634*$K$5, (INT((N634+1)/2)*M634 + INT(N634/2)*IF(($G$6-M634*H634)&gt;=0.5*H634, M634, M634-1))*$K$5))</f>
        <v/>
      </c>
      <c r="P634" s="48">
        <f>IF(L634&lt;=0, 0, INT($G$8/L634))</f>
        <v/>
      </c>
      <c r="Q634" s="42">
        <f>MIN(O634, P634)</f>
        <v/>
      </c>
      <c r="R634" s="43">
        <f>ROUND((Q634*L634)/1000, 2)</f>
        <v/>
      </c>
      <c r="S634" s="49">
        <f>IF($C$8&gt;0, R634/$C$8, 0)</f>
        <v/>
      </c>
      <c r="T634" s="49">
        <f>IF(O634&gt;0, Q634/O634, 0)</f>
        <v/>
      </c>
      <c r="U634" s="18">
        <f>IF(Q634=0, "Exceeds Limit", IF(P634&lt;=O634, "Weight Limited", "Volume Limited"))</f>
        <v/>
      </c>
    </row>
    <row r="635" ht="19" customHeight="1">
      <c r="A635" s="38" t="n">
        <v>625</v>
      </c>
      <c r="B635" s="51" t="inlineStr">
        <is>
          <t>Stainless Steel 316</t>
        </is>
      </c>
      <c r="C635" s="13" t="inlineStr">
        <is>
          <t>ASME B36.19M</t>
        </is>
      </c>
      <c r="D635" s="12" t="inlineStr">
        <is>
          <t>10''</t>
        </is>
      </c>
      <c r="E635" s="38" t="n">
        <v>250</v>
      </c>
      <c r="F635" s="12" t="inlineStr">
        <is>
          <t>XXS</t>
        </is>
      </c>
      <c r="G635" s="14" t="n">
        <v>10.75</v>
      </c>
      <c r="H635" s="40" t="n">
        <v>273.05</v>
      </c>
      <c r="I635" s="14" t="n">
        <v>1</v>
      </c>
      <c r="J635" s="40" t="n">
        <v>25.4</v>
      </c>
      <c r="K635" s="14">
        <f>ROUND((H635-J635)*J635*IF(B635="Carbon Steel",$K$7,IF(B635="Stainless Steel 304",$K$8,$L$8)), 3)</f>
        <v/>
      </c>
      <c r="L635" s="40">
        <f>ROUND(K635*$G$5, 2)</f>
        <v/>
      </c>
      <c r="M635" s="38">
        <f>INT($G$6/H635)</f>
        <v/>
      </c>
      <c r="N635" s="38">
        <f>IF(M635=0, 0, IF(OR($K$6="Square Grid", M635=1), INT($G$7/H635), IF($G$7&lt;H635, 0, 1+INT(($G$7-H635)/(0.8660254*H635)))))</f>
        <v/>
      </c>
      <c r="O635" s="41">
        <f>IF(OR(M635=0,N635=0), 0, IF(OR($K$6="Square Grid", M635=1), M635*N635*$K$5, (INT((N635+1)/2)*M635 + INT(N635/2)*IF(($G$6-M635*H635)&gt;=0.5*H635, M635, M635-1))*$K$5))</f>
        <v/>
      </c>
      <c r="P635" s="41">
        <f>IF(L635&lt;=0, 0, INT($G$8/L635))</f>
        <v/>
      </c>
      <c r="Q635" s="42">
        <f>MIN(O635, P635)</f>
        <v/>
      </c>
      <c r="R635" s="43">
        <f>ROUND((Q635*L635)/1000, 2)</f>
        <v/>
      </c>
      <c r="S635" s="44">
        <f>IF($C$8&gt;0, R635/$C$8, 0)</f>
        <v/>
      </c>
      <c r="T635" s="44">
        <f>IF(O635&gt;0, Q635/O635, 0)</f>
        <v/>
      </c>
      <c r="U635" s="12">
        <f>IF(Q635=0, "Exceeds Limit", IF(P635&lt;=O635, "Weight Limited", "Volume Limited"))</f>
        <v/>
      </c>
    </row>
    <row r="636" ht="19" customHeight="1">
      <c r="A636" s="45" t="n">
        <v>626</v>
      </c>
      <c r="B636" s="50" t="inlineStr">
        <is>
          <t>Stainless Steel 316</t>
        </is>
      </c>
      <c r="C636" s="19" t="inlineStr">
        <is>
          <t>ASME B36.19M</t>
        </is>
      </c>
      <c r="D636" s="18" t="inlineStr">
        <is>
          <t>12''</t>
        </is>
      </c>
      <c r="E636" s="45" t="n">
        <v>300</v>
      </c>
      <c r="F636" s="18" t="inlineStr">
        <is>
          <t>5S</t>
        </is>
      </c>
      <c r="G636" s="20" t="n">
        <v>12.75</v>
      </c>
      <c r="H636" s="47" t="n">
        <v>323.85</v>
      </c>
      <c r="I636" s="20" t="n">
        <v>0.156</v>
      </c>
      <c r="J636" s="47" t="n">
        <v>3.96</v>
      </c>
      <c r="K636" s="20">
        <f>ROUND((H636-J636)*J636*IF(B636="Carbon Steel",$K$7,IF(B636="Stainless Steel 304",$K$8,$L$8)), 3)</f>
        <v/>
      </c>
      <c r="L636" s="47">
        <f>ROUND(K636*$G$5, 2)</f>
        <v/>
      </c>
      <c r="M636" s="45">
        <f>INT($G$6/H636)</f>
        <v/>
      </c>
      <c r="N636" s="45">
        <f>IF(M636=0, 0, IF(OR($K$6="Square Grid", M636=1), INT($G$7/H636), IF($G$7&lt;H636, 0, 1+INT(($G$7-H636)/(0.8660254*H636)))))</f>
        <v/>
      </c>
      <c r="O636" s="48">
        <f>IF(OR(M636=0,N636=0), 0, IF(OR($K$6="Square Grid", M636=1), M636*N636*$K$5, (INT((N636+1)/2)*M636 + INT(N636/2)*IF(($G$6-M636*H636)&gt;=0.5*H636, M636, M636-1))*$K$5))</f>
        <v/>
      </c>
      <c r="P636" s="48">
        <f>IF(L636&lt;=0, 0, INT($G$8/L636))</f>
        <v/>
      </c>
      <c r="Q636" s="42">
        <f>MIN(O636, P636)</f>
        <v/>
      </c>
      <c r="R636" s="43">
        <f>ROUND((Q636*L636)/1000, 2)</f>
        <v/>
      </c>
      <c r="S636" s="49">
        <f>IF($C$8&gt;0, R636/$C$8, 0)</f>
        <v/>
      </c>
      <c r="T636" s="49">
        <f>IF(O636&gt;0, Q636/O636, 0)</f>
        <v/>
      </c>
      <c r="U636" s="18">
        <f>IF(Q636=0, "Exceeds Limit", IF(P636&lt;=O636, "Weight Limited", "Volume Limited"))</f>
        <v/>
      </c>
    </row>
    <row r="637" ht="19" customHeight="1">
      <c r="A637" s="38" t="n">
        <v>627</v>
      </c>
      <c r="B637" s="51" t="inlineStr">
        <is>
          <t>Stainless Steel 316</t>
        </is>
      </c>
      <c r="C637" s="13" t="inlineStr">
        <is>
          <t>ASME B36.19M</t>
        </is>
      </c>
      <c r="D637" s="12" t="inlineStr">
        <is>
          <t>12''</t>
        </is>
      </c>
      <c r="E637" s="38" t="n">
        <v>300</v>
      </c>
      <c r="F637" s="12" t="inlineStr">
        <is>
          <t>10S</t>
        </is>
      </c>
      <c r="G637" s="14" t="n">
        <v>12.75</v>
      </c>
      <c r="H637" s="40" t="n">
        <v>323.85</v>
      </c>
      <c r="I637" s="14" t="n">
        <v>0.18</v>
      </c>
      <c r="J637" s="40" t="n">
        <v>4.57</v>
      </c>
      <c r="K637" s="14">
        <f>ROUND((H637-J637)*J637*IF(B637="Carbon Steel",$K$7,IF(B637="Stainless Steel 304",$K$8,$L$8)), 3)</f>
        <v/>
      </c>
      <c r="L637" s="40">
        <f>ROUND(K637*$G$5, 2)</f>
        <v/>
      </c>
      <c r="M637" s="38">
        <f>INT($G$6/H637)</f>
        <v/>
      </c>
      <c r="N637" s="38">
        <f>IF(M637=0, 0, IF(OR($K$6="Square Grid", M637=1), INT($G$7/H637), IF($G$7&lt;H637, 0, 1+INT(($G$7-H637)/(0.8660254*H637)))))</f>
        <v/>
      </c>
      <c r="O637" s="41">
        <f>IF(OR(M637=0,N637=0), 0, IF(OR($K$6="Square Grid", M637=1), M637*N637*$K$5, (INT((N637+1)/2)*M637 + INT(N637/2)*IF(($G$6-M637*H637)&gt;=0.5*H637, M637, M637-1))*$K$5))</f>
        <v/>
      </c>
      <c r="P637" s="41">
        <f>IF(L637&lt;=0, 0, INT($G$8/L637))</f>
        <v/>
      </c>
      <c r="Q637" s="42">
        <f>MIN(O637, P637)</f>
        <v/>
      </c>
      <c r="R637" s="43">
        <f>ROUND((Q637*L637)/1000, 2)</f>
        <v/>
      </c>
      <c r="S637" s="44">
        <f>IF($C$8&gt;0, R637/$C$8, 0)</f>
        <v/>
      </c>
      <c r="T637" s="44">
        <f>IF(O637&gt;0, Q637/O637, 0)</f>
        <v/>
      </c>
      <c r="U637" s="12">
        <f>IF(Q637=0, "Exceeds Limit", IF(P637&lt;=O637, "Weight Limited", "Volume Limited"))</f>
        <v/>
      </c>
    </row>
    <row r="638" ht="19" customHeight="1">
      <c r="A638" s="45" t="n">
        <v>628</v>
      </c>
      <c r="B638" s="50" t="inlineStr">
        <is>
          <t>Stainless Steel 316</t>
        </is>
      </c>
      <c r="C638" s="19" t="inlineStr">
        <is>
          <t>ASME B36.19M</t>
        </is>
      </c>
      <c r="D638" s="18" t="inlineStr">
        <is>
          <t>12''</t>
        </is>
      </c>
      <c r="E638" s="45" t="n">
        <v>300</v>
      </c>
      <c r="F638" s="18" t="inlineStr">
        <is>
          <t>40S</t>
        </is>
      </c>
      <c r="G638" s="20" t="n">
        <v>12.75</v>
      </c>
      <c r="H638" s="47" t="n">
        <v>323.85</v>
      </c>
      <c r="I638" s="20" t="n">
        <v>0.375</v>
      </c>
      <c r="J638" s="47" t="n">
        <v>9.52</v>
      </c>
      <c r="K638" s="20">
        <f>ROUND((H638-J638)*J638*IF(B638="Carbon Steel",$K$7,IF(B638="Stainless Steel 304",$K$8,$L$8)), 3)</f>
        <v/>
      </c>
      <c r="L638" s="47">
        <f>ROUND(K638*$G$5, 2)</f>
        <v/>
      </c>
      <c r="M638" s="45">
        <f>INT($G$6/H638)</f>
        <v/>
      </c>
      <c r="N638" s="45">
        <f>IF(M638=0, 0, IF(OR($K$6="Square Grid", M638=1), INT($G$7/H638), IF($G$7&lt;H638, 0, 1+INT(($G$7-H638)/(0.8660254*H638)))))</f>
        <v/>
      </c>
      <c r="O638" s="48">
        <f>IF(OR(M638=0,N638=0), 0, IF(OR($K$6="Square Grid", M638=1), M638*N638*$K$5, (INT((N638+1)/2)*M638 + INT(N638/2)*IF(($G$6-M638*H638)&gt;=0.5*H638, M638, M638-1))*$K$5))</f>
        <v/>
      </c>
      <c r="P638" s="48">
        <f>IF(L638&lt;=0, 0, INT($G$8/L638))</f>
        <v/>
      </c>
      <c r="Q638" s="42">
        <f>MIN(O638, P638)</f>
        <v/>
      </c>
      <c r="R638" s="43">
        <f>ROUND((Q638*L638)/1000, 2)</f>
        <v/>
      </c>
      <c r="S638" s="49">
        <f>IF($C$8&gt;0, R638/$C$8, 0)</f>
        <v/>
      </c>
      <c r="T638" s="49">
        <f>IF(O638&gt;0, Q638/O638, 0)</f>
        <v/>
      </c>
      <c r="U638" s="18">
        <f>IF(Q638=0, "Exceeds Limit", IF(P638&lt;=O638, "Weight Limited", "Volume Limited"))</f>
        <v/>
      </c>
    </row>
    <row r="639" ht="19" customHeight="1">
      <c r="A639" s="38" t="n">
        <v>629</v>
      </c>
      <c r="B639" s="51" t="inlineStr">
        <is>
          <t>Stainless Steel 316</t>
        </is>
      </c>
      <c r="C639" s="13" t="inlineStr">
        <is>
          <t>ASME B36.19M</t>
        </is>
      </c>
      <c r="D639" s="12" t="inlineStr">
        <is>
          <t>12''</t>
        </is>
      </c>
      <c r="E639" s="38" t="n">
        <v>300</v>
      </c>
      <c r="F639" s="12" t="inlineStr">
        <is>
          <t>80S</t>
        </is>
      </c>
      <c r="G639" s="14" t="n">
        <v>12.75</v>
      </c>
      <c r="H639" s="40" t="n">
        <v>323.85</v>
      </c>
      <c r="I639" s="14" t="n">
        <v>0.5</v>
      </c>
      <c r="J639" s="40" t="n">
        <v>12.7</v>
      </c>
      <c r="K639" s="14">
        <f>ROUND((H639-J639)*J639*IF(B639="Carbon Steel",$K$7,IF(B639="Stainless Steel 304",$K$8,$L$8)), 3)</f>
        <v/>
      </c>
      <c r="L639" s="40">
        <f>ROUND(K639*$G$5, 2)</f>
        <v/>
      </c>
      <c r="M639" s="38">
        <f>INT($G$6/H639)</f>
        <v/>
      </c>
      <c r="N639" s="38">
        <f>IF(M639=0, 0, IF(OR($K$6="Square Grid", M639=1), INT($G$7/H639), IF($G$7&lt;H639, 0, 1+INT(($G$7-H639)/(0.8660254*H639)))))</f>
        <v/>
      </c>
      <c r="O639" s="41">
        <f>IF(OR(M639=0,N639=0), 0, IF(OR($K$6="Square Grid", M639=1), M639*N639*$K$5, (INT((N639+1)/2)*M639 + INT(N639/2)*IF(($G$6-M639*H639)&gt;=0.5*H639, M639, M639-1))*$K$5))</f>
        <v/>
      </c>
      <c r="P639" s="41">
        <f>IF(L639&lt;=0, 0, INT($G$8/L639))</f>
        <v/>
      </c>
      <c r="Q639" s="42">
        <f>MIN(O639, P639)</f>
        <v/>
      </c>
      <c r="R639" s="43">
        <f>ROUND((Q639*L639)/1000, 2)</f>
        <v/>
      </c>
      <c r="S639" s="44">
        <f>IF($C$8&gt;0, R639/$C$8, 0)</f>
        <v/>
      </c>
      <c r="T639" s="44">
        <f>IF(O639&gt;0, Q639/O639, 0)</f>
        <v/>
      </c>
      <c r="U639" s="12">
        <f>IF(Q639=0, "Exceeds Limit", IF(P639&lt;=O639, "Weight Limited", "Volume Limited"))</f>
        <v/>
      </c>
    </row>
    <row r="640" ht="19" customHeight="1">
      <c r="A640" s="45" t="n">
        <v>630</v>
      </c>
      <c r="B640" s="50" t="inlineStr">
        <is>
          <t>Stainless Steel 316</t>
        </is>
      </c>
      <c r="C640" s="19" t="inlineStr">
        <is>
          <t>ASME B36.19M</t>
        </is>
      </c>
      <c r="D640" s="18" t="inlineStr">
        <is>
          <t>12''</t>
        </is>
      </c>
      <c r="E640" s="45" t="n">
        <v>300</v>
      </c>
      <c r="F640" s="18" t="inlineStr">
        <is>
          <t>STD</t>
        </is>
      </c>
      <c r="G640" s="20" t="n">
        <v>12.75</v>
      </c>
      <c r="H640" s="47" t="n">
        <v>323.85</v>
      </c>
      <c r="I640" s="20" t="n">
        <v>0.375</v>
      </c>
      <c r="J640" s="47" t="n">
        <v>9.52</v>
      </c>
      <c r="K640" s="20">
        <f>ROUND((H640-J640)*J640*IF(B640="Carbon Steel",$K$7,IF(B640="Stainless Steel 304",$K$8,$L$8)), 3)</f>
        <v/>
      </c>
      <c r="L640" s="47">
        <f>ROUND(K640*$G$5, 2)</f>
        <v/>
      </c>
      <c r="M640" s="45">
        <f>INT($G$6/H640)</f>
        <v/>
      </c>
      <c r="N640" s="45">
        <f>IF(M640=0, 0, IF(OR($K$6="Square Grid", M640=1), INT($G$7/H640), IF($G$7&lt;H640, 0, 1+INT(($G$7-H640)/(0.8660254*H640)))))</f>
        <v/>
      </c>
      <c r="O640" s="48">
        <f>IF(OR(M640=0,N640=0), 0, IF(OR($K$6="Square Grid", M640=1), M640*N640*$K$5, (INT((N640+1)/2)*M640 + INT(N640/2)*IF(($G$6-M640*H640)&gt;=0.5*H640, M640, M640-1))*$K$5))</f>
        <v/>
      </c>
      <c r="P640" s="48">
        <f>IF(L640&lt;=0, 0, INT($G$8/L640))</f>
        <v/>
      </c>
      <c r="Q640" s="42">
        <f>MIN(O640, P640)</f>
        <v/>
      </c>
      <c r="R640" s="43">
        <f>ROUND((Q640*L640)/1000, 2)</f>
        <v/>
      </c>
      <c r="S640" s="49">
        <f>IF($C$8&gt;0, R640/$C$8, 0)</f>
        <v/>
      </c>
      <c r="T640" s="49">
        <f>IF(O640&gt;0, Q640/O640, 0)</f>
        <v/>
      </c>
      <c r="U640" s="18">
        <f>IF(Q640=0, "Exceeds Limit", IF(P640&lt;=O640, "Weight Limited", "Volume Limited"))</f>
        <v/>
      </c>
    </row>
    <row r="641" ht="19" customHeight="1">
      <c r="A641" s="38" t="n">
        <v>631</v>
      </c>
      <c r="B641" s="51" t="inlineStr">
        <is>
          <t>Stainless Steel 316</t>
        </is>
      </c>
      <c r="C641" s="13" t="inlineStr">
        <is>
          <t>ASME B36.19M</t>
        </is>
      </c>
      <c r="D641" s="12" t="inlineStr">
        <is>
          <t>12''</t>
        </is>
      </c>
      <c r="E641" s="38" t="n">
        <v>300</v>
      </c>
      <c r="F641" s="12" t="inlineStr">
        <is>
          <t>XS</t>
        </is>
      </c>
      <c r="G641" s="14" t="n">
        <v>12.75</v>
      </c>
      <c r="H641" s="40" t="n">
        <v>323.85</v>
      </c>
      <c r="I641" s="14" t="n">
        <v>0.5</v>
      </c>
      <c r="J641" s="40" t="n">
        <v>12.7</v>
      </c>
      <c r="K641" s="14">
        <f>ROUND((H641-J641)*J641*IF(B641="Carbon Steel",$K$7,IF(B641="Stainless Steel 304",$K$8,$L$8)), 3)</f>
        <v/>
      </c>
      <c r="L641" s="40">
        <f>ROUND(K641*$G$5, 2)</f>
        <v/>
      </c>
      <c r="M641" s="38">
        <f>INT($G$6/H641)</f>
        <v/>
      </c>
      <c r="N641" s="38">
        <f>IF(M641=0, 0, IF(OR($K$6="Square Grid", M641=1), INT($G$7/H641), IF($G$7&lt;H641, 0, 1+INT(($G$7-H641)/(0.8660254*H641)))))</f>
        <v/>
      </c>
      <c r="O641" s="41">
        <f>IF(OR(M641=0,N641=0), 0, IF(OR($K$6="Square Grid", M641=1), M641*N641*$K$5, (INT((N641+1)/2)*M641 + INT(N641/2)*IF(($G$6-M641*H641)&gt;=0.5*H641, M641, M641-1))*$K$5))</f>
        <v/>
      </c>
      <c r="P641" s="41">
        <f>IF(L641&lt;=0, 0, INT($G$8/L641))</f>
        <v/>
      </c>
      <c r="Q641" s="42">
        <f>MIN(O641, P641)</f>
        <v/>
      </c>
      <c r="R641" s="43">
        <f>ROUND((Q641*L641)/1000, 2)</f>
        <v/>
      </c>
      <c r="S641" s="44">
        <f>IF($C$8&gt;0, R641/$C$8, 0)</f>
        <v/>
      </c>
      <c r="T641" s="44">
        <f>IF(O641&gt;0, Q641/O641, 0)</f>
        <v/>
      </c>
      <c r="U641" s="12">
        <f>IF(Q641=0, "Exceeds Limit", IF(P641&lt;=O641, "Weight Limited", "Volume Limited"))</f>
        <v/>
      </c>
    </row>
    <row r="642" ht="19" customHeight="1">
      <c r="A642" s="45" t="n">
        <v>632</v>
      </c>
      <c r="B642" s="50" t="inlineStr">
        <is>
          <t>Stainless Steel 316</t>
        </is>
      </c>
      <c r="C642" s="19" t="inlineStr">
        <is>
          <t>ASME B36.19M</t>
        </is>
      </c>
      <c r="D642" s="18" t="inlineStr">
        <is>
          <t>12''</t>
        </is>
      </c>
      <c r="E642" s="45" t="n">
        <v>300</v>
      </c>
      <c r="F642" s="18" t="inlineStr">
        <is>
          <t>160</t>
        </is>
      </c>
      <c r="G642" s="20" t="n">
        <v>12.75</v>
      </c>
      <c r="H642" s="47" t="n">
        <v>323.85</v>
      </c>
      <c r="I642" s="20" t="n">
        <v>1.312</v>
      </c>
      <c r="J642" s="47" t="n">
        <v>33.32</v>
      </c>
      <c r="K642" s="20">
        <f>ROUND((H642-J642)*J642*IF(B642="Carbon Steel",$K$7,IF(B642="Stainless Steel 304",$K$8,$L$8)), 3)</f>
        <v/>
      </c>
      <c r="L642" s="47">
        <f>ROUND(K642*$G$5, 2)</f>
        <v/>
      </c>
      <c r="M642" s="45">
        <f>INT($G$6/H642)</f>
        <v/>
      </c>
      <c r="N642" s="45">
        <f>IF(M642=0, 0, IF(OR($K$6="Square Grid", M642=1), INT($G$7/H642), IF($G$7&lt;H642, 0, 1+INT(($G$7-H642)/(0.8660254*H642)))))</f>
        <v/>
      </c>
      <c r="O642" s="48">
        <f>IF(OR(M642=0,N642=0), 0, IF(OR($K$6="Square Grid", M642=1), M642*N642*$K$5, (INT((N642+1)/2)*M642 + INT(N642/2)*IF(($G$6-M642*H642)&gt;=0.5*H642, M642, M642-1))*$K$5))</f>
        <v/>
      </c>
      <c r="P642" s="48">
        <f>IF(L642&lt;=0, 0, INT($G$8/L642))</f>
        <v/>
      </c>
      <c r="Q642" s="42">
        <f>MIN(O642, P642)</f>
        <v/>
      </c>
      <c r="R642" s="43">
        <f>ROUND((Q642*L642)/1000, 2)</f>
        <v/>
      </c>
      <c r="S642" s="49">
        <f>IF($C$8&gt;0, R642/$C$8, 0)</f>
        <v/>
      </c>
      <c r="T642" s="49">
        <f>IF(O642&gt;0, Q642/O642, 0)</f>
        <v/>
      </c>
      <c r="U642" s="18">
        <f>IF(Q642=0, "Exceeds Limit", IF(P642&lt;=O642, "Weight Limited", "Volume Limited"))</f>
        <v/>
      </c>
    </row>
    <row r="643" ht="19" customHeight="1">
      <c r="A643" s="38" t="n">
        <v>633</v>
      </c>
      <c r="B643" s="51" t="inlineStr">
        <is>
          <t>Stainless Steel 316</t>
        </is>
      </c>
      <c r="C643" s="13" t="inlineStr">
        <is>
          <t>ASME B36.19M</t>
        </is>
      </c>
      <c r="D643" s="12" t="inlineStr">
        <is>
          <t>12''</t>
        </is>
      </c>
      <c r="E643" s="38" t="n">
        <v>300</v>
      </c>
      <c r="F643" s="12" t="inlineStr">
        <is>
          <t>XXS</t>
        </is>
      </c>
      <c r="G643" s="14" t="n">
        <v>12.75</v>
      </c>
      <c r="H643" s="40" t="n">
        <v>323.85</v>
      </c>
      <c r="I643" s="14" t="n">
        <v>1</v>
      </c>
      <c r="J643" s="40" t="n">
        <v>25.4</v>
      </c>
      <c r="K643" s="14">
        <f>ROUND((H643-J643)*J643*IF(B643="Carbon Steel",$K$7,IF(B643="Stainless Steel 304",$K$8,$L$8)), 3)</f>
        <v/>
      </c>
      <c r="L643" s="40">
        <f>ROUND(K643*$G$5, 2)</f>
        <v/>
      </c>
      <c r="M643" s="38">
        <f>INT($G$6/H643)</f>
        <v/>
      </c>
      <c r="N643" s="38">
        <f>IF(M643=0, 0, IF(OR($K$6="Square Grid", M643=1), INT($G$7/H643), IF($G$7&lt;H643, 0, 1+INT(($G$7-H643)/(0.8660254*H643)))))</f>
        <v/>
      </c>
      <c r="O643" s="41">
        <f>IF(OR(M643=0,N643=0), 0, IF(OR($K$6="Square Grid", M643=1), M643*N643*$K$5, (INT((N643+1)/2)*M643 + INT(N643/2)*IF(($G$6-M643*H643)&gt;=0.5*H643, M643, M643-1))*$K$5))</f>
        <v/>
      </c>
      <c r="P643" s="41">
        <f>IF(L643&lt;=0, 0, INT($G$8/L643))</f>
        <v/>
      </c>
      <c r="Q643" s="42">
        <f>MIN(O643, P643)</f>
        <v/>
      </c>
      <c r="R643" s="43">
        <f>ROUND((Q643*L643)/1000, 2)</f>
        <v/>
      </c>
      <c r="S643" s="44">
        <f>IF($C$8&gt;0, R643/$C$8, 0)</f>
        <v/>
      </c>
      <c r="T643" s="44">
        <f>IF(O643&gt;0, Q643/O643, 0)</f>
        <v/>
      </c>
      <c r="U643" s="12">
        <f>IF(Q643=0, "Exceeds Limit", IF(P643&lt;=O643, "Weight Limited", "Volume Limited"))</f>
        <v/>
      </c>
    </row>
    <row r="644" ht="19" customHeight="1">
      <c r="A644" s="45" t="n">
        <v>634</v>
      </c>
      <c r="B644" s="50" t="inlineStr">
        <is>
          <t>Stainless Steel 316</t>
        </is>
      </c>
      <c r="C644" s="19" t="inlineStr">
        <is>
          <t>ASME B36.19M</t>
        </is>
      </c>
      <c r="D644" s="18" t="inlineStr">
        <is>
          <t>14''</t>
        </is>
      </c>
      <c r="E644" s="45" t="n">
        <v>350</v>
      </c>
      <c r="F644" s="18" t="inlineStr">
        <is>
          <t>5S</t>
        </is>
      </c>
      <c r="G644" s="20" t="n">
        <v>14</v>
      </c>
      <c r="H644" s="47" t="n">
        <v>355.6</v>
      </c>
      <c r="I644" s="20" t="n">
        <v>0.156</v>
      </c>
      <c r="J644" s="47" t="n">
        <v>3.96</v>
      </c>
      <c r="K644" s="20">
        <f>ROUND((H644-J644)*J644*IF(B644="Carbon Steel",$K$7,IF(B644="Stainless Steel 304",$K$8,$L$8)), 3)</f>
        <v/>
      </c>
      <c r="L644" s="47">
        <f>ROUND(K644*$G$5, 2)</f>
        <v/>
      </c>
      <c r="M644" s="45">
        <f>INT($G$6/H644)</f>
        <v/>
      </c>
      <c r="N644" s="45">
        <f>IF(M644=0, 0, IF(OR($K$6="Square Grid", M644=1), INT($G$7/H644), IF($G$7&lt;H644, 0, 1+INT(($G$7-H644)/(0.8660254*H644)))))</f>
        <v/>
      </c>
      <c r="O644" s="48">
        <f>IF(OR(M644=0,N644=0), 0, IF(OR($K$6="Square Grid", M644=1), M644*N644*$K$5, (INT((N644+1)/2)*M644 + INT(N644/2)*IF(($G$6-M644*H644)&gt;=0.5*H644, M644, M644-1))*$K$5))</f>
        <v/>
      </c>
      <c r="P644" s="48">
        <f>IF(L644&lt;=0, 0, INT($G$8/L644))</f>
        <v/>
      </c>
      <c r="Q644" s="42">
        <f>MIN(O644, P644)</f>
        <v/>
      </c>
      <c r="R644" s="43">
        <f>ROUND((Q644*L644)/1000, 2)</f>
        <v/>
      </c>
      <c r="S644" s="49">
        <f>IF($C$8&gt;0, R644/$C$8, 0)</f>
        <v/>
      </c>
      <c r="T644" s="49">
        <f>IF(O644&gt;0, Q644/O644, 0)</f>
        <v/>
      </c>
      <c r="U644" s="18">
        <f>IF(Q644=0, "Exceeds Limit", IF(P644&lt;=O644, "Weight Limited", "Volume Limited"))</f>
        <v/>
      </c>
    </row>
    <row r="645" ht="19" customHeight="1">
      <c r="A645" s="38" t="n">
        <v>635</v>
      </c>
      <c r="B645" s="51" t="inlineStr">
        <is>
          <t>Stainless Steel 316</t>
        </is>
      </c>
      <c r="C645" s="13" t="inlineStr">
        <is>
          <t>ASME B36.19M</t>
        </is>
      </c>
      <c r="D645" s="12" t="inlineStr">
        <is>
          <t>14''</t>
        </is>
      </c>
      <c r="E645" s="38" t="n">
        <v>350</v>
      </c>
      <c r="F645" s="12" t="inlineStr">
        <is>
          <t>10S</t>
        </is>
      </c>
      <c r="G645" s="14" t="n">
        <v>14</v>
      </c>
      <c r="H645" s="40" t="n">
        <v>355.6</v>
      </c>
      <c r="I645" s="14" t="n">
        <v>0.188</v>
      </c>
      <c r="J645" s="40" t="n">
        <v>4.78</v>
      </c>
      <c r="K645" s="14">
        <f>ROUND((H645-J645)*J645*IF(B645="Carbon Steel",$K$7,IF(B645="Stainless Steel 304",$K$8,$L$8)), 3)</f>
        <v/>
      </c>
      <c r="L645" s="40">
        <f>ROUND(K645*$G$5, 2)</f>
        <v/>
      </c>
      <c r="M645" s="38">
        <f>INT($G$6/H645)</f>
        <v/>
      </c>
      <c r="N645" s="38">
        <f>IF(M645=0, 0, IF(OR($K$6="Square Grid", M645=1), INT($G$7/H645), IF($G$7&lt;H645, 0, 1+INT(($G$7-H645)/(0.8660254*H645)))))</f>
        <v/>
      </c>
      <c r="O645" s="41">
        <f>IF(OR(M645=0,N645=0), 0, IF(OR($K$6="Square Grid", M645=1), M645*N645*$K$5, (INT((N645+1)/2)*M645 + INT(N645/2)*IF(($G$6-M645*H645)&gt;=0.5*H645, M645, M645-1))*$K$5))</f>
        <v/>
      </c>
      <c r="P645" s="41">
        <f>IF(L645&lt;=0, 0, INT($G$8/L645))</f>
        <v/>
      </c>
      <c r="Q645" s="42">
        <f>MIN(O645, P645)</f>
        <v/>
      </c>
      <c r="R645" s="43">
        <f>ROUND((Q645*L645)/1000, 2)</f>
        <v/>
      </c>
      <c r="S645" s="44">
        <f>IF($C$8&gt;0, R645/$C$8, 0)</f>
        <v/>
      </c>
      <c r="T645" s="44">
        <f>IF(O645&gt;0, Q645/O645, 0)</f>
        <v/>
      </c>
      <c r="U645" s="12">
        <f>IF(Q645=0, "Exceeds Limit", IF(P645&lt;=O645, "Weight Limited", "Volume Limited"))</f>
        <v/>
      </c>
    </row>
    <row r="646" ht="19" customHeight="1">
      <c r="A646" s="45" t="n">
        <v>636</v>
      </c>
      <c r="B646" s="50" t="inlineStr">
        <is>
          <t>Stainless Steel 316</t>
        </is>
      </c>
      <c r="C646" s="19" t="inlineStr">
        <is>
          <t>ASME B36.19M</t>
        </is>
      </c>
      <c r="D646" s="18" t="inlineStr">
        <is>
          <t>14''</t>
        </is>
      </c>
      <c r="E646" s="45" t="n">
        <v>350</v>
      </c>
      <c r="F646" s="18" t="inlineStr">
        <is>
          <t>40S</t>
        </is>
      </c>
      <c r="G646" s="20" t="n">
        <v>14</v>
      </c>
      <c r="H646" s="47" t="n">
        <v>355.6</v>
      </c>
      <c r="I646" s="20" t="n">
        <v>0.375</v>
      </c>
      <c r="J646" s="47" t="n">
        <v>9.52</v>
      </c>
      <c r="K646" s="20">
        <f>ROUND((H646-J646)*J646*IF(B646="Carbon Steel",$K$7,IF(B646="Stainless Steel 304",$K$8,$L$8)), 3)</f>
        <v/>
      </c>
      <c r="L646" s="47">
        <f>ROUND(K646*$G$5, 2)</f>
        <v/>
      </c>
      <c r="M646" s="45">
        <f>INT($G$6/H646)</f>
        <v/>
      </c>
      <c r="N646" s="45">
        <f>IF(M646=0, 0, IF(OR($K$6="Square Grid", M646=1), INT($G$7/H646), IF($G$7&lt;H646, 0, 1+INT(($G$7-H646)/(0.8660254*H646)))))</f>
        <v/>
      </c>
      <c r="O646" s="48">
        <f>IF(OR(M646=0,N646=0), 0, IF(OR($K$6="Square Grid", M646=1), M646*N646*$K$5, (INT((N646+1)/2)*M646 + INT(N646/2)*IF(($G$6-M646*H646)&gt;=0.5*H646, M646, M646-1))*$K$5))</f>
        <v/>
      </c>
      <c r="P646" s="48">
        <f>IF(L646&lt;=0, 0, INT($G$8/L646))</f>
        <v/>
      </c>
      <c r="Q646" s="42">
        <f>MIN(O646, P646)</f>
        <v/>
      </c>
      <c r="R646" s="43">
        <f>ROUND((Q646*L646)/1000, 2)</f>
        <v/>
      </c>
      <c r="S646" s="49">
        <f>IF($C$8&gt;0, R646/$C$8, 0)</f>
        <v/>
      </c>
      <c r="T646" s="49">
        <f>IF(O646&gt;0, Q646/O646, 0)</f>
        <v/>
      </c>
      <c r="U646" s="18">
        <f>IF(Q646=0, "Exceeds Limit", IF(P646&lt;=O646, "Weight Limited", "Volume Limited"))</f>
        <v/>
      </c>
    </row>
    <row r="647" ht="19" customHeight="1">
      <c r="A647" s="38" t="n">
        <v>637</v>
      </c>
      <c r="B647" s="51" t="inlineStr">
        <is>
          <t>Stainless Steel 316</t>
        </is>
      </c>
      <c r="C647" s="13" t="inlineStr">
        <is>
          <t>ASME B36.19M</t>
        </is>
      </c>
      <c r="D647" s="12" t="inlineStr">
        <is>
          <t>14''</t>
        </is>
      </c>
      <c r="E647" s="38" t="n">
        <v>350</v>
      </c>
      <c r="F647" s="12" t="inlineStr">
        <is>
          <t>80S</t>
        </is>
      </c>
      <c r="G647" s="14" t="n">
        <v>14</v>
      </c>
      <c r="H647" s="40" t="n">
        <v>355.6</v>
      </c>
      <c r="I647" s="14" t="n">
        <v>0.5</v>
      </c>
      <c r="J647" s="40" t="n">
        <v>12.7</v>
      </c>
      <c r="K647" s="14">
        <f>ROUND((H647-J647)*J647*IF(B647="Carbon Steel",$K$7,IF(B647="Stainless Steel 304",$K$8,$L$8)), 3)</f>
        <v/>
      </c>
      <c r="L647" s="40">
        <f>ROUND(K647*$G$5, 2)</f>
        <v/>
      </c>
      <c r="M647" s="38">
        <f>INT($G$6/H647)</f>
        <v/>
      </c>
      <c r="N647" s="38">
        <f>IF(M647=0, 0, IF(OR($K$6="Square Grid", M647=1), INT($G$7/H647), IF($G$7&lt;H647, 0, 1+INT(($G$7-H647)/(0.8660254*H647)))))</f>
        <v/>
      </c>
      <c r="O647" s="41">
        <f>IF(OR(M647=0,N647=0), 0, IF(OR($K$6="Square Grid", M647=1), M647*N647*$K$5, (INT((N647+1)/2)*M647 + INT(N647/2)*IF(($G$6-M647*H647)&gt;=0.5*H647, M647, M647-1))*$K$5))</f>
        <v/>
      </c>
      <c r="P647" s="41">
        <f>IF(L647&lt;=0, 0, INT($G$8/L647))</f>
        <v/>
      </c>
      <c r="Q647" s="42">
        <f>MIN(O647, P647)</f>
        <v/>
      </c>
      <c r="R647" s="43">
        <f>ROUND((Q647*L647)/1000, 2)</f>
        <v/>
      </c>
      <c r="S647" s="44">
        <f>IF($C$8&gt;0, R647/$C$8, 0)</f>
        <v/>
      </c>
      <c r="T647" s="44">
        <f>IF(O647&gt;0, Q647/O647, 0)</f>
        <v/>
      </c>
      <c r="U647" s="12">
        <f>IF(Q647=0, "Exceeds Limit", IF(P647&lt;=O647, "Weight Limited", "Volume Limited"))</f>
        <v/>
      </c>
    </row>
    <row r="648" ht="19" customHeight="1">
      <c r="A648" s="45" t="n">
        <v>638</v>
      </c>
      <c r="B648" s="50" t="inlineStr">
        <is>
          <t>Stainless Steel 316</t>
        </is>
      </c>
      <c r="C648" s="19" t="inlineStr">
        <is>
          <t>ASME B36.19M</t>
        </is>
      </c>
      <c r="D648" s="18" t="inlineStr">
        <is>
          <t>14''</t>
        </is>
      </c>
      <c r="E648" s="45" t="n">
        <v>350</v>
      </c>
      <c r="F648" s="18" t="inlineStr">
        <is>
          <t>STD</t>
        </is>
      </c>
      <c r="G648" s="20" t="n">
        <v>14</v>
      </c>
      <c r="H648" s="47" t="n">
        <v>355.6</v>
      </c>
      <c r="I648" s="20" t="n">
        <v>0.375</v>
      </c>
      <c r="J648" s="47" t="n">
        <v>9.52</v>
      </c>
      <c r="K648" s="20">
        <f>ROUND((H648-J648)*J648*IF(B648="Carbon Steel",$K$7,IF(B648="Stainless Steel 304",$K$8,$L$8)), 3)</f>
        <v/>
      </c>
      <c r="L648" s="47">
        <f>ROUND(K648*$G$5, 2)</f>
        <v/>
      </c>
      <c r="M648" s="45">
        <f>INT($G$6/H648)</f>
        <v/>
      </c>
      <c r="N648" s="45">
        <f>IF(M648=0, 0, IF(OR($K$6="Square Grid", M648=1), INT($G$7/H648), IF($G$7&lt;H648, 0, 1+INT(($G$7-H648)/(0.8660254*H648)))))</f>
        <v/>
      </c>
      <c r="O648" s="48">
        <f>IF(OR(M648=0,N648=0), 0, IF(OR($K$6="Square Grid", M648=1), M648*N648*$K$5, (INT((N648+1)/2)*M648 + INT(N648/2)*IF(($G$6-M648*H648)&gt;=0.5*H648, M648, M648-1))*$K$5))</f>
        <v/>
      </c>
      <c r="P648" s="48">
        <f>IF(L648&lt;=0, 0, INT($G$8/L648))</f>
        <v/>
      </c>
      <c r="Q648" s="42">
        <f>MIN(O648, P648)</f>
        <v/>
      </c>
      <c r="R648" s="43">
        <f>ROUND((Q648*L648)/1000, 2)</f>
        <v/>
      </c>
      <c r="S648" s="49">
        <f>IF($C$8&gt;0, R648/$C$8, 0)</f>
        <v/>
      </c>
      <c r="T648" s="49">
        <f>IF(O648&gt;0, Q648/O648, 0)</f>
        <v/>
      </c>
      <c r="U648" s="18">
        <f>IF(Q648=0, "Exceeds Limit", IF(P648&lt;=O648, "Weight Limited", "Volume Limited"))</f>
        <v/>
      </c>
    </row>
    <row r="649" ht="19" customHeight="1">
      <c r="A649" s="38" t="n">
        <v>639</v>
      </c>
      <c r="B649" s="51" t="inlineStr">
        <is>
          <t>Stainless Steel 316</t>
        </is>
      </c>
      <c r="C649" s="13" t="inlineStr">
        <is>
          <t>ASME B36.19M</t>
        </is>
      </c>
      <c r="D649" s="12" t="inlineStr">
        <is>
          <t>14''</t>
        </is>
      </c>
      <c r="E649" s="38" t="n">
        <v>350</v>
      </c>
      <c r="F649" s="12" t="inlineStr">
        <is>
          <t>XS</t>
        </is>
      </c>
      <c r="G649" s="14" t="n">
        <v>14</v>
      </c>
      <c r="H649" s="40" t="n">
        <v>355.6</v>
      </c>
      <c r="I649" s="14" t="n">
        <v>0.5</v>
      </c>
      <c r="J649" s="40" t="n">
        <v>12.7</v>
      </c>
      <c r="K649" s="14">
        <f>ROUND((H649-J649)*J649*IF(B649="Carbon Steel",$K$7,IF(B649="Stainless Steel 304",$K$8,$L$8)), 3)</f>
        <v/>
      </c>
      <c r="L649" s="40">
        <f>ROUND(K649*$G$5, 2)</f>
        <v/>
      </c>
      <c r="M649" s="38">
        <f>INT($G$6/H649)</f>
        <v/>
      </c>
      <c r="N649" s="38">
        <f>IF(M649=0, 0, IF(OR($K$6="Square Grid", M649=1), INT($G$7/H649), IF($G$7&lt;H649, 0, 1+INT(($G$7-H649)/(0.8660254*H649)))))</f>
        <v/>
      </c>
      <c r="O649" s="41">
        <f>IF(OR(M649=0,N649=0), 0, IF(OR($K$6="Square Grid", M649=1), M649*N649*$K$5, (INT((N649+1)/2)*M649 + INT(N649/2)*IF(($G$6-M649*H649)&gt;=0.5*H649, M649, M649-1))*$K$5))</f>
        <v/>
      </c>
      <c r="P649" s="41">
        <f>IF(L649&lt;=0, 0, INT($G$8/L649))</f>
        <v/>
      </c>
      <c r="Q649" s="42">
        <f>MIN(O649, P649)</f>
        <v/>
      </c>
      <c r="R649" s="43">
        <f>ROUND((Q649*L649)/1000, 2)</f>
        <v/>
      </c>
      <c r="S649" s="44">
        <f>IF($C$8&gt;0, R649/$C$8, 0)</f>
        <v/>
      </c>
      <c r="T649" s="44">
        <f>IF(O649&gt;0, Q649/O649, 0)</f>
        <v/>
      </c>
      <c r="U649" s="12">
        <f>IF(Q649=0, "Exceeds Limit", IF(P649&lt;=O649, "Weight Limited", "Volume Limited"))</f>
        <v/>
      </c>
    </row>
    <row r="650" ht="19" customHeight="1">
      <c r="A650" s="45" t="n">
        <v>640</v>
      </c>
      <c r="B650" s="50" t="inlineStr">
        <is>
          <t>Stainless Steel 316</t>
        </is>
      </c>
      <c r="C650" s="19" t="inlineStr">
        <is>
          <t>ASME B36.19M</t>
        </is>
      </c>
      <c r="D650" s="18" t="inlineStr">
        <is>
          <t>14''</t>
        </is>
      </c>
      <c r="E650" s="45" t="n">
        <v>350</v>
      </c>
      <c r="F650" s="18" t="inlineStr">
        <is>
          <t>160</t>
        </is>
      </c>
      <c r="G650" s="20" t="n">
        <v>14</v>
      </c>
      <c r="H650" s="47" t="n">
        <v>355.6</v>
      </c>
      <c r="I650" s="20" t="n">
        <v>1.406</v>
      </c>
      <c r="J650" s="47" t="n">
        <v>35.71</v>
      </c>
      <c r="K650" s="20">
        <f>ROUND((H650-J650)*J650*IF(B650="Carbon Steel",$K$7,IF(B650="Stainless Steel 304",$K$8,$L$8)), 3)</f>
        <v/>
      </c>
      <c r="L650" s="47">
        <f>ROUND(K650*$G$5, 2)</f>
        <v/>
      </c>
      <c r="M650" s="45">
        <f>INT($G$6/H650)</f>
        <v/>
      </c>
      <c r="N650" s="45">
        <f>IF(M650=0, 0, IF(OR($K$6="Square Grid", M650=1), INT($G$7/H650), IF($G$7&lt;H650, 0, 1+INT(($G$7-H650)/(0.8660254*H650)))))</f>
        <v/>
      </c>
      <c r="O650" s="48">
        <f>IF(OR(M650=0,N650=0), 0, IF(OR($K$6="Square Grid", M650=1), M650*N650*$K$5, (INT((N650+1)/2)*M650 + INT(N650/2)*IF(($G$6-M650*H650)&gt;=0.5*H650, M650, M650-1))*$K$5))</f>
        <v/>
      </c>
      <c r="P650" s="48">
        <f>IF(L650&lt;=0, 0, INT($G$8/L650))</f>
        <v/>
      </c>
      <c r="Q650" s="42">
        <f>MIN(O650, P650)</f>
        <v/>
      </c>
      <c r="R650" s="43">
        <f>ROUND((Q650*L650)/1000, 2)</f>
        <v/>
      </c>
      <c r="S650" s="49">
        <f>IF($C$8&gt;0, R650/$C$8, 0)</f>
        <v/>
      </c>
      <c r="T650" s="49">
        <f>IF(O650&gt;0, Q650/O650, 0)</f>
        <v/>
      </c>
      <c r="U650" s="18">
        <f>IF(Q650=0, "Exceeds Limit", IF(P650&lt;=O650, "Weight Limited", "Volume Limited"))</f>
        <v/>
      </c>
    </row>
    <row r="651" ht="19" customHeight="1">
      <c r="A651" s="38" t="n">
        <v>641</v>
      </c>
      <c r="B651" s="51" t="inlineStr">
        <is>
          <t>Stainless Steel 316</t>
        </is>
      </c>
      <c r="C651" s="13" t="inlineStr">
        <is>
          <t>ASME B36.19M</t>
        </is>
      </c>
      <c r="D651" s="12" t="inlineStr">
        <is>
          <t>16''</t>
        </is>
      </c>
      <c r="E651" s="38" t="n">
        <v>400</v>
      </c>
      <c r="F651" s="12" t="inlineStr">
        <is>
          <t>5S</t>
        </is>
      </c>
      <c r="G651" s="14" t="n">
        <v>16</v>
      </c>
      <c r="H651" s="40" t="n">
        <v>406.4</v>
      </c>
      <c r="I651" s="14" t="n">
        <v>0.165</v>
      </c>
      <c r="J651" s="40" t="n">
        <v>4.19</v>
      </c>
      <c r="K651" s="14">
        <f>ROUND((H651-J651)*J651*IF(B651="Carbon Steel",$K$7,IF(B651="Stainless Steel 304",$K$8,$L$8)), 3)</f>
        <v/>
      </c>
      <c r="L651" s="40">
        <f>ROUND(K651*$G$5, 2)</f>
        <v/>
      </c>
      <c r="M651" s="38">
        <f>INT($G$6/H651)</f>
        <v/>
      </c>
      <c r="N651" s="38">
        <f>IF(M651=0, 0, IF(OR($K$6="Square Grid", M651=1), INT($G$7/H651), IF($G$7&lt;H651, 0, 1+INT(($G$7-H651)/(0.8660254*H651)))))</f>
        <v/>
      </c>
      <c r="O651" s="41">
        <f>IF(OR(M651=0,N651=0), 0, IF(OR($K$6="Square Grid", M651=1), M651*N651*$K$5, (INT((N651+1)/2)*M651 + INT(N651/2)*IF(($G$6-M651*H651)&gt;=0.5*H651, M651, M651-1))*$K$5))</f>
        <v/>
      </c>
      <c r="P651" s="41">
        <f>IF(L651&lt;=0, 0, INT($G$8/L651))</f>
        <v/>
      </c>
      <c r="Q651" s="42">
        <f>MIN(O651, P651)</f>
        <v/>
      </c>
      <c r="R651" s="43">
        <f>ROUND((Q651*L651)/1000, 2)</f>
        <v/>
      </c>
      <c r="S651" s="44">
        <f>IF($C$8&gt;0, R651/$C$8, 0)</f>
        <v/>
      </c>
      <c r="T651" s="44">
        <f>IF(O651&gt;0, Q651/O651, 0)</f>
        <v/>
      </c>
      <c r="U651" s="12">
        <f>IF(Q651=0, "Exceeds Limit", IF(P651&lt;=O651, "Weight Limited", "Volume Limited"))</f>
        <v/>
      </c>
    </row>
    <row r="652" ht="19" customHeight="1">
      <c r="A652" s="45" t="n">
        <v>642</v>
      </c>
      <c r="B652" s="50" t="inlineStr">
        <is>
          <t>Stainless Steel 316</t>
        </is>
      </c>
      <c r="C652" s="19" t="inlineStr">
        <is>
          <t>ASME B36.19M</t>
        </is>
      </c>
      <c r="D652" s="18" t="inlineStr">
        <is>
          <t>16''</t>
        </is>
      </c>
      <c r="E652" s="45" t="n">
        <v>400</v>
      </c>
      <c r="F652" s="18" t="inlineStr">
        <is>
          <t>10S</t>
        </is>
      </c>
      <c r="G652" s="20" t="n">
        <v>16</v>
      </c>
      <c r="H652" s="47" t="n">
        <v>406.4</v>
      </c>
      <c r="I652" s="20" t="n">
        <v>0.188</v>
      </c>
      <c r="J652" s="47" t="n">
        <v>4.78</v>
      </c>
      <c r="K652" s="20">
        <f>ROUND((H652-J652)*J652*IF(B652="Carbon Steel",$K$7,IF(B652="Stainless Steel 304",$K$8,$L$8)), 3)</f>
        <v/>
      </c>
      <c r="L652" s="47">
        <f>ROUND(K652*$G$5, 2)</f>
        <v/>
      </c>
      <c r="M652" s="45">
        <f>INT($G$6/H652)</f>
        <v/>
      </c>
      <c r="N652" s="45">
        <f>IF(M652=0, 0, IF(OR($K$6="Square Grid", M652=1), INT($G$7/H652), IF($G$7&lt;H652, 0, 1+INT(($G$7-H652)/(0.8660254*H652)))))</f>
        <v/>
      </c>
      <c r="O652" s="48">
        <f>IF(OR(M652=0,N652=0), 0, IF(OR($K$6="Square Grid", M652=1), M652*N652*$K$5, (INT((N652+1)/2)*M652 + INT(N652/2)*IF(($G$6-M652*H652)&gt;=0.5*H652, M652, M652-1))*$K$5))</f>
        <v/>
      </c>
      <c r="P652" s="48">
        <f>IF(L652&lt;=0, 0, INT($G$8/L652))</f>
        <v/>
      </c>
      <c r="Q652" s="42">
        <f>MIN(O652, P652)</f>
        <v/>
      </c>
      <c r="R652" s="43">
        <f>ROUND((Q652*L652)/1000, 2)</f>
        <v/>
      </c>
      <c r="S652" s="49">
        <f>IF($C$8&gt;0, R652/$C$8, 0)</f>
        <v/>
      </c>
      <c r="T652" s="49">
        <f>IF(O652&gt;0, Q652/O652, 0)</f>
        <v/>
      </c>
      <c r="U652" s="18">
        <f>IF(Q652=0, "Exceeds Limit", IF(P652&lt;=O652, "Weight Limited", "Volume Limited"))</f>
        <v/>
      </c>
    </row>
    <row r="653" ht="19" customHeight="1">
      <c r="A653" s="38" t="n">
        <v>643</v>
      </c>
      <c r="B653" s="51" t="inlineStr">
        <is>
          <t>Stainless Steel 316</t>
        </is>
      </c>
      <c r="C653" s="13" t="inlineStr">
        <is>
          <t>ASME B36.19M</t>
        </is>
      </c>
      <c r="D653" s="12" t="inlineStr">
        <is>
          <t>16''</t>
        </is>
      </c>
      <c r="E653" s="38" t="n">
        <v>400</v>
      </c>
      <c r="F653" s="12" t="inlineStr">
        <is>
          <t>40S</t>
        </is>
      </c>
      <c r="G653" s="14" t="n">
        <v>16</v>
      </c>
      <c r="H653" s="40" t="n">
        <v>406.4</v>
      </c>
      <c r="I653" s="14" t="n">
        <v>0.375</v>
      </c>
      <c r="J653" s="40" t="n">
        <v>9.52</v>
      </c>
      <c r="K653" s="14">
        <f>ROUND((H653-J653)*J653*IF(B653="Carbon Steel",$K$7,IF(B653="Stainless Steel 304",$K$8,$L$8)), 3)</f>
        <v/>
      </c>
      <c r="L653" s="40">
        <f>ROUND(K653*$G$5, 2)</f>
        <v/>
      </c>
      <c r="M653" s="38">
        <f>INT($G$6/H653)</f>
        <v/>
      </c>
      <c r="N653" s="38">
        <f>IF(M653=0, 0, IF(OR($K$6="Square Grid", M653=1), INT($G$7/H653), IF($G$7&lt;H653, 0, 1+INT(($G$7-H653)/(0.8660254*H653)))))</f>
        <v/>
      </c>
      <c r="O653" s="41">
        <f>IF(OR(M653=0,N653=0), 0, IF(OR($K$6="Square Grid", M653=1), M653*N653*$K$5, (INT((N653+1)/2)*M653 + INT(N653/2)*IF(($G$6-M653*H653)&gt;=0.5*H653, M653, M653-1))*$K$5))</f>
        <v/>
      </c>
      <c r="P653" s="41">
        <f>IF(L653&lt;=0, 0, INT($G$8/L653))</f>
        <v/>
      </c>
      <c r="Q653" s="42">
        <f>MIN(O653, P653)</f>
        <v/>
      </c>
      <c r="R653" s="43">
        <f>ROUND((Q653*L653)/1000, 2)</f>
        <v/>
      </c>
      <c r="S653" s="44">
        <f>IF($C$8&gt;0, R653/$C$8, 0)</f>
        <v/>
      </c>
      <c r="T653" s="44">
        <f>IF(O653&gt;0, Q653/O653, 0)</f>
        <v/>
      </c>
      <c r="U653" s="12">
        <f>IF(Q653=0, "Exceeds Limit", IF(P653&lt;=O653, "Weight Limited", "Volume Limited"))</f>
        <v/>
      </c>
    </row>
    <row r="654" ht="19" customHeight="1">
      <c r="A654" s="45" t="n">
        <v>644</v>
      </c>
      <c r="B654" s="50" t="inlineStr">
        <is>
          <t>Stainless Steel 316</t>
        </is>
      </c>
      <c r="C654" s="19" t="inlineStr">
        <is>
          <t>ASME B36.19M</t>
        </is>
      </c>
      <c r="D654" s="18" t="inlineStr">
        <is>
          <t>16''</t>
        </is>
      </c>
      <c r="E654" s="45" t="n">
        <v>400</v>
      </c>
      <c r="F654" s="18" t="inlineStr">
        <is>
          <t>80S</t>
        </is>
      </c>
      <c r="G654" s="20" t="n">
        <v>16</v>
      </c>
      <c r="H654" s="47" t="n">
        <v>406.4</v>
      </c>
      <c r="I654" s="20" t="n">
        <v>0.5</v>
      </c>
      <c r="J654" s="47" t="n">
        <v>12.7</v>
      </c>
      <c r="K654" s="20">
        <f>ROUND((H654-J654)*J654*IF(B654="Carbon Steel",$K$7,IF(B654="Stainless Steel 304",$K$8,$L$8)), 3)</f>
        <v/>
      </c>
      <c r="L654" s="47">
        <f>ROUND(K654*$G$5, 2)</f>
        <v/>
      </c>
      <c r="M654" s="45">
        <f>INT($G$6/H654)</f>
        <v/>
      </c>
      <c r="N654" s="45">
        <f>IF(M654=0, 0, IF(OR($K$6="Square Grid", M654=1), INT($G$7/H654), IF($G$7&lt;H654, 0, 1+INT(($G$7-H654)/(0.8660254*H654)))))</f>
        <v/>
      </c>
      <c r="O654" s="48">
        <f>IF(OR(M654=0,N654=0), 0, IF(OR($K$6="Square Grid", M654=1), M654*N654*$K$5, (INT((N654+1)/2)*M654 + INT(N654/2)*IF(($G$6-M654*H654)&gt;=0.5*H654, M654, M654-1))*$K$5))</f>
        <v/>
      </c>
      <c r="P654" s="48">
        <f>IF(L654&lt;=0, 0, INT($G$8/L654))</f>
        <v/>
      </c>
      <c r="Q654" s="42">
        <f>MIN(O654, P654)</f>
        <v/>
      </c>
      <c r="R654" s="43">
        <f>ROUND((Q654*L654)/1000, 2)</f>
        <v/>
      </c>
      <c r="S654" s="49">
        <f>IF($C$8&gt;0, R654/$C$8, 0)</f>
        <v/>
      </c>
      <c r="T654" s="49">
        <f>IF(O654&gt;0, Q654/O654, 0)</f>
        <v/>
      </c>
      <c r="U654" s="18">
        <f>IF(Q654=0, "Exceeds Limit", IF(P654&lt;=O654, "Weight Limited", "Volume Limited"))</f>
        <v/>
      </c>
    </row>
    <row r="655" ht="19" customHeight="1">
      <c r="A655" s="38" t="n">
        <v>645</v>
      </c>
      <c r="B655" s="51" t="inlineStr">
        <is>
          <t>Stainless Steel 316</t>
        </is>
      </c>
      <c r="C655" s="13" t="inlineStr">
        <is>
          <t>ASME B36.19M</t>
        </is>
      </c>
      <c r="D655" s="12" t="inlineStr">
        <is>
          <t>16''</t>
        </is>
      </c>
      <c r="E655" s="38" t="n">
        <v>400</v>
      </c>
      <c r="F655" s="12" t="inlineStr">
        <is>
          <t>STD</t>
        </is>
      </c>
      <c r="G655" s="14" t="n">
        <v>16</v>
      </c>
      <c r="H655" s="40" t="n">
        <v>406.4</v>
      </c>
      <c r="I655" s="14" t="n">
        <v>0.375</v>
      </c>
      <c r="J655" s="40" t="n">
        <v>9.52</v>
      </c>
      <c r="K655" s="14">
        <f>ROUND((H655-J655)*J655*IF(B655="Carbon Steel",$K$7,IF(B655="Stainless Steel 304",$K$8,$L$8)), 3)</f>
        <v/>
      </c>
      <c r="L655" s="40">
        <f>ROUND(K655*$G$5, 2)</f>
        <v/>
      </c>
      <c r="M655" s="38">
        <f>INT($G$6/H655)</f>
        <v/>
      </c>
      <c r="N655" s="38">
        <f>IF(M655=0, 0, IF(OR($K$6="Square Grid", M655=1), INT($G$7/H655), IF($G$7&lt;H655, 0, 1+INT(($G$7-H655)/(0.8660254*H655)))))</f>
        <v/>
      </c>
      <c r="O655" s="41">
        <f>IF(OR(M655=0,N655=0), 0, IF(OR($K$6="Square Grid", M655=1), M655*N655*$K$5, (INT((N655+1)/2)*M655 + INT(N655/2)*IF(($G$6-M655*H655)&gt;=0.5*H655, M655, M655-1))*$K$5))</f>
        <v/>
      </c>
      <c r="P655" s="41">
        <f>IF(L655&lt;=0, 0, INT($G$8/L655))</f>
        <v/>
      </c>
      <c r="Q655" s="42">
        <f>MIN(O655, P655)</f>
        <v/>
      </c>
      <c r="R655" s="43">
        <f>ROUND((Q655*L655)/1000, 2)</f>
        <v/>
      </c>
      <c r="S655" s="44">
        <f>IF($C$8&gt;0, R655/$C$8, 0)</f>
        <v/>
      </c>
      <c r="T655" s="44">
        <f>IF(O655&gt;0, Q655/O655, 0)</f>
        <v/>
      </c>
      <c r="U655" s="12">
        <f>IF(Q655=0, "Exceeds Limit", IF(P655&lt;=O655, "Weight Limited", "Volume Limited"))</f>
        <v/>
      </c>
    </row>
    <row r="656" ht="19" customHeight="1">
      <c r="A656" s="45" t="n">
        <v>646</v>
      </c>
      <c r="B656" s="50" t="inlineStr">
        <is>
          <t>Stainless Steel 316</t>
        </is>
      </c>
      <c r="C656" s="19" t="inlineStr">
        <is>
          <t>ASME B36.19M</t>
        </is>
      </c>
      <c r="D656" s="18" t="inlineStr">
        <is>
          <t>16''</t>
        </is>
      </c>
      <c r="E656" s="45" t="n">
        <v>400</v>
      </c>
      <c r="F656" s="18" t="inlineStr">
        <is>
          <t>XS</t>
        </is>
      </c>
      <c r="G656" s="20" t="n">
        <v>16</v>
      </c>
      <c r="H656" s="47" t="n">
        <v>406.4</v>
      </c>
      <c r="I656" s="20" t="n">
        <v>0.5</v>
      </c>
      <c r="J656" s="47" t="n">
        <v>12.7</v>
      </c>
      <c r="K656" s="20">
        <f>ROUND((H656-J656)*J656*IF(B656="Carbon Steel",$K$7,IF(B656="Stainless Steel 304",$K$8,$L$8)), 3)</f>
        <v/>
      </c>
      <c r="L656" s="47">
        <f>ROUND(K656*$G$5, 2)</f>
        <v/>
      </c>
      <c r="M656" s="45">
        <f>INT($G$6/H656)</f>
        <v/>
      </c>
      <c r="N656" s="45">
        <f>IF(M656=0, 0, IF(OR($K$6="Square Grid", M656=1), INT($G$7/H656), IF($G$7&lt;H656, 0, 1+INT(($G$7-H656)/(0.8660254*H656)))))</f>
        <v/>
      </c>
      <c r="O656" s="48">
        <f>IF(OR(M656=0,N656=0), 0, IF(OR($K$6="Square Grid", M656=1), M656*N656*$K$5, (INT((N656+1)/2)*M656 + INT(N656/2)*IF(($G$6-M656*H656)&gt;=0.5*H656, M656, M656-1))*$K$5))</f>
        <v/>
      </c>
      <c r="P656" s="48">
        <f>IF(L656&lt;=0, 0, INT($G$8/L656))</f>
        <v/>
      </c>
      <c r="Q656" s="42">
        <f>MIN(O656, P656)</f>
        <v/>
      </c>
      <c r="R656" s="43">
        <f>ROUND((Q656*L656)/1000, 2)</f>
        <v/>
      </c>
      <c r="S656" s="49">
        <f>IF($C$8&gt;0, R656/$C$8, 0)</f>
        <v/>
      </c>
      <c r="T656" s="49">
        <f>IF(O656&gt;0, Q656/O656, 0)</f>
        <v/>
      </c>
      <c r="U656" s="18">
        <f>IF(Q656=0, "Exceeds Limit", IF(P656&lt;=O656, "Weight Limited", "Volume Limited"))</f>
        <v/>
      </c>
    </row>
    <row r="657" ht="19" customHeight="1">
      <c r="A657" s="38" t="n">
        <v>647</v>
      </c>
      <c r="B657" s="51" t="inlineStr">
        <is>
          <t>Stainless Steel 316</t>
        </is>
      </c>
      <c r="C657" s="13" t="inlineStr">
        <is>
          <t>ASME B36.19M</t>
        </is>
      </c>
      <c r="D657" s="12" t="inlineStr">
        <is>
          <t>16''</t>
        </is>
      </c>
      <c r="E657" s="38" t="n">
        <v>400</v>
      </c>
      <c r="F657" s="12" t="inlineStr">
        <is>
          <t>160</t>
        </is>
      </c>
      <c r="G657" s="14" t="n">
        <v>16</v>
      </c>
      <c r="H657" s="40" t="n">
        <v>406.4</v>
      </c>
      <c r="I657" s="14" t="n">
        <v>1.594</v>
      </c>
      <c r="J657" s="40" t="n">
        <v>40.49</v>
      </c>
      <c r="K657" s="14">
        <f>ROUND((H657-J657)*J657*IF(B657="Carbon Steel",$K$7,IF(B657="Stainless Steel 304",$K$8,$L$8)), 3)</f>
        <v/>
      </c>
      <c r="L657" s="40">
        <f>ROUND(K657*$G$5, 2)</f>
        <v/>
      </c>
      <c r="M657" s="38">
        <f>INT($G$6/H657)</f>
        <v/>
      </c>
      <c r="N657" s="38">
        <f>IF(M657=0, 0, IF(OR($K$6="Square Grid", M657=1), INT($G$7/H657), IF($G$7&lt;H657, 0, 1+INT(($G$7-H657)/(0.8660254*H657)))))</f>
        <v/>
      </c>
      <c r="O657" s="41">
        <f>IF(OR(M657=0,N657=0), 0, IF(OR($K$6="Square Grid", M657=1), M657*N657*$K$5, (INT((N657+1)/2)*M657 + INT(N657/2)*IF(($G$6-M657*H657)&gt;=0.5*H657, M657, M657-1))*$K$5))</f>
        <v/>
      </c>
      <c r="P657" s="41">
        <f>IF(L657&lt;=0, 0, INT($G$8/L657))</f>
        <v/>
      </c>
      <c r="Q657" s="42">
        <f>MIN(O657, P657)</f>
        <v/>
      </c>
      <c r="R657" s="43">
        <f>ROUND((Q657*L657)/1000, 2)</f>
        <v/>
      </c>
      <c r="S657" s="44">
        <f>IF($C$8&gt;0, R657/$C$8, 0)</f>
        <v/>
      </c>
      <c r="T657" s="44">
        <f>IF(O657&gt;0, Q657/O657, 0)</f>
        <v/>
      </c>
      <c r="U657" s="12">
        <f>IF(Q657=0, "Exceeds Limit", IF(P657&lt;=O657, "Weight Limited", "Volume Limited"))</f>
        <v/>
      </c>
    </row>
    <row r="658" ht="19" customHeight="1">
      <c r="A658" s="45" t="n">
        <v>648</v>
      </c>
      <c r="B658" s="50" t="inlineStr">
        <is>
          <t>Stainless Steel 316</t>
        </is>
      </c>
      <c r="C658" s="19" t="inlineStr">
        <is>
          <t>ASME B36.19M</t>
        </is>
      </c>
      <c r="D658" s="18" t="inlineStr">
        <is>
          <t>18''</t>
        </is>
      </c>
      <c r="E658" s="45" t="n">
        <v>450</v>
      </c>
      <c r="F658" s="18" t="inlineStr">
        <is>
          <t>5S</t>
        </is>
      </c>
      <c r="G658" s="20" t="n">
        <v>18</v>
      </c>
      <c r="H658" s="47" t="n">
        <v>457.2</v>
      </c>
      <c r="I658" s="20" t="n">
        <v>0.165</v>
      </c>
      <c r="J658" s="47" t="n">
        <v>4.19</v>
      </c>
      <c r="K658" s="20">
        <f>ROUND((H658-J658)*J658*IF(B658="Carbon Steel",$K$7,IF(B658="Stainless Steel 304",$K$8,$L$8)), 3)</f>
        <v/>
      </c>
      <c r="L658" s="47">
        <f>ROUND(K658*$G$5, 2)</f>
        <v/>
      </c>
      <c r="M658" s="45">
        <f>INT($G$6/H658)</f>
        <v/>
      </c>
      <c r="N658" s="45">
        <f>IF(M658=0, 0, IF(OR($K$6="Square Grid", M658=1), INT($G$7/H658), IF($G$7&lt;H658, 0, 1+INT(($G$7-H658)/(0.8660254*H658)))))</f>
        <v/>
      </c>
      <c r="O658" s="48">
        <f>IF(OR(M658=0,N658=0), 0, IF(OR($K$6="Square Grid", M658=1), M658*N658*$K$5, (INT((N658+1)/2)*M658 + INT(N658/2)*IF(($G$6-M658*H658)&gt;=0.5*H658, M658, M658-1))*$K$5))</f>
        <v/>
      </c>
      <c r="P658" s="48">
        <f>IF(L658&lt;=0, 0, INT($G$8/L658))</f>
        <v/>
      </c>
      <c r="Q658" s="42">
        <f>MIN(O658, P658)</f>
        <v/>
      </c>
      <c r="R658" s="43">
        <f>ROUND((Q658*L658)/1000, 2)</f>
        <v/>
      </c>
      <c r="S658" s="49">
        <f>IF($C$8&gt;0, R658/$C$8, 0)</f>
        <v/>
      </c>
      <c r="T658" s="49">
        <f>IF(O658&gt;0, Q658/O658, 0)</f>
        <v/>
      </c>
      <c r="U658" s="18">
        <f>IF(Q658=0, "Exceeds Limit", IF(P658&lt;=O658, "Weight Limited", "Volume Limited"))</f>
        <v/>
      </c>
    </row>
    <row r="659" ht="19" customHeight="1">
      <c r="A659" s="38" t="n">
        <v>649</v>
      </c>
      <c r="B659" s="51" t="inlineStr">
        <is>
          <t>Stainless Steel 316</t>
        </is>
      </c>
      <c r="C659" s="13" t="inlineStr">
        <is>
          <t>ASME B36.19M</t>
        </is>
      </c>
      <c r="D659" s="12" t="inlineStr">
        <is>
          <t>18''</t>
        </is>
      </c>
      <c r="E659" s="38" t="n">
        <v>450</v>
      </c>
      <c r="F659" s="12" t="inlineStr">
        <is>
          <t>10S</t>
        </is>
      </c>
      <c r="G659" s="14" t="n">
        <v>18</v>
      </c>
      <c r="H659" s="40" t="n">
        <v>457.2</v>
      </c>
      <c r="I659" s="14" t="n">
        <v>0.188</v>
      </c>
      <c r="J659" s="40" t="n">
        <v>4.78</v>
      </c>
      <c r="K659" s="14">
        <f>ROUND((H659-J659)*J659*IF(B659="Carbon Steel",$K$7,IF(B659="Stainless Steel 304",$K$8,$L$8)), 3)</f>
        <v/>
      </c>
      <c r="L659" s="40">
        <f>ROUND(K659*$G$5, 2)</f>
        <v/>
      </c>
      <c r="M659" s="38">
        <f>INT($G$6/H659)</f>
        <v/>
      </c>
      <c r="N659" s="38">
        <f>IF(M659=0, 0, IF(OR($K$6="Square Grid", M659=1), INT($G$7/H659), IF($G$7&lt;H659, 0, 1+INT(($G$7-H659)/(0.8660254*H659)))))</f>
        <v/>
      </c>
      <c r="O659" s="41">
        <f>IF(OR(M659=0,N659=0), 0, IF(OR($K$6="Square Grid", M659=1), M659*N659*$K$5, (INT((N659+1)/2)*M659 + INT(N659/2)*IF(($G$6-M659*H659)&gt;=0.5*H659, M659, M659-1))*$K$5))</f>
        <v/>
      </c>
      <c r="P659" s="41">
        <f>IF(L659&lt;=0, 0, INT($G$8/L659))</f>
        <v/>
      </c>
      <c r="Q659" s="42">
        <f>MIN(O659, P659)</f>
        <v/>
      </c>
      <c r="R659" s="43">
        <f>ROUND((Q659*L659)/1000, 2)</f>
        <v/>
      </c>
      <c r="S659" s="44">
        <f>IF($C$8&gt;0, R659/$C$8, 0)</f>
        <v/>
      </c>
      <c r="T659" s="44">
        <f>IF(O659&gt;0, Q659/O659, 0)</f>
        <v/>
      </c>
      <c r="U659" s="12">
        <f>IF(Q659=0, "Exceeds Limit", IF(P659&lt;=O659, "Weight Limited", "Volume Limited"))</f>
        <v/>
      </c>
    </row>
    <row r="660" ht="19" customHeight="1">
      <c r="A660" s="45" t="n">
        <v>650</v>
      </c>
      <c r="B660" s="50" t="inlineStr">
        <is>
          <t>Stainless Steel 316</t>
        </is>
      </c>
      <c r="C660" s="19" t="inlineStr">
        <is>
          <t>ASME B36.19M</t>
        </is>
      </c>
      <c r="D660" s="18" t="inlineStr">
        <is>
          <t>18''</t>
        </is>
      </c>
      <c r="E660" s="45" t="n">
        <v>450</v>
      </c>
      <c r="F660" s="18" t="inlineStr">
        <is>
          <t>40S</t>
        </is>
      </c>
      <c r="G660" s="20" t="n">
        <v>18</v>
      </c>
      <c r="H660" s="47" t="n">
        <v>457.2</v>
      </c>
      <c r="I660" s="20" t="n">
        <v>0.375</v>
      </c>
      <c r="J660" s="47" t="n">
        <v>9.52</v>
      </c>
      <c r="K660" s="20">
        <f>ROUND((H660-J660)*J660*IF(B660="Carbon Steel",$K$7,IF(B660="Stainless Steel 304",$K$8,$L$8)), 3)</f>
        <v/>
      </c>
      <c r="L660" s="47">
        <f>ROUND(K660*$G$5, 2)</f>
        <v/>
      </c>
      <c r="M660" s="45">
        <f>INT($G$6/H660)</f>
        <v/>
      </c>
      <c r="N660" s="45">
        <f>IF(M660=0, 0, IF(OR($K$6="Square Grid", M660=1), INT($G$7/H660), IF($G$7&lt;H660, 0, 1+INT(($G$7-H660)/(0.8660254*H660)))))</f>
        <v/>
      </c>
      <c r="O660" s="48">
        <f>IF(OR(M660=0,N660=0), 0, IF(OR($K$6="Square Grid", M660=1), M660*N660*$K$5, (INT((N660+1)/2)*M660 + INT(N660/2)*IF(($G$6-M660*H660)&gt;=0.5*H660, M660, M660-1))*$K$5))</f>
        <v/>
      </c>
      <c r="P660" s="48">
        <f>IF(L660&lt;=0, 0, INT($G$8/L660))</f>
        <v/>
      </c>
      <c r="Q660" s="42">
        <f>MIN(O660, P660)</f>
        <v/>
      </c>
      <c r="R660" s="43">
        <f>ROUND((Q660*L660)/1000, 2)</f>
        <v/>
      </c>
      <c r="S660" s="49">
        <f>IF($C$8&gt;0, R660/$C$8, 0)</f>
        <v/>
      </c>
      <c r="T660" s="49">
        <f>IF(O660&gt;0, Q660/O660, 0)</f>
        <v/>
      </c>
      <c r="U660" s="18">
        <f>IF(Q660=0, "Exceeds Limit", IF(P660&lt;=O660, "Weight Limited", "Volume Limited"))</f>
        <v/>
      </c>
    </row>
    <row r="661" ht="19" customHeight="1">
      <c r="A661" s="38" t="n">
        <v>651</v>
      </c>
      <c r="B661" s="51" t="inlineStr">
        <is>
          <t>Stainless Steel 316</t>
        </is>
      </c>
      <c r="C661" s="13" t="inlineStr">
        <is>
          <t>ASME B36.19M</t>
        </is>
      </c>
      <c r="D661" s="12" t="inlineStr">
        <is>
          <t>18''</t>
        </is>
      </c>
      <c r="E661" s="38" t="n">
        <v>450</v>
      </c>
      <c r="F661" s="12" t="inlineStr">
        <is>
          <t>80S</t>
        </is>
      </c>
      <c r="G661" s="14" t="n">
        <v>18</v>
      </c>
      <c r="H661" s="40" t="n">
        <v>457.2</v>
      </c>
      <c r="I661" s="14" t="n">
        <v>0.5</v>
      </c>
      <c r="J661" s="40" t="n">
        <v>12.7</v>
      </c>
      <c r="K661" s="14">
        <f>ROUND((H661-J661)*J661*IF(B661="Carbon Steel",$K$7,IF(B661="Stainless Steel 304",$K$8,$L$8)), 3)</f>
        <v/>
      </c>
      <c r="L661" s="40">
        <f>ROUND(K661*$G$5, 2)</f>
        <v/>
      </c>
      <c r="M661" s="38">
        <f>INT($G$6/H661)</f>
        <v/>
      </c>
      <c r="N661" s="38">
        <f>IF(M661=0, 0, IF(OR($K$6="Square Grid", M661=1), INT($G$7/H661), IF($G$7&lt;H661, 0, 1+INT(($G$7-H661)/(0.8660254*H661)))))</f>
        <v/>
      </c>
      <c r="O661" s="41">
        <f>IF(OR(M661=0,N661=0), 0, IF(OR($K$6="Square Grid", M661=1), M661*N661*$K$5, (INT((N661+1)/2)*M661 + INT(N661/2)*IF(($G$6-M661*H661)&gt;=0.5*H661, M661, M661-1))*$K$5))</f>
        <v/>
      </c>
      <c r="P661" s="41">
        <f>IF(L661&lt;=0, 0, INT($G$8/L661))</f>
        <v/>
      </c>
      <c r="Q661" s="42">
        <f>MIN(O661, P661)</f>
        <v/>
      </c>
      <c r="R661" s="43">
        <f>ROUND((Q661*L661)/1000, 2)</f>
        <v/>
      </c>
      <c r="S661" s="44">
        <f>IF($C$8&gt;0, R661/$C$8, 0)</f>
        <v/>
      </c>
      <c r="T661" s="44">
        <f>IF(O661&gt;0, Q661/O661, 0)</f>
        <v/>
      </c>
      <c r="U661" s="12">
        <f>IF(Q661=0, "Exceeds Limit", IF(P661&lt;=O661, "Weight Limited", "Volume Limited"))</f>
        <v/>
      </c>
    </row>
    <row r="662" ht="19" customHeight="1">
      <c r="A662" s="45" t="n">
        <v>652</v>
      </c>
      <c r="B662" s="50" t="inlineStr">
        <is>
          <t>Stainless Steel 316</t>
        </is>
      </c>
      <c r="C662" s="19" t="inlineStr">
        <is>
          <t>ASME B36.19M</t>
        </is>
      </c>
      <c r="D662" s="18" t="inlineStr">
        <is>
          <t>18''</t>
        </is>
      </c>
      <c r="E662" s="45" t="n">
        <v>450</v>
      </c>
      <c r="F662" s="18" t="inlineStr">
        <is>
          <t>STD</t>
        </is>
      </c>
      <c r="G662" s="20" t="n">
        <v>18</v>
      </c>
      <c r="H662" s="47" t="n">
        <v>457.2</v>
      </c>
      <c r="I662" s="20" t="n">
        <v>0.375</v>
      </c>
      <c r="J662" s="47" t="n">
        <v>9.52</v>
      </c>
      <c r="K662" s="20">
        <f>ROUND((H662-J662)*J662*IF(B662="Carbon Steel",$K$7,IF(B662="Stainless Steel 304",$K$8,$L$8)), 3)</f>
        <v/>
      </c>
      <c r="L662" s="47">
        <f>ROUND(K662*$G$5, 2)</f>
        <v/>
      </c>
      <c r="M662" s="45">
        <f>INT($G$6/H662)</f>
        <v/>
      </c>
      <c r="N662" s="45">
        <f>IF(M662=0, 0, IF(OR($K$6="Square Grid", M662=1), INT($G$7/H662), IF($G$7&lt;H662, 0, 1+INT(($G$7-H662)/(0.8660254*H662)))))</f>
        <v/>
      </c>
      <c r="O662" s="48">
        <f>IF(OR(M662=0,N662=0), 0, IF(OR($K$6="Square Grid", M662=1), M662*N662*$K$5, (INT((N662+1)/2)*M662 + INT(N662/2)*IF(($G$6-M662*H662)&gt;=0.5*H662, M662, M662-1))*$K$5))</f>
        <v/>
      </c>
      <c r="P662" s="48">
        <f>IF(L662&lt;=0, 0, INT($G$8/L662))</f>
        <v/>
      </c>
      <c r="Q662" s="42">
        <f>MIN(O662, P662)</f>
        <v/>
      </c>
      <c r="R662" s="43">
        <f>ROUND((Q662*L662)/1000, 2)</f>
        <v/>
      </c>
      <c r="S662" s="49">
        <f>IF($C$8&gt;0, R662/$C$8, 0)</f>
        <v/>
      </c>
      <c r="T662" s="49">
        <f>IF(O662&gt;0, Q662/O662, 0)</f>
        <v/>
      </c>
      <c r="U662" s="18">
        <f>IF(Q662=0, "Exceeds Limit", IF(P662&lt;=O662, "Weight Limited", "Volume Limited"))</f>
        <v/>
      </c>
    </row>
    <row r="663" ht="19" customHeight="1">
      <c r="A663" s="38" t="n">
        <v>653</v>
      </c>
      <c r="B663" s="51" t="inlineStr">
        <is>
          <t>Stainless Steel 316</t>
        </is>
      </c>
      <c r="C663" s="13" t="inlineStr">
        <is>
          <t>ASME B36.19M</t>
        </is>
      </c>
      <c r="D663" s="12" t="inlineStr">
        <is>
          <t>18''</t>
        </is>
      </c>
      <c r="E663" s="38" t="n">
        <v>450</v>
      </c>
      <c r="F663" s="12" t="inlineStr">
        <is>
          <t>XS</t>
        </is>
      </c>
      <c r="G663" s="14" t="n">
        <v>18</v>
      </c>
      <c r="H663" s="40" t="n">
        <v>457.2</v>
      </c>
      <c r="I663" s="14" t="n">
        <v>0.5</v>
      </c>
      <c r="J663" s="40" t="n">
        <v>12.7</v>
      </c>
      <c r="K663" s="14">
        <f>ROUND((H663-J663)*J663*IF(B663="Carbon Steel",$K$7,IF(B663="Stainless Steel 304",$K$8,$L$8)), 3)</f>
        <v/>
      </c>
      <c r="L663" s="40">
        <f>ROUND(K663*$G$5, 2)</f>
        <v/>
      </c>
      <c r="M663" s="38">
        <f>INT($G$6/H663)</f>
        <v/>
      </c>
      <c r="N663" s="38">
        <f>IF(M663=0, 0, IF(OR($K$6="Square Grid", M663=1), INT($G$7/H663), IF($G$7&lt;H663, 0, 1+INT(($G$7-H663)/(0.8660254*H663)))))</f>
        <v/>
      </c>
      <c r="O663" s="41">
        <f>IF(OR(M663=0,N663=0), 0, IF(OR($K$6="Square Grid", M663=1), M663*N663*$K$5, (INT((N663+1)/2)*M663 + INT(N663/2)*IF(($G$6-M663*H663)&gt;=0.5*H663, M663, M663-1))*$K$5))</f>
        <v/>
      </c>
      <c r="P663" s="41">
        <f>IF(L663&lt;=0, 0, INT($G$8/L663))</f>
        <v/>
      </c>
      <c r="Q663" s="42">
        <f>MIN(O663, P663)</f>
        <v/>
      </c>
      <c r="R663" s="43">
        <f>ROUND((Q663*L663)/1000, 2)</f>
        <v/>
      </c>
      <c r="S663" s="44">
        <f>IF($C$8&gt;0, R663/$C$8, 0)</f>
        <v/>
      </c>
      <c r="T663" s="44">
        <f>IF(O663&gt;0, Q663/O663, 0)</f>
        <v/>
      </c>
      <c r="U663" s="12">
        <f>IF(Q663=0, "Exceeds Limit", IF(P663&lt;=O663, "Weight Limited", "Volume Limited"))</f>
        <v/>
      </c>
    </row>
    <row r="664" ht="19" customHeight="1">
      <c r="A664" s="45" t="n">
        <v>654</v>
      </c>
      <c r="B664" s="50" t="inlineStr">
        <is>
          <t>Stainless Steel 316</t>
        </is>
      </c>
      <c r="C664" s="19" t="inlineStr">
        <is>
          <t>ASME B36.19M</t>
        </is>
      </c>
      <c r="D664" s="18" t="inlineStr">
        <is>
          <t>18''</t>
        </is>
      </c>
      <c r="E664" s="45" t="n">
        <v>450</v>
      </c>
      <c r="F664" s="18" t="inlineStr">
        <is>
          <t>160</t>
        </is>
      </c>
      <c r="G664" s="20" t="n">
        <v>18</v>
      </c>
      <c r="H664" s="47" t="n">
        <v>457.2</v>
      </c>
      <c r="I664" s="20" t="n">
        <v>1.781</v>
      </c>
      <c r="J664" s="47" t="n">
        <v>45.24</v>
      </c>
      <c r="K664" s="20">
        <f>ROUND((H664-J664)*J664*IF(B664="Carbon Steel",$K$7,IF(B664="Stainless Steel 304",$K$8,$L$8)), 3)</f>
        <v/>
      </c>
      <c r="L664" s="47">
        <f>ROUND(K664*$G$5, 2)</f>
        <v/>
      </c>
      <c r="M664" s="45">
        <f>INT($G$6/H664)</f>
        <v/>
      </c>
      <c r="N664" s="45">
        <f>IF(M664=0, 0, IF(OR($K$6="Square Grid", M664=1), INT($G$7/H664), IF($G$7&lt;H664, 0, 1+INT(($G$7-H664)/(0.8660254*H664)))))</f>
        <v/>
      </c>
      <c r="O664" s="48">
        <f>IF(OR(M664=0,N664=0), 0, IF(OR($K$6="Square Grid", M664=1), M664*N664*$K$5, (INT((N664+1)/2)*M664 + INT(N664/2)*IF(($G$6-M664*H664)&gt;=0.5*H664, M664, M664-1))*$K$5))</f>
        <v/>
      </c>
      <c r="P664" s="48">
        <f>IF(L664&lt;=0, 0, INT($G$8/L664))</f>
        <v/>
      </c>
      <c r="Q664" s="42">
        <f>MIN(O664, P664)</f>
        <v/>
      </c>
      <c r="R664" s="43">
        <f>ROUND((Q664*L664)/1000, 2)</f>
        <v/>
      </c>
      <c r="S664" s="49">
        <f>IF($C$8&gt;0, R664/$C$8, 0)</f>
        <v/>
      </c>
      <c r="T664" s="49">
        <f>IF(O664&gt;0, Q664/O664, 0)</f>
        <v/>
      </c>
      <c r="U664" s="18">
        <f>IF(Q664=0, "Exceeds Limit", IF(P664&lt;=O664, "Weight Limited", "Volume Limited"))</f>
        <v/>
      </c>
    </row>
    <row r="665" ht="19" customHeight="1">
      <c r="A665" s="38" t="n">
        <v>655</v>
      </c>
      <c r="B665" s="51" t="inlineStr">
        <is>
          <t>Stainless Steel 316</t>
        </is>
      </c>
      <c r="C665" s="13" t="inlineStr">
        <is>
          <t>ASME B36.19M</t>
        </is>
      </c>
      <c r="D665" s="12" t="inlineStr">
        <is>
          <t>20''</t>
        </is>
      </c>
      <c r="E665" s="38" t="n">
        <v>500</v>
      </c>
      <c r="F665" s="12" t="inlineStr">
        <is>
          <t>5S</t>
        </is>
      </c>
      <c r="G665" s="14" t="n">
        <v>20</v>
      </c>
      <c r="H665" s="40" t="n">
        <v>508</v>
      </c>
      <c r="I665" s="14" t="n">
        <v>0.188</v>
      </c>
      <c r="J665" s="40" t="n">
        <v>4.78</v>
      </c>
      <c r="K665" s="14">
        <f>ROUND((H665-J665)*J665*IF(B665="Carbon Steel",$K$7,IF(B665="Stainless Steel 304",$K$8,$L$8)), 3)</f>
        <v/>
      </c>
      <c r="L665" s="40">
        <f>ROUND(K665*$G$5, 2)</f>
        <v/>
      </c>
      <c r="M665" s="38">
        <f>INT($G$6/H665)</f>
        <v/>
      </c>
      <c r="N665" s="38">
        <f>IF(M665=0, 0, IF(OR($K$6="Square Grid", M665=1), INT($G$7/H665), IF($G$7&lt;H665, 0, 1+INT(($G$7-H665)/(0.8660254*H665)))))</f>
        <v/>
      </c>
      <c r="O665" s="41">
        <f>IF(OR(M665=0,N665=0), 0, IF(OR($K$6="Square Grid", M665=1), M665*N665*$K$5, (INT((N665+1)/2)*M665 + INT(N665/2)*IF(($G$6-M665*H665)&gt;=0.5*H665, M665, M665-1))*$K$5))</f>
        <v/>
      </c>
      <c r="P665" s="41">
        <f>IF(L665&lt;=0, 0, INT($G$8/L665))</f>
        <v/>
      </c>
      <c r="Q665" s="42">
        <f>MIN(O665, P665)</f>
        <v/>
      </c>
      <c r="R665" s="43">
        <f>ROUND((Q665*L665)/1000, 2)</f>
        <v/>
      </c>
      <c r="S665" s="44">
        <f>IF($C$8&gt;0, R665/$C$8, 0)</f>
        <v/>
      </c>
      <c r="T665" s="44">
        <f>IF(O665&gt;0, Q665/O665, 0)</f>
        <v/>
      </c>
      <c r="U665" s="12">
        <f>IF(Q665=0, "Exceeds Limit", IF(P665&lt;=O665, "Weight Limited", "Volume Limited"))</f>
        <v/>
      </c>
    </row>
    <row r="666" ht="19" customHeight="1">
      <c r="A666" s="45" t="n">
        <v>656</v>
      </c>
      <c r="B666" s="50" t="inlineStr">
        <is>
          <t>Stainless Steel 316</t>
        </is>
      </c>
      <c r="C666" s="19" t="inlineStr">
        <is>
          <t>ASME B36.19M</t>
        </is>
      </c>
      <c r="D666" s="18" t="inlineStr">
        <is>
          <t>20''</t>
        </is>
      </c>
      <c r="E666" s="45" t="n">
        <v>500</v>
      </c>
      <c r="F666" s="18" t="inlineStr">
        <is>
          <t>10S</t>
        </is>
      </c>
      <c r="G666" s="20" t="n">
        <v>20</v>
      </c>
      <c r="H666" s="47" t="n">
        <v>508</v>
      </c>
      <c r="I666" s="20" t="n">
        <v>0.218</v>
      </c>
      <c r="J666" s="47" t="n">
        <v>5.54</v>
      </c>
      <c r="K666" s="20">
        <f>ROUND((H666-J666)*J666*IF(B666="Carbon Steel",$K$7,IF(B666="Stainless Steel 304",$K$8,$L$8)), 3)</f>
        <v/>
      </c>
      <c r="L666" s="47">
        <f>ROUND(K666*$G$5, 2)</f>
        <v/>
      </c>
      <c r="M666" s="45">
        <f>INT($G$6/H666)</f>
        <v/>
      </c>
      <c r="N666" s="45">
        <f>IF(M666=0, 0, IF(OR($K$6="Square Grid", M666=1), INT($G$7/H666), IF($G$7&lt;H666, 0, 1+INT(($G$7-H666)/(0.8660254*H666)))))</f>
        <v/>
      </c>
      <c r="O666" s="48">
        <f>IF(OR(M666=0,N666=0), 0, IF(OR($K$6="Square Grid", M666=1), M666*N666*$K$5, (INT((N666+1)/2)*M666 + INT(N666/2)*IF(($G$6-M666*H666)&gt;=0.5*H666, M666, M666-1))*$K$5))</f>
        <v/>
      </c>
      <c r="P666" s="48">
        <f>IF(L666&lt;=0, 0, INT($G$8/L666))</f>
        <v/>
      </c>
      <c r="Q666" s="42">
        <f>MIN(O666, P666)</f>
        <v/>
      </c>
      <c r="R666" s="43">
        <f>ROUND((Q666*L666)/1000, 2)</f>
        <v/>
      </c>
      <c r="S666" s="49">
        <f>IF($C$8&gt;0, R666/$C$8, 0)</f>
        <v/>
      </c>
      <c r="T666" s="49">
        <f>IF(O666&gt;0, Q666/O666, 0)</f>
        <v/>
      </c>
      <c r="U666" s="18">
        <f>IF(Q666=0, "Exceeds Limit", IF(P666&lt;=O666, "Weight Limited", "Volume Limited"))</f>
        <v/>
      </c>
    </row>
    <row r="667" ht="19" customHeight="1">
      <c r="A667" s="38" t="n">
        <v>657</v>
      </c>
      <c r="B667" s="51" t="inlineStr">
        <is>
          <t>Stainless Steel 316</t>
        </is>
      </c>
      <c r="C667" s="13" t="inlineStr">
        <is>
          <t>ASME B36.19M</t>
        </is>
      </c>
      <c r="D667" s="12" t="inlineStr">
        <is>
          <t>20''</t>
        </is>
      </c>
      <c r="E667" s="38" t="n">
        <v>500</v>
      </c>
      <c r="F667" s="12" t="inlineStr">
        <is>
          <t>40S</t>
        </is>
      </c>
      <c r="G667" s="14" t="n">
        <v>20</v>
      </c>
      <c r="H667" s="40" t="n">
        <v>508</v>
      </c>
      <c r="I667" s="14" t="n">
        <v>0.375</v>
      </c>
      <c r="J667" s="40" t="n">
        <v>9.52</v>
      </c>
      <c r="K667" s="14">
        <f>ROUND((H667-J667)*J667*IF(B667="Carbon Steel",$K$7,IF(B667="Stainless Steel 304",$K$8,$L$8)), 3)</f>
        <v/>
      </c>
      <c r="L667" s="40">
        <f>ROUND(K667*$G$5, 2)</f>
        <v/>
      </c>
      <c r="M667" s="38">
        <f>INT($G$6/H667)</f>
        <v/>
      </c>
      <c r="N667" s="38">
        <f>IF(M667=0, 0, IF(OR($K$6="Square Grid", M667=1), INT($G$7/H667), IF($G$7&lt;H667, 0, 1+INT(($G$7-H667)/(0.8660254*H667)))))</f>
        <v/>
      </c>
      <c r="O667" s="41">
        <f>IF(OR(M667=0,N667=0), 0, IF(OR($K$6="Square Grid", M667=1), M667*N667*$K$5, (INT((N667+1)/2)*M667 + INT(N667/2)*IF(($G$6-M667*H667)&gt;=0.5*H667, M667, M667-1))*$K$5))</f>
        <v/>
      </c>
      <c r="P667" s="41">
        <f>IF(L667&lt;=0, 0, INT($G$8/L667))</f>
        <v/>
      </c>
      <c r="Q667" s="42">
        <f>MIN(O667, P667)</f>
        <v/>
      </c>
      <c r="R667" s="43">
        <f>ROUND((Q667*L667)/1000, 2)</f>
        <v/>
      </c>
      <c r="S667" s="44">
        <f>IF($C$8&gt;0, R667/$C$8, 0)</f>
        <v/>
      </c>
      <c r="T667" s="44">
        <f>IF(O667&gt;0, Q667/O667, 0)</f>
        <v/>
      </c>
      <c r="U667" s="12">
        <f>IF(Q667=0, "Exceeds Limit", IF(P667&lt;=O667, "Weight Limited", "Volume Limited"))</f>
        <v/>
      </c>
    </row>
    <row r="668" ht="19" customHeight="1">
      <c r="A668" s="45" t="n">
        <v>658</v>
      </c>
      <c r="B668" s="50" t="inlineStr">
        <is>
          <t>Stainless Steel 316</t>
        </is>
      </c>
      <c r="C668" s="19" t="inlineStr">
        <is>
          <t>ASME B36.19M</t>
        </is>
      </c>
      <c r="D668" s="18" t="inlineStr">
        <is>
          <t>20''</t>
        </is>
      </c>
      <c r="E668" s="45" t="n">
        <v>500</v>
      </c>
      <c r="F668" s="18" t="inlineStr">
        <is>
          <t>80S</t>
        </is>
      </c>
      <c r="G668" s="20" t="n">
        <v>20</v>
      </c>
      <c r="H668" s="47" t="n">
        <v>508</v>
      </c>
      <c r="I668" s="20" t="n">
        <v>0.5</v>
      </c>
      <c r="J668" s="47" t="n">
        <v>12.7</v>
      </c>
      <c r="K668" s="20">
        <f>ROUND((H668-J668)*J668*IF(B668="Carbon Steel",$K$7,IF(B668="Stainless Steel 304",$K$8,$L$8)), 3)</f>
        <v/>
      </c>
      <c r="L668" s="47">
        <f>ROUND(K668*$G$5, 2)</f>
        <v/>
      </c>
      <c r="M668" s="45">
        <f>INT($G$6/H668)</f>
        <v/>
      </c>
      <c r="N668" s="45">
        <f>IF(M668=0, 0, IF(OR($K$6="Square Grid", M668=1), INT($G$7/H668), IF($G$7&lt;H668, 0, 1+INT(($G$7-H668)/(0.8660254*H668)))))</f>
        <v/>
      </c>
      <c r="O668" s="48">
        <f>IF(OR(M668=0,N668=0), 0, IF(OR($K$6="Square Grid", M668=1), M668*N668*$K$5, (INT((N668+1)/2)*M668 + INT(N668/2)*IF(($G$6-M668*H668)&gt;=0.5*H668, M668, M668-1))*$K$5))</f>
        <v/>
      </c>
      <c r="P668" s="48">
        <f>IF(L668&lt;=0, 0, INT($G$8/L668))</f>
        <v/>
      </c>
      <c r="Q668" s="42">
        <f>MIN(O668, P668)</f>
        <v/>
      </c>
      <c r="R668" s="43">
        <f>ROUND((Q668*L668)/1000, 2)</f>
        <v/>
      </c>
      <c r="S668" s="49">
        <f>IF($C$8&gt;0, R668/$C$8, 0)</f>
        <v/>
      </c>
      <c r="T668" s="49">
        <f>IF(O668&gt;0, Q668/O668, 0)</f>
        <v/>
      </c>
      <c r="U668" s="18">
        <f>IF(Q668=0, "Exceeds Limit", IF(P668&lt;=O668, "Weight Limited", "Volume Limited"))</f>
        <v/>
      </c>
    </row>
    <row r="669" ht="19" customHeight="1">
      <c r="A669" s="38" t="n">
        <v>659</v>
      </c>
      <c r="B669" s="51" t="inlineStr">
        <is>
          <t>Stainless Steel 316</t>
        </is>
      </c>
      <c r="C669" s="13" t="inlineStr">
        <is>
          <t>ASME B36.19M</t>
        </is>
      </c>
      <c r="D669" s="12" t="inlineStr">
        <is>
          <t>20''</t>
        </is>
      </c>
      <c r="E669" s="38" t="n">
        <v>500</v>
      </c>
      <c r="F669" s="12" t="inlineStr">
        <is>
          <t>STD</t>
        </is>
      </c>
      <c r="G669" s="14" t="n">
        <v>20</v>
      </c>
      <c r="H669" s="40" t="n">
        <v>508</v>
      </c>
      <c r="I669" s="14" t="n">
        <v>0.375</v>
      </c>
      <c r="J669" s="40" t="n">
        <v>9.52</v>
      </c>
      <c r="K669" s="14">
        <f>ROUND((H669-J669)*J669*IF(B669="Carbon Steel",$K$7,IF(B669="Stainless Steel 304",$K$8,$L$8)), 3)</f>
        <v/>
      </c>
      <c r="L669" s="40">
        <f>ROUND(K669*$G$5, 2)</f>
        <v/>
      </c>
      <c r="M669" s="38">
        <f>INT($G$6/H669)</f>
        <v/>
      </c>
      <c r="N669" s="38">
        <f>IF(M669=0, 0, IF(OR($K$6="Square Grid", M669=1), INT($G$7/H669), IF($G$7&lt;H669, 0, 1+INT(($G$7-H669)/(0.8660254*H669)))))</f>
        <v/>
      </c>
      <c r="O669" s="41">
        <f>IF(OR(M669=0,N669=0), 0, IF(OR($K$6="Square Grid", M669=1), M669*N669*$K$5, (INT((N669+1)/2)*M669 + INT(N669/2)*IF(($G$6-M669*H669)&gt;=0.5*H669, M669, M669-1))*$K$5))</f>
        <v/>
      </c>
      <c r="P669" s="41">
        <f>IF(L669&lt;=0, 0, INT($G$8/L669))</f>
        <v/>
      </c>
      <c r="Q669" s="42">
        <f>MIN(O669, P669)</f>
        <v/>
      </c>
      <c r="R669" s="43">
        <f>ROUND((Q669*L669)/1000, 2)</f>
        <v/>
      </c>
      <c r="S669" s="44">
        <f>IF($C$8&gt;0, R669/$C$8, 0)</f>
        <v/>
      </c>
      <c r="T669" s="44">
        <f>IF(O669&gt;0, Q669/O669, 0)</f>
        <v/>
      </c>
      <c r="U669" s="12">
        <f>IF(Q669=0, "Exceeds Limit", IF(P669&lt;=O669, "Weight Limited", "Volume Limited"))</f>
        <v/>
      </c>
    </row>
    <row r="670" ht="19" customHeight="1">
      <c r="A670" s="45" t="n">
        <v>660</v>
      </c>
      <c r="B670" s="50" t="inlineStr">
        <is>
          <t>Stainless Steel 316</t>
        </is>
      </c>
      <c r="C670" s="19" t="inlineStr">
        <is>
          <t>ASME B36.19M</t>
        </is>
      </c>
      <c r="D670" s="18" t="inlineStr">
        <is>
          <t>20''</t>
        </is>
      </c>
      <c r="E670" s="45" t="n">
        <v>500</v>
      </c>
      <c r="F670" s="18" t="inlineStr">
        <is>
          <t>XS</t>
        </is>
      </c>
      <c r="G670" s="20" t="n">
        <v>20</v>
      </c>
      <c r="H670" s="47" t="n">
        <v>508</v>
      </c>
      <c r="I670" s="20" t="n">
        <v>0.5</v>
      </c>
      <c r="J670" s="47" t="n">
        <v>12.7</v>
      </c>
      <c r="K670" s="20">
        <f>ROUND((H670-J670)*J670*IF(B670="Carbon Steel",$K$7,IF(B670="Stainless Steel 304",$K$8,$L$8)), 3)</f>
        <v/>
      </c>
      <c r="L670" s="47">
        <f>ROUND(K670*$G$5, 2)</f>
        <v/>
      </c>
      <c r="M670" s="45">
        <f>INT($G$6/H670)</f>
        <v/>
      </c>
      <c r="N670" s="45">
        <f>IF(M670=0, 0, IF(OR($K$6="Square Grid", M670=1), INT($G$7/H670), IF($G$7&lt;H670, 0, 1+INT(($G$7-H670)/(0.8660254*H670)))))</f>
        <v/>
      </c>
      <c r="O670" s="48">
        <f>IF(OR(M670=0,N670=0), 0, IF(OR($K$6="Square Grid", M670=1), M670*N670*$K$5, (INT((N670+1)/2)*M670 + INT(N670/2)*IF(($G$6-M670*H670)&gt;=0.5*H670, M670, M670-1))*$K$5))</f>
        <v/>
      </c>
      <c r="P670" s="48">
        <f>IF(L670&lt;=0, 0, INT($G$8/L670))</f>
        <v/>
      </c>
      <c r="Q670" s="42">
        <f>MIN(O670, P670)</f>
        <v/>
      </c>
      <c r="R670" s="43">
        <f>ROUND((Q670*L670)/1000, 2)</f>
        <v/>
      </c>
      <c r="S670" s="49">
        <f>IF($C$8&gt;0, R670/$C$8, 0)</f>
        <v/>
      </c>
      <c r="T670" s="49">
        <f>IF(O670&gt;0, Q670/O670, 0)</f>
        <v/>
      </c>
      <c r="U670" s="18">
        <f>IF(Q670=0, "Exceeds Limit", IF(P670&lt;=O670, "Weight Limited", "Volume Limited"))</f>
        <v/>
      </c>
    </row>
    <row r="671" ht="19" customHeight="1">
      <c r="A671" s="38" t="n">
        <v>661</v>
      </c>
      <c r="B671" s="51" t="inlineStr">
        <is>
          <t>Stainless Steel 316</t>
        </is>
      </c>
      <c r="C671" s="13" t="inlineStr">
        <is>
          <t>ASME B36.19M</t>
        </is>
      </c>
      <c r="D671" s="12" t="inlineStr">
        <is>
          <t>20''</t>
        </is>
      </c>
      <c r="E671" s="38" t="n">
        <v>500</v>
      </c>
      <c r="F671" s="12" t="inlineStr">
        <is>
          <t>160</t>
        </is>
      </c>
      <c r="G671" s="14" t="n">
        <v>20</v>
      </c>
      <c r="H671" s="40" t="n">
        <v>508</v>
      </c>
      <c r="I671" s="14" t="n">
        <v>1.969</v>
      </c>
      <c r="J671" s="40" t="n">
        <v>50.01</v>
      </c>
      <c r="K671" s="14">
        <f>ROUND((H671-J671)*J671*IF(B671="Carbon Steel",$K$7,IF(B671="Stainless Steel 304",$K$8,$L$8)), 3)</f>
        <v/>
      </c>
      <c r="L671" s="40">
        <f>ROUND(K671*$G$5, 2)</f>
        <v/>
      </c>
      <c r="M671" s="38">
        <f>INT($G$6/H671)</f>
        <v/>
      </c>
      <c r="N671" s="38">
        <f>IF(M671=0, 0, IF(OR($K$6="Square Grid", M671=1), INT($G$7/H671), IF($G$7&lt;H671, 0, 1+INT(($G$7-H671)/(0.8660254*H671)))))</f>
        <v/>
      </c>
      <c r="O671" s="41">
        <f>IF(OR(M671=0,N671=0), 0, IF(OR($K$6="Square Grid", M671=1), M671*N671*$K$5, (INT((N671+1)/2)*M671 + INT(N671/2)*IF(($G$6-M671*H671)&gt;=0.5*H671, M671, M671-1))*$K$5))</f>
        <v/>
      </c>
      <c r="P671" s="41">
        <f>IF(L671&lt;=0, 0, INT($G$8/L671))</f>
        <v/>
      </c>
      <c r="Q671" s="42">
        <f>MIN(O671, P671)</f>
        <v/>
      </c>
      <c r="R671" s="43">
        <f>ROUND((Q671*L671)/1000, 2)</f>
        <v/>
      </c>
      <c r="S671" s="44">
        <f>IF($C$8&gt;0, R671/$C$8, 0)</f>
        <v/>
      </c>
      <c r="T671" s="44">
        <f>IF(O671&gt;0, Q671/O671, 0)</f>
        <v/>
      </c>
      <c r="U671" s="12">
        <f>IF(Q671=0, "Exceeds Limit", IF(P671&lt;=O671, "Weight Limited", "Volume Limited"))</f>
        <v/>
      </c>
    </row>
    <row r="672" ht="19" customHeight="1">
      <c r="A672" s="45" t="n">
        <v>662</v>
      </c>
      <c r="B672" s="50" t="inlineStr">
        <is>
          <t>Stainless Steel 316</t>
        </is>
      </c>
      <c r="C672" s="19" t="inlineStr">
        <is>
          <t>ASME B36.19M</t>
        </is>
      </c>
      <c r="D672" s="18" t="inlineStr">
        <is>
          <t>22''</t>
        </is>
      </c>
      <c r="E672" s="45" t="n">
        <v>550</v>
      </c>
      <c r="F672" s="18" t="inlineStr">
        <is>
          <t>5S</t>
        </is>
      </c>
      <c r="G672" s="20" t="n">
        <v>22</v>
      </c>
      <c r="H672" s="47" t="n">
        <v>558.8</v>
      </c>
      <c r="I672" s="20" t="n">
        <v>0.188</v>
      </c>
      <c r="J672" s="47" t="n">
        <v>4.78</v>
      </c>
      <c r="K672" s="20">
        <f>ROUND((H672-J672)*J672*IF(B672="Carbon Steel",$K$7,IF(B672="Stainless Steel 304",$K$8,$L$8)), 3)</f>
        <v/>
      </c>
      <c r="L672" s="47">
        <f>ROUND(K672*$G$5, 2)</f>
        <v/>
      </c>
      <c r="M672" s="45">
        <f>INT($G$6/H672)</f>
        <v/>
      </c>
      <c r="N672" s="45">
        <f>IF(M672=0, 0, IF(OR($K$6="Square Grid", M672=1), INT($G$7/H672), IF($G$7&lt;H672, 0, 1+INT(($G$7-H672)/(0.8660254*H672)))))</f>
        <v/>
      </c>
      <c r="O672" s="48">
        <f>IF(OR(M672=0,N672=0), 0, IF(OR($K$6="Square Grid", M672=1), M672*N672*$K$5, (INT((N672+1)/2)*M672 + INT(N672/2)*IF(($G$6-M672*H672)&gt;=0.5*H672, M672, M672-1))*$K$5))</f>
        <v/>
      </c>
      <c r="P672" s="48">
        <f>IF(L672&lt;=0, 0, INT($G$8/L672))</f>
        <v/>
      </c>
      <c r="Q672" s="42">
        <f>MIN(O672, P672)</f>
        <v/>
      </c>
      <c r="R672" s="43">
        <f>ROUND((Q672*L672)/1000, 2)</f>
        <v/>
      </c>
      <c r="S672" s="49">
        <f>IF($C$8&gt;0, R672/$C$8, 0)</f>
        <v/>
      </c>
      <c r="T672" s="49">
        <f>IF(O672&gt;0, Q672/O672, 0)</f>
        <v/>
      </c>
      <c r="U672" s="18">
        <f>IF(Q672=0, "Exceeds Limit", IF(P672&lt;=O672, "Weight Limited", "Volume Limited"))</f>
        <v/>
      </c>
    </row>
    <row r="673" ht="19" customHeight="1">
      <c r="A673" s="38" t="n">
        <v>663</v>
      </c>
      <c r="B673" s="51" t="inlineStr">
        <is>
          <t>Stainless Steel 316</t>
        </is>
      </c>
      <c r="C673" s="13" t="inlineStr">
        <is>
          <t>ASME B36.19M</t>
        </is>
      </c>
      <c r="D673" s="12" t="inlineStr">
        <is>
          <t>22''</t>
        </is>
      </c>
      <c r="E673" s="38" t="n">
        <v>550</v>
      </c>
      <c r="F673" s="12" t="inlineStr">
        <is>
          <t>10S</t>
        </is>
      </c>
      <c r="G673" s="14" t="n">
        <v>22</v>
      </c>
      <c r="H673" s="40" t="n">
        <v>558.8</v>
      </c>
      <c r="I673" s="14" t="n">
        <v>0.218</v>
      </c>
      <c r="J673" s="40" t="n">
        <v>5.54</v>
      </c>
      <c r="K673" s="14">
        <f>ROUND((H673-J673)*J673*IF(B673="Carbon Steel",$K$7,IF(B673="Stainless Steel 304",$K$8,$L$8)), 3)</f>
        <v/>
      </c>
      <c r="L673" s="40">
        <f>ROUND(K673*$G$5, 2)</f>
        <v/>
      </c>
      <c r="M673" s="38">
        <f>INT($G$6/H673)</f>
        <v/>
      </c>
      <c r="N673" s="38">
        <f>IF(M673=0, 0, IF(OR($K$6="Square Grid", M673=1), INT($G$7/H673), IF($G$7&lt;H673, 0, 1+INT(($G$7-H673)/(0.8660254*H673)))))</f>
        <v/>
      </c>
      <c r="O673" s="41">
        <f>IF(OR(M673=0,N673=0), 0, IF(OR($K$6="Square Grid", M673=1), M673*N673*$K$5, (INT((N673+1)/2)*M673 + INT(N673/2)*IF(($G$6-M673*H673)&gt;=0.5*H673, M673, M673-1))*$K$5))</f>
        <v/>
      </c>
      <c r="P673" s="41">
        <f>IF(L673&lt;=0, 0, INT($G$8/L673))</f>
        <v/>
      </c>
      <c r="Q673" s="42">
        <f>MIN(O673, P673)</f>
        <v/>
      </c>
      <c r="R673" s="43">
        <f>ROUND((Q673*L673)/1000, 2)</f>
        <v/>
      </c>
      <c r="S673" s="44">
        <f>IF($C$8&gt;0, R673/$C$8, 0)</f>
        <v/>
      </c>
      <c r="T673" s="44">
        <f>IF(O673&gt;0, Q673/O673, 0)</f>
        <v/>
      </c>
      <c r="U673" s="12">
        <f>IF(Q673=0, "Exceeds Limit", IF(P673&lt;=O673, "Weight Limited", "Volume Limited"))</f>
        <v/>
      </c>
    </row>
    <row r="674" ht="19" customHeight="1">
      <c r="A674" s="45" t="n">
        <v>664</v>
      </c>
      <c r="B674" s="50" t="inlineStr">
        <is>
          <t>Stainless Steel 316</t>
        </is>
      </c>
      <c r="C674" s="19" t="inlineStr">
        <is>
          <t>ASME B36.19M</t>
        </is>
      </c>
      <c r="D674" s="18" t="inlineStr">
        <is>
          <t>22''</t>
        </is>
      </c>
      <c r="E674" s="45" t="n">
        <v>550</v>
      </c>
      <c r="F674" s="18" t="inlineStr">
        <is>
          <t>40S</t>
        </is>
      </c>
      <c r="G674" s="20" t="n">
        <v>22</v>
      </c>
      <c r="H674" s="47" t="n">
        <v>558.8</v>
      </c>
      <c r="I674" s="20" t="n">
        <v>0.375</v>
      </c>
      <c r="J674" s="47" t="n">
        <v>9.52</v>
      </c>
      <c r="K674" s="20">
        <f>ROUND((H674-J674)*J674*IF(B674="Carbon Steel",$K$7,IF(B674="Stainless Steel 304",$K$8,$L$8)), 3)</f>
        <v/>
      </c>
      <c r="L674" s="47">
        <f>ROUND(K674*$G$5, 2)</f>
        <v/>
      </c>
      <c r="M674" s="45">
        <f>INT($G$6/H674)</f>
        <v/>
      </c>
      <c r="N674" s="45">
        <f>IF(M674=0, 0, IF(OR($K$6="Square Grid", M674=1), INT($G$7/H674), IF($G$7&lt;H674, 0, 1+INT(($G$7-H674)/(0.8660254*H674)))))</f>
        <v/>
      </c>
      <c r="O674" s="48">
        <f>IF(OR(M674=0,N674=0), 0, IF(OR($K$6="Square Grid", M674=1), M674*N674*$K$5, (INT((N674+1)/2)*M674 + INT(N674/2)*IF(($G$6-M674*H674)&gt;=0.5*H674, M674, M674-1))*$K$5))</f>
        <v/>
      </c>
      <c r="P674" s="48">
        <f>IF(L674&lt;=0, 0, INT($G$8/L674))</f>
        <v/>
      </c>
      <c r="Q674" s="42">
        <f>MIN(O674, P674)</f>
        <v/>
      </c>
      <c r="R674" s="43">
        <f>ROUND((Q674*L674)/1000, 2)</f>
        <v/>
      </c>
      <c r="S674" s="49">
        <f>IF($C$8&gt;0, R674/$C$8, 0)</f>
        <v/>
      </c>
      <c r="T674" s="49">
        <f>IF(O674&gt;0, Q674/O674, 0)</f>
        <v/>
      </c>
      <c r="U674" s="18">
        <f>IF(Q674=0, "Exceeds Limit", IF(P674&lt;=O674, "Weight Limited", "Volume Limited"))</f>
        <v/>
      </c>
    </row>
    <row r="675" ht="19" customHeight="1">
      <c r="A675" s="38" t="n">
        <v>665</v>
      </c>
      <c r="B675" s="51" t="inlineStr">
        <is>
          <t>Stainless Steel 316</t>
        </is>
      </c>
      <c r="C675" s="13" t="inlineStr">
        <is>
          <t>ASME B36.19M</t>
        </is>
      </c>
      <c r="D675" s="12" t="inlineStr">
        <is>
          <t>22''</t>
        </is>
      </c>
      <c r="E675" s="38" t="n">
        <v>550</v>
      </c>
      <c r="F675" s="12" t="inlineStr">
        <is>
          <t>80S</t>
        </is>
      </c>
      <c r="G675" s="14" t="n">
        <v>22</v>
      </c>
      <c r="H675" s="40" t="n">
        <v>558.8</v>
      </c>
      <c r="I675" s="14" t="n">
        <v>0.5</v>
      </c>
      <c r="J675" s="40" t="n">
        <v>12.7</v>
      </c>
      <c r="K675" s="14">
        <f>ROUND((H675-J675)*J675*IF(B675="Carbon Steel",$K$7,IF(B675="Stainless Steel 304",$K$8,$L$8)), 3)</f>
        <v/>
      </c>
      <c r="L675" s="40">
        <f>ROUND(K675*$G$5, 2)</f>
        <v/>
      </c>
      <c r="M675" s="38">
        <f>INT($G$6/H675)</f>
        <v/>
      </c>
      <c r="N675" s="38">
        <f>IF(M675=0, 0, IF(OR($K$6="Square Grid", M675=1), INT($G$7/H675), IF($G$7&lt;H675, 0, 1+INT(($G$7-H675)/(0.8660254*H675)))))</f>
        <v/>
      </c>
      <c r="O675" s="41">
        <f>IF(OR(M675=0,N675=0), 0, IF(OR($K$6="Square Grid", M675=1), M675*N675*$K$5, (INT((N675+1)/2)*M675 + INT(N675/2)*IF(($G$6-M675*H675)&gt;=0.5*H675, M675, M675-1))*$K$5))</f>
        <v/>
      </c>
      <c r="P675" s="41">
        <f>IF(L675&lt;=0, 0, INT($G$8/L675))</f>
        <v/>
      </c>
      <c r="Q675" s="42">
        <f>MIN(O675, P675)</f>
        <v/>
      </c>
      <c r="R675" s="43">
        <f>ROUND((Q675*L675)/1000, 2)</f>
        <v/>
      </c>
      <c r="S675" s="44">
        <f>IF($C$8&gt;0, R675/$C$8, 0)</f>
        <v/>
      </c>
      <c r="T675" s="44">
        <f>IF(O675&gt;0, Q675/O675, 0)</f>
        <v/>
      </c>
      <c r="U675" s="12">
        <f>IF(Q675=0, "Exceeds Limit", IF(P675&lt;=O675, "Weight Limited", "Volume Limited"))</f>
        <v/>
      </c>
    </row>
    <row r="676" ht="19" customHeight="1">
      <c r="A676" s="45" t="n">
        <v>666</v>
      </c>
      <c r="B676" s="50" t="inlineStr">
        <is>
          <t>Stainless Steel 316</t>
        </is>
      </c>
      <c r="C676" s="19" t="inlineStr">
        <is>
          <t>ASME B36.19M</t>
        </is>
      </c>
      <c r="D676" s="18" t="inlineStr">
        <is>
          <t>22''</t>
        </is>
      </c>
      <c r="E676" s="45" t="n">
        <v>550</v>
      </c>
      <c r="F676" s="18" t="inlineStr">
        <is>
          <t>STD</t>
        </is>
      </c>
      <c r="G676" s="20" t="n">
        <v>22</v>
      </c>
      <c r="H676" s="47" t="n">
        <v>558.8</v>
      </c>
      <c r="I676" s="20" t="n">
        <v>0.375</v>
      </c>
      <c r="J676" s="47" t="n">
        <v>9.52</v>
      </c>
      <c r="K676" s="20">
        <f>ROUND((H676-J676)*J676*IF(B676="Carbon Steel",$K$7,IF(B676="Stainless Steel 304",$K$8,$L$8)), 3)</f>
        <v/>
      </c>
      <c r="L676" s="47">
        <f>ROUND(K676*$G$5, 2)</f>
        <v/>
      </c>
      <c r="M676" s="45">
        <f>INT($G$6/H676)</f>
        <v/>
      </c>
      <c r="N676" s="45">
        <f>IF(M676=0, 0, IF(OR($K$6="Square Grid", M676=1), INT($G$7/H676), IF($G$7&lt;H676, 0, 1+INT(($G$7-H676)/(0.8660254*H676)))))</f>
        <v/>
      </c>
      <c r="O676" s="48">
        <f>IF(OR(M676=0,N676=0), 0, IF(OR($K$6="Square Grid", M676=1), M676*N676*$K$5, (INT((N676+1)/2)*M676 + INT(N676/2)*IF(($G$6-M676*H676)&gt;=0.5*H676, M676, M676-1))*$K$5))</f>
        <v/>
      </c>
      <c r="P676" s="48">
        <f>IF(L676&lt;=0, 0, INT($G$8/L676))</f>
        <v/>
      </c>
      <c r="Q676" s="42">
        <f>MIN(O676, P676)</f>
        <v/>
      </c>
      <c r="R676" s="43">
        <f>ROUND((Q676*L676)/1000, 2)</f>
        <v/>
      </c>
      <c r="S676" s="49">
        <f>IF($C$8&gt;0, R676/$C$8, 0)</f>
        <v/>
      </c>
      <c r="T676" s="49">
        <f>IF(O676&gt;0, Q676/O676, 0)</f>
        <v/>
      </c>
      <c r="U676" s="18">
        <f>IF(Q676=0, "Exceeds Limit", IF(P676&lt;=O676, "Weight Limited", "Volume Limited"))</f>
        <v/>
      </c>
    </row>
    <row r="677" ht="19" customHeight="1">
      <c r="A677" s="38" t="n">
        <v>667</v>
      </c>
      <c r="B677" s="51" t="inlineStr">
        <is>
          <t>Stainless Steel 316</t>
        </is>
      </c>
      <c r="C677" s="13" t="inlineStr">
        <is>
          <t>ASME B36.19M</t>
        </is>
      </c>
      <c r="D677" s="12" t="inlineStr">
        <is>
          <t>22''</t>
        </is>
      </c>
      <c r="E677" s="38" t="n">
        <v>550</v>
      </c>
      <c r="F677" s="12" t="inlineStr">
        <is>
          <t>XS</t>
        </is>
      </c>
      <c r="G677" s="14" t="n">
        <v>22</v>
      </c>
      <c r="H677" s="40" t="n">
        <v>558.8</v>
      </c>
      <c r="I677" s="14" t="n">
        <v>0.5</v>
      </c>
      <c r="J677" s="40" t="n">
        <v>12.7</v>
      </c>
      <c r="K677" s="14">
        <f>ROUND((H677-J677)*J677*IF(B677="Carbon Steel",$K$7,IF(B677="Stainless Steel 304",$K$8,$L$8)), 3)</f>
        <v/>
      </c>
      <c r="L677" s="40">
        <f>ROUND(K677*$G$5, 2)</f>
        <v/>
      </c>
      <c r="M677" s="38">
        <f>INT($G$6/H677)</f>
        <v/>
      </c>
      <c r="N677" s="38">
        <f>IF(M677=0, 0, IF(OR($K$6="Square Grid", M677=1), INT($G$7/H677), IF($G$7&lt;H677, 0, 1+INT(($G$7-H677)/(0.8660254*H677)))))</f>
        <v/>
      </c>
      <c r="O677" s="41">
        <f>IF(OR(M677=0,N677=0), 0, IF(OR($K$6="Square Grid", M677=1), M677*N677*$K$5, (INT((N677+1)/2)*M677 + INT(N677/2)*IF(($G$6-M677*H677)&gt;=0.5*H677, M677, M677-1))*$K$5))</f>
        <v/>
      </c>
      <c r="P677" s="41">
        <f>IF(L677&lt;=0, 0, INT($G$8/L677))</f>
        <v/>
      </c>
      <c r="Q677" s="42">
        <f>MIN(O677, P677)</f>
        <v/>
      </c>
      <c r="R677" s="43">
        <f>ROUND((Q677*L677)/1000, 2)</f>
        <v/>
      </c>
      <c r="S677" s="44">
        <f>IF($C$8&gt;0, R677/$C$8, 0)</f>
        <v/>
      </c>
      <c r="T677" s="44">
        <f>IF(O677&gt;0, Q677/O677, 0)</f>
        <v/>
      </c>
      <c r="U677" s="12">
        <f>IF(Q677=0, "Exceeds Limit", IF(P677&lt;=O677, "Weight Limited", "Volume Limited"))</f>
        <v/>
      </c>
    </row>
    <row r="678" ht="19" customHeight="1">
      <c r="A678" s="45" t="n">
        <v>668</v>
      </c>
      <c r="B678" s="50" t="inlineStr">
        <is>
          <t>Stainless Steel 316</t>
        </is>
      </c>
      <c r="C678" s="19" t="inlineStr">
        <is>
          <t>ASME B36.19M</t>
        </is>
      </c>
      <c r="D678" s="18" t="inlineStr">
        <is>
          <t>22''</t>
        </is>
      </c>
      <c r="E678" s="45" t="n">
        <v>550</v>
      </c>
      <c r="F678" s="18" t="inlineStr">
        <is>
          <t>160</t>
        </is>
      </c>
      <c r="G678" s="20" t="n">
        <v>22</v>
      </c>
      <c r="H678" s="47" t="n">
        <v>558.8</v>
      </c>
      <c r="I678" s="20" t="n">
        <v>2.125</v>
      </c>
      <c r="J678" s="47" t="n">
        <v>53.97</v>
      </c>
      <c r="K678" s="20">
        <f>ROUND((H678-J678)*J678*IF(B678="Carbon Steel",$K$7,IF(B678="Stainless Steel 304",$K$8,$L$8)), 3)</f>
        <v/>
      </c>
      <c r="L678" s="47">
        <f>ROUND(K678*$G$5, 2)</f>
        <v/>
      </c>
      <c r="M678" s="45">
        <f>INT($G$6/H678)</f>
        <v/>
      </c>
      <c r="N678" s="45">
        <f>IF(M678=0, 0, IF(OR($K$6="Square Grid", M678=1), INT($G$7/H678), IF($G$7&lt;H678, 0, 1+INT(($G$7-H678)/(0.8660254*H678)))))</f>
        <v/>
      </c>
      <c r="O678" s="48">
        <f>IF(OR(M678=0,N678=0), 0, IF(OR($K$6="Square Grid", M678=1), M678*N678*$K$5, (INT((N678+1)/2)*M678 + INT(N678/2)*IF(($G$6-M678*H678)&gt;=0.5*H678, M678, M678-1))*$K$5))</f>
        <v/>
      </c>
      <c r="P678" s="48">
        <f>IF(L678&lt;=0, 0, INT($G$8/L678))</f>
        <v/>
      </c>
      <c r="Q678" s="42">
        <f>MIN(O678, P678)</f>
        <v/>
      </c>
      <c r="R678" s="43">
        <f>ROUND((Q678*L678)/1000, 2)</f>
        <v/>
      </c>
      <c r="S678" s="49">
        <f>IF($C$8&gt;0, R678/$C$8, 0)</f>
        <v/>
      </c>
      <c r="T678" s="49">
        <f>IF(O678&gt;0, Q678/O678, 0)</f>
        <v/>
      </c>
      <c r="U678" s="18">
        <f>IF(Q678=0, "Exceeds Limit", IF(P678&lt;=O678, "Weight Limited", "Volume Limited"))</f>
        <v/>
      </c>
    </row>
    <row r="679" ht="19" customHeight="1">
      <c r="A679" s="38" t="n">
        <v>669</v>
      </c>
      <c r="B679" s="51" t="inlineStr">
        <is>
          <t>Stainless Steel 316</t>
        </is>
      </c>
      <c r="C679" s="13" t="inlineStr">
        <is>
          <t>ASME B36.19M</t>
        </is>
      </c>
      <c r="D679" s="12" t="inlineStr">
        <is>
          <t>24''</t>
        </is>
      </c>
      <c r="E679" s="38" t="n">
        <v>600</v>
      </c>
      <c r="F679" s="12" t="inlineStr">
        <is>
          <t>5S</t>
        </is>
      </c>
      <c r="G679" s="14" t="n">
        <v>24</v>
      </c>
      <c r="H679" s="40" t="n">
        <v>609.6</v>
      </c>
      <c r="I679" s="14" t="n">
        <v>0.218</v>
      </c>
      <c r="J679" s="40" t="n">
        <v>5.54</v>
      </c>
      <c r="K679" s="14">
        <f>ROUND((H679-J679)*J679*IF(B679="Carbon Steel",$K$7,IF(B679="Stainless Steel 304",$K$8,$L$8)), 3)</f>
        <v/>
      </c>
      <c r="L679" s="40">
        <f>ROUND(K679*$G$5, 2)</f>
        <v/>
      </c>
      <c r="M679" s="38">
        <f>INT($G$6/H679)</f>
        <v/>
      </c>
      <c r="N679" s="38">
        <f>IF(M679=0, 0, IF(OR($K$6="Square Grid", M679=1), INT($G$7/H679), IF($G$7&lt;H679, 0, 1+INT(($G$7-H679)/(0.8660254*H679)))))</f>
        <v/>
      </c>
      <c r="O679" s="41">
        <f>IF(OR(M679=0,N679=0), 0, IF(OR($K$6="Square Grid", M679=1), M679*N679*$K$5, (INT((N679+1)/2)*M679 + INT(N679/2)*IF(($G$6-M679*H679)&gt;=0.5*H679, M679, M679-1))*$K$5))</f>
        <v/>
      </c>
      <c r="P679" s="41">
        <f>IF(L679&lt;=0, 0, INT($G$8/L679))</f>
        <v/>
      </c>
      <c r="Q679" s="42">
        <f>MIN(O679, P679)</f>
        <v/>
      </c>
      <c r="R679" s="43">
        <f>ROUND((Q679*L679)/1000, 2)</f>
        <v/>
      </c>
      <c r="S679" s="44">
        <f>IF($C$8&gt;0, R679/$C$8, 0)</f>
        <v/>
      </c>
      <c r="T679" s="44">
        <f>IF(O679&gt;0, Q679/O679, 0)</f>
        <v/>
      </c>
      <c r="U679" s="12">
        <f>IF(Q679=0, "Exceeds Limit", IF(P679&lt;=O679, "Weight Limited", "Volume Limited"))</f>
        <v/>
      </c>
    </row>
    <row r="680" ht="19" customHeight="1">
      <c r="A680" s="45" t="n">
        <v>670</v>
      </c>
      <c r="B680" s="50" t="inlineStr">
        <is>
          <t>Stainless Steel 316</t>
        </is>
      </c>
      <c r="C680" s="19" t="inlineStr">
        <is>
          <t>ASME B36.19M</t>
        </is>
      </c>
      <c r="D680" s="18" t="inlineStr">
        <is>
          <t>24''</t>
        </is>
      </c>
      <c r="E680" s="45" t="n">
        <v>600</v>
      </c>
      <c r="F680" s="18" t="inlineStr">
        <is>
          <t>10S</t>
        </is>
      </c>
      <c r="G680" s="20" t="n">
        <v>24</v>
      </c>
      <c r="H680" s="47" t="n">
        <v>609.6</v>
      </c>
      <c r="I680" s="20" t="n">
        <v>0.25</v>
      </c>
      <c r="J680" s="47" t="n">
        <v>6.35</v>
      </c>
      <c r="K680" s="20">
        <f>ROUND((H680-J680)*J680*IF(B680="Carbon Steel",$K$7,IF(B680="Stainless Steel 304",$K$8,$L$8)), 3)</f>
        <v/>
      </c>
      <c r="L680" s="47">
        <f>ROUND(K680*$G$5, 2)</f>
        <v/>
      </c>
      <c r="M680" s="45">
        <f>INT($G$6/H680)</f>
        <v/>
      </c>
      <c r="N680" s="45">
        <f>IF(M680=0, 0, IF(OR($K$6="Square Grid", M680=1), INT($G$7/H680), IF($G$7&lt;H680, 0, 1+INT(($G$7-H680)/(0.8660254*H680)))))</f>
        <v/>
      </c>
      <c r="O680" s="48">
        <f>IF(OR(M680=0,N680=0), 0, IF(OR($K$6="Square Grid", M680=1), M680*N680*$K$5, (INT((N680+1)/2)*M680 + INT(N680/2)*IF(($G$6-M680*H680)&gt;=0.5*H680, M680, M680-1))*$K$5))</f>
        <v/>
      </c>
      <c r="P680" s="48">
        <f>IF(L680&lt;=0, 0, INT($G$8/L680))</f>
        <v/>
      </c>
      <c r="Q680" s="42">
        <f>MIN(O680, P680)</f>
        <v/>
      </c>
      <c r="R680" s="43">
        <f>ROUND((Q680*L680)/1000, 2)</f>
        <v/>
      </c>
      <c r="S680" s="49">
        <f>IF($C$8&gt;0, R680/$C$8, 0)</f>
        <v/>
      </c>
      <c r="T680" s="49">
        <f>IF(O680&gt;0, Q680/O680, 0)</f>
        <v/>
      </c>
      <c r="U680" s="18">
        <f>IF(Q680=0, "Exceeds Limit", IF(P680&lt;=O680, "Weight Limited", "Volume Limited"))</f>
        <v/>
      </c>
    </row>
    <row r="681" ht="19" customHeight="1">
      <c r="A681" s="38" t="n">
        <v>671</v>
      </c>
      <c r="B681" s="51" t="inlineStr">
        <is>
          <t>Stainless Steel 316</t>
        </is>
      </c>
      <c r="C681" s="13" t="inlineStr">
        <is>
          <t>ASME B36.19M</t>
        </is>
      </c>
      <c r="D681" s="12" t="inlineStr">
        <is>
          <t>24''</t>
        </is>
      </c>
      <c r="E681" s="38" t="n">
        <v>600</v>
      </c>
      <c r="F681" s="12" t="inlineStr">
        <is>
          <t>40S</t>
        </is>
      </c>
      <c r="G681" s="14" t="n">
        <v>24</v>
      </c>
      <c r="H681" s="40" t="n">
        <v>609.6</v>
      </c>
      <c r="I681" s="14" t="n">
        <v>0.375</v>
      </c>
      <c r="J681" s="40" t="n">
        <v>9.52</v>
      </c>
      <c r="K681" s="14">
        <f>ROUND((H681-J681)*J681*IF(B681="Carbon Steel",$K$7,IF(B681="Stainless Steel 304",$K$8,$L$8)), 3)</f>
        <v/>
      </c>
      <c r="L681" s="40">
        <f>ROUND(K681*$G$5, 2)</f>
        <v/>
      </c>
      <c r="M681" s="38">
        <f>INT($G$6/H681)</f>
        <v/>
      </c>
      <c r="N681" s="38">
        <f>IF(M681=0, 0, IF(OR($K$6="Square Grid", M681=1), INT($G$7/H681), IF($G$7&lt;H681, 0, 1+INT(($G$7-H681)/(0.8660254*H681)))))</f>
        <v/>
      </c>
      <c r="O681" s="41">
        <f>IF(OR(M681=0,N681=0), 0, IF(OR($K$6="Square Grid", M681=1), M681*N681*$K$5, (INT((N681+1)/2)*M681 + INT(N681/2)*IF(($G$6-M681*H681)&gt;=0.5*H681, M681, M681-1))*$K$5))</f>
        <v/>
      </c>
      <c r="P681" s="41">
        <f>IF(L681&lt;=0, 0, INT($G$8/L681))</f>
        <v/>
      </c>
      <c r="Q681" s="42">
        <f>MIN(O681, P681)</f>
        <v/>
      </c>
      <c r="R681" s="43">
        <f>ROUND((Q681*L681)/1000, 2)</f>
        <v/>
      </c>
      <c r="S681" s="44">
        <f>IF($C$8&gt;0, R681/$C$8, 0)</f>
        <v/>
      </c>
      <c r="T681" s="44">
        <f>IF(O681&gt;0, Q681/O681, 0)</f>
        <v/>
      </c>
      <c r="U681" s="12">
        <f>IF(Q681=0, "Exceeds Limit", IF(P681&lt;=O681, "Weight Limited", "Volume Limited"))</f>
        <v/>
      </c>
    </row>
    <row r="682" ht="19" customHeight="1">
      <c r="A682" s="45" t="n">
        <v>672</v>
      </c>
      <c r="B682" s="50" t="inlineStr">
        <is>
          <t>Stainless Steel 316</t>
        </is>
      </c>
      <c r="C682" s="19" t="inlineStr">
        <is>
          <t>ASME B36.19M</t>
        </is>
      </c>
      <c r="D682" s="18" t="inlineStr">
        <is>
          <t>24''</t>
        </is>
      </c>
      <c r="E682" s="45" t="n">
        <v>600</v>
      </c>
      <c r="F682" s="18" t="inlineStr">
        <is>
          <t>80S</t>
        </is>
      </c>
      <c r="G682" s="20" t="n">
        <v>24</v>
      </c>
      <c r="H682" s="47" t="n">
        <v>609.6</v>
      </c>
      <c r="I682" s="20" t="n">
        <v>0.5</v>
      </c>
      <c r="J682" s="47" t="n">
        <v>12.7</v>
      </c>
      <c r="K682" s="20">
        <f>ROUND((H682-J682)*J682*IF(B682="Carbon Steel",$K$7,IF(B682="Stainless Steel 304",$K$8,$L$8)), 3)</f>
        <v/>
      </c>
      <c r="L682" s="47">
        <f>ROUND(K682*$G$5, 2)</f>
        <v/>
      </c>
      <c r="M682" s="45">
        <f>INT($G$6/H682)</f>
        <v/>
      </c>
      <c r="N682" s="45">
        <f>IF(M682=0, 0, IF(OR($K$6="Square Grid", M682=1), INT($G$7/H682), IF($G$7&lt;H682, 0, 1+INT(($G$7-H682)/(0.8660254*H682)))))</f>
        <v/>
      </c>
      <c r="O682" s="48">
        <f>IF(OR(M682=0,N682=0), 0, IF(OR($K$6="Square Grid", M682=1), M682*N682*$K$5, (INT((N682+1)/2)*M682 + INT(N682/2)*IF(($G$6-M682*H682)&gt;=0.5*H682, M682, M682-1))*$K$5))</f>
        <v/>
      </c>
      <c r="P682" s="48">
        <f>IF(L682&lt;=0, 0, INT($G$8/L682))</f>
        <v/>
      </c>
      <c r="Q682" s="42">
        <f>MIN(O682, P682)</f>
        <v/>
      </c>
      <c r="R682" s="43">
        <f>ROUND((Q682*L682)/1000, 2)</f>
        <v/>
      </c>
      <c r="S682" s="49">
        <f>IF($C$8&gt;0, R682/$C$8, 0)</f>
        <v/>
      </c>
      <c r="T682" s="49">
        <f>IF(O682&gt;0, Q682/O682, 0)</f>
        <v/>
      </c>
      <c r="U682" s="18">
        <f>IF(Q682=0, "Exceeds Limit", IF(P682&lt;=O682, "Weight Limited", "Volume Limited"))</f>
        <v/>
      </c>
    </row>
    <row r="683" ht="19" customHeight="1">
      <c r="A683" s="38" t="n">
        <v>673</v>
      </c>
      <c r="B683" s="51" t="inlineStr">
        <is>
          <t>Stainless Steel 316</t>
        </is>
      </c>
      <c r="C683" s="13" t="inlineStr">
        <is>
          <t>ASME B36.19M</t>
        </is>
      </c>
      <c r="D683" s="12" t="inlineStr">
        <is>
          <t>24''</t>
        </is>
      </c>
      <c r="E683" s="38" t="n">
        <v>600</v>
      </c>
      <c r="F683" s="12" t="inlineStr">
        <is>
          <t>STD</t>
        </is>
      </c>
      <c r="G683" s="14" t="n">
        <v>24</v>
      </c>
      <c r="H683" s="40" t="n">
        <v>609.6</v>
      </c>
      <c r="I683" s="14" t="n">
        <v>0.375</v>
      </c>
      <c r="J683" s="40" t="n">
        <v>9.52</v>
      </c>
      <c r="K683" s="14">
        <f>ROUND((H683-J683)*J683*IF(B683="Carbon Steel",$K$7,IF(B683="Stainless Steel 304",$K$8,$L$8)), 3)</f>
        <v/>
      </c>
      <c r="L683" s="40">
        <f>ROUND(K683*$G$5, 2)</f>
        <v/>
      </c>
      <c r="M683" s="38">
        <f>INT($G$6/H683)</f>
        <v/>
      </c>
      <c r="N683" s="38">
        <f>IF(M683=0, 0, IF(OR($K$6="Square Grid", M683=1), INT($G$7/H683), IF($G$7&lt;H683, 0, 1+INT(($G$7-H683)/(0.8660254*H683)))))</f>
        <v/>
      </c>
      <c r="O683" s="41">
        <f>IF(OR(M683=0,N683=0), 0, IF(OR($K$6="Square Grid", M683=1), M683*N683*$K$5, (INT((N683+1)/2)*M683 + INT(N683/2)*IF(($G$6-M683*H683)&gt;=0.5*H683, M683, M683-1))*$K$5))</f>
        <v/>
      </c>
      <c r="P683" s="41">
        <f>IF(L683&lt;=0, 0, INT($G$8/L683))</f>
        <v/>
      </c>
      <c r="Q683" s="42">
        <f>MIN(O683, P683)</f>
        <v/>
      </c>
      <c r="R683" s="43">
        <f>ROUND((Q683*L683)/1000, 2)</f>
        <v/>
      </c>
      <c r="S683" s="44">
        <f>IF($C$8&gt;0, R683/$C$8, 0)</f>
        <v/>
      </c>
      <c r="T683" s="44">
        <f>IF(O683&gt;0, Q683/O683, 0)</f>
        <v/>
      </c>
      <c r="U683" s="12">
        <f>IF(Q683=0, "Exceeds Limit", IF(P683&lt;=O683, "Weight Limited", "Volume Limited"))</f>
        <v/>
      </c>
    </row>
    <row r="684" ht="19" customHeight="1">
      <c r="A684" s="45" t="n">
        <v>674</v>
      </c>
      <c r="B684" s="50" t="inlineStr">
        <is>
          <t>Stainless Steel 316</t>
        </is>
      </c>
      <c r="C684" s="19" t="inlineStr">
        <is>
          <t>ASME B36.19M</t>
        </is>
      </c>
      <c r="D684" s="18" t="inlineStr">
        <is>
          <t>24''</t>
        </is>
      </c>
      <c r="E684" s="45" t="n">
        <v>600</v>
      </c>
      <c r="F684" s="18" t="inlineStr">
        <is>
          <t>XS</t>
        </is>
      </c>
      <c r="G684" s="20" t="n">
        <v>24</v>
      </c>
      <c r="H684" s="47" t="n">
        <v>609.6</v>
      </c>
      <c r="I684" s="20" t="n">
        <v>0.5</v>
      </c>
      <c r="J684" s="47" t="n">
        <v>12.7</v>
      </c>
      <c r="K684" s="20">
        <f>ROUND((H684-J684)*J684*IF(B684="Carbon Steel",$K$7,IF(B684="Stainless Steel 304",$K$8,$L$8)), 3)</f>
        <v/>
      </c>
      <c r="L684" s="47">
        <f>ROUND(K684*$G$5, 2)</f>
        <v/>
      </c>
      <c r="M684" s="45">
        <f>INT($G$6/H684)</f>
        <v/>
      </c>
      <c r="N684" s="45">
        <f>IF(M684=0, 0, IF(OR($K$6="Square Grid", M684=1), INT($G$7/H684), IF($G$7&lt;H684, 0, 1+INT(($G$7-H684)/(0.8660254*H684)))))</f>
        <v/>
      </c>
      <c r="O684" s="48">
        <f>IF(OR(M684=0,N684=0), 0, IF(OR($K$6="Square Grid", M684=1), M684*N684*$K$5, (INT((N684+1)/2)*M684 + INT(N684/2)*IF(($G$6-M684*H684)&gt;=0.5*H684, M684, M684-1))*$K$5))</f>
        <v/>
      </c>
      <c r="P684" s="48">
        <f>IF(L684&lt;=0, 0, INT($G$8/L684))</f>
        <v/>
      </c>
      <c r="Q684" s="42">
        <f>MIN(O684, P684)</f>
        <v/>
      </c>
      <c r="R684" s="43">
        <f>ROUND((Q684*L684)/1000, 2)</f>
        <v/>
      </c>
      <c r="S684" s="49">
        <f>IF($C$8&gt;0, R684/$C$8, 0)</f>
        <v/>
      </c>
      <c r="T684" s="49">
        <f>IF(O684&gt;0, Q684/O684, 0)</f>
        <v/>
      </c>
      <c r="U684" s="18">
        <f>IF(Q684=0, "Exceeds Limit", IF(P684&lt;=O684, "Weight Limited", "Volume Limited"))</f>
        <v/>
      </c>
    </row>
    <row r="685" ht="19" customHeight="1">
      <c r="A685" s="38" t="n">
        <v>675</v>
      </c>
      <c r="B685" s="51" t="inlineStr">
        <is>
          <t>Stainless Steel 316</t>
        </is>
      </c>
      <c r="C685" s="13" t="inlineStr">
        <is>
          <t>ASME B36.19M</t>
        </is>
      </c>
      <c r="D685" s="12" t="inlineStr">
        <is>
          <t>24''</t>
        </is>
      </c>
      <c r="E685" s="38" t="n">
        <v>600</v>
      </c>
      <c r="F685" s="12" t="inlineStr">
        <is>
          <t>160</t>
        </is>
      </c>
      <c r="G685" s="14" t="n">
        <v>24</v>
      </c>
      <c r="H685" s="40" t="n">
        <v>609.6</v>
      </c>
      <c r="I685" s="14" t="n">
        <v>2.344</v>
      </c>
      <c r="J685" s="40" t="n">
        <v>59.54</v>
      </c>
      <c r="K685" s="14">
        <f>ROUND((H685-J685)*J685*IF(B685="Carbon Steel",$K$7,IF(B685="Stainless Steel 304",$K$8,$L$8)), 3)</f>
        <v/>
      </c>
      <c r="L685" s="40">
        <f>ROUND(K685*$G$5, 2)</f>
        <v/>
      </c>
      <c r="M685" s="38">
        <f>INT($G$6/H685)</f>
        <v/>
      </c>
      <c r="N685" s="38">
        <f>IF(M685=0, 0, IF(OR($K$6="Square Grid", M685=1), INT($G$7/H685), IF($G$7&lt;H685, 0, 1+INT(($G$7-H685)/(0.8660254*H685)))))</f>
        <v/>
      </c>
      <c r="O685" s="41">
        <f>IF(OR(M685=0,N685=0), 0, IF(OR($K$6="Square Grid", M685=1), M685*N685*$K$5, (INT((N685+1)/2)*M685 + INT(N685/2)*IF(($G$6-M685*H685)&gt;=0.5*H685, M685, M685-1))*$K$5))</f>
        <v/>
      </c>
      <c r="P685" s="41">
        <f>IF(L685&lt;=0, 0, INT($G$8/L685))</f>
        <v/>
      </c>
      <c r="Q685" s="42">
        <f>MIN(O685, P685)</f>
        <v/>
      </c>
      <c r="R685" s="43">
        <f>ROUND((Q685*L685)/1000, 2)</f>
        <v/>
      </c>
      <c r="S685" s="44">
        <f>IF($C$8&gt;0, R685/$C$8, 0)</f>
        <v/>
      </c>
      <c r="T685" s="44">
        <f>IF(O685&gt;0, Q685/O685, 0)</f>
        <v/>
      </c>
      <c r="U685" s="12">
        <f>IF(Q685=0, "Exceeds Limit", IF(P685&lt;=O685, "Weight Limited", "Volume Limited"))</f>
        <v/>
      </c>
    </row>
    <row r="686" ht="19" customHeight="1">
      <c r="A686" s="45" t="n">
        <v>676</v>
      </c>
      <c r="B686" s="50" t="inlineStr">
        <is>
          <t>Stainless Steel 316</t>
        </is>
      </c>
      <c r="C686" s="19" t="inlineStr">
        <is>
          <t>ASME B36.19M</t>
        </is>
      </c>
      <c r="D686" s="18" t="inlineStr">
        <is>
          <t>26''</t>
        </is>
      </c>
      <c r="E686" s="45" t="n">
        <v>650</v>
      </c>
      <c r="F686" s="18" t="inlineStr">
        <is>
          <t>STD</t>
        </is>
      </c>
      <c r="G686" s="20" t="n">
        <v>26</v>
      </c>
      <c r="H686" s="47" t="n">
        <v>660.4</v>
      </c>
      <c r="I686" s="20" t="n">
        <v>0.375</v>
      </c>
      <c r="J686" s="47" t="n">
        <v>9.52</v>
      </c>
      <c r="K686" s="20">
        <f>ROUND((H686-J686)*J686*IF(B686="Carbon Steel",$K$7,IF(B686="Stainless Steel 304",$K$8,$L$8)), 3)</f>
        <v/>
      </c>
      <c r="L686" s="47">
        <f>ROUND(K686*$G$5, 2)</f>
        <v/>
      </c>
      <c r="M686" s="45">
        <f>INT($G$6/H686)</f>
        <v/>
      </c>
      <c r="N686" s="45">
        <f>IF(M686=0, 0, IF(OR($K$6="Square Grid", M686=1), INT($G$7/H686), IF($G$7&lt;H686, 0, 1+INT(($G$7-H686)/(0.8660254*H686)))))</f>
        <v/>
      </c>
      <c r="O686" s="48">
        <f>IF(OR(M686=0,N686=0), 0, IF(OR($K$6="Square Grid", M686=1), M686*N686*$K$5, (INT((N686+1)/2)*M686 + INT(N686/2)*IF(($G$6-M686*H686)&gt;=0.5*H686, M686, M686-1))*$K$5))</f>
        <v/>
      </c>
      <c r="P686" s="48">
        <f>IF(L686&lt;=0, 0, INT($G$8/L686))</f>
        <v/>
      </c>
      <c r="Q686" s="42">
        <f>MIN(O686, P686)</f>
        <v/>
      </c>
      <c r="R686" s="43">
        <f>ROUND((Q686*L686)/1000, 2)</f>
        <v/>
      </c>
      <c r="S686" s="49">
        <f>IF($C$8&gt;0, R686/$C$8, 0)</f>
        <v/>
      </c>
      <c r="T686" s="49">
        <f>IF(O686&gt;0, Q686/O686, 0)</f>
        <v/>
      </c>
      <c r="U686" s="18">
        <f>IF(Q686=0, "Exceeds Limit", IF(P686&lt;=O686, "Weight Limited", "Volume Limited"))</f>
        <v/>
      </c>
    </row>
    <row r="687" ht="19" customHeight="1">
      <c r="A687" s="38" t="n">
        <v>677</v>
      </c>
      <c r="B687" s="51" t="inlineStr">
        <is>
          <t>Stainless Steel 316</t>
        </is>
      </c>
      <c r="C687" s="13" t="inlineStr">
        <is>
          <t>ASME B36.19M</t>
        </is>
      </c>
      <c r="D687" s="12" t="inlineStr">
        <is>
          <t>26''</t>
        </is>
      </c>
      <c r="E687" s="38" t="n">
        <v>650</v>
      </c>
      <c r="F687" s="12" t="inlineStr">
        <is>
          <t>XS</t>
        </is>
      </c>
      <c r="G687" s="14" t="n">
        <v>26</v>
      </c>
      <c r="H687" s="40" t="n">
        <v>660.4</v>
      </c>
      <c r="I687" s="14" t="n">
        <v>0.5</v>
      </c>
      <c r="J687" s="40" t="n">
        <v>12.7</v>
      </c>
      <c r="K687" s="14">
        <f>ROUND((H687-J687)*J687*IF(B687="Carbon Steel",$K$7,IF(B687="Stainless Steel 304",$K$8,$L$8)), 3)</f>
        <v/>
      </c>
      <c r="L687" s="40">
        <f>ROUND(K687*$G$5, 2)</f>
        <v/>
      </c>
      <c r="M687" s="38">
        <f>INT($G$6/H687)</f>
        <v/>
      </c>
      <c r="N687" s="38">
        <f>IF(M687=0, 0, IF(OR($K$6="Square Grid", M687=1), INT($G$7/H687), IF($G$7&lt;H687, 0, 1+INT(($G$7-H687)/(0.8660254*H687)))))</f>
        <v/>
      </c>
      <c r="O687" s="41">
        <f>IF(OR(M687=0,N687=0), 0, IF(OR($K$6="Square Grid", M687=1), M687*N687*$K$5, (INT((N687+1)/2)*M687 + INT(N687/2)*IF(($G$6-M687*H687)&gt;=0.5*H687, M687, M687-1))*$K$5))</f>
        <v/>
      </c>
      <c r="P687" s="41">
        <f>IF(L687&lt;=0, 0, INT($G$8/L687))</f>
        <v/>
      </c>
      <c r="Q687" s="42">
        <f>MIN(O687, P687)</f>
        <v/>
      </c>
      <c r="R687" s="43">
        <f>ROUND((Q687*L687)/1000, 2)</f>
        <v/>
      </c>
      <c r="S687" s="44">
        <f>IF($C$8&gt;0, R687/$C$8, 0)</f>
        <v/>
      </c>
      <c r="T687" s="44">
        <f>IF(O687&gt;0, Q687/O687, 0)</f>
        <v/>
      </c>
      <c r="U687" s="12">
        <f>IF(Q687=0, "Exceeds Limit", IF(P687&lt;=O687, "Weight Limited", "Volume Limited"))</f>
        <v/>
      </c>
    </row>
    <row r="688" ht="19" customHeight="1">
      <c r="A688" s="45" t="n">
        <v>678</v>
      </c>
      <c r="B688" s="50" t="inlineStr">
        <is>
          <t>Stainless Steel 316</t>
        </is>
      </c>
      <c r="C688" s="19" t="inlineStr">
        <is>
          <t>ASME B36.19M</t>
        </is>
      </c>
      <c r="D688" s="18" t="inlineStr">
        <is>
          <t>28''</t>
        </is>
      </c>
      <c r="E688" s="45" t="n">
        <v>700</v>
      </c>
      <c r="F688" s="18" t="inlineStr">
        <is>
          <t>STD</t>
        </is>
      </c>
      <c r="G688" s="20" t="n">
        <v>28</v>
      </c>
      <c r="H688" s="47" t="n">
        <v>711.2</v>
      </c>
      <c r="I688" s="20" t="n">
        <v>0.375</v>
      </c>
      <c r="J688" s="47" t="n">
        <v>9.52</v>
      </c>
      <c r="K688" s="20">
        <f>ROUND((H688-J688)*J688*IF(B688="Carbon Steel",$K$7,IF(B688="Stainless Steel 304",$K$8,$L$8)), 3)</f>
        <v/>
      </c>
      <c r="L688" s="47">
        <f>ROUND(K688*$G$5, 2)</f>
        <v/>
      </c>
      <c r="M688" s="45">
        <f>INT($G$6/H688)</f>
        <v/>
      </c>
      <c r="N688" s="45">
        <f>IF(M688=0, 0, IF(OR($K$6="Square Grid", M688=1), INT($G$7/H688), IF($G$7&lt;H688, 0, 1+INT(($G$7-H688)/(0.8660254*H688)))))</f>
        <v/>
      </c>
      <c r="O688" s="48">
        <f>IF(OR(M688=0,N688=0), 0, IF(OR($K$6="Square Grid", M688=1), M688*N688*$K$5, (INT((N688+1)/2)*M688 + INT(N688/2)*IF(($G$6-M688*H688)&gt;=0.5*H688, M688, M688-1))*$K$5))</f>
        <v/>
      </c>
      <c r="P688" s="48">
        <f>IF(L688&lt;=0, 0, INT($G$8/L688))</f>
        <v/>
      </c>
      <c r="Q688" s="42">
        <f>MIN(O688, P688)</f>
        <v/>
      </c>
      <c r="R688" s="43">
        <f>ROUND((Q688*L688)/1000, 2)</f>
        <v/>
      </c>
      <c r="S688" s="49">
        <f>IF($C$8&gt;0, R688/$C$8, 0)</f>
        <v/>
      </c>
      <c r="T688" s="49">
        <f>IF(O688&gt;0, Q688/O688, 0)</f>
        <v/>
      </c>
      <c r="U688" s="18">
        <f>IF(Q688=0, "Exceeds Limit", IF(P688&lt;=O688, "Weight Limited", "Volume Limited"))</f>
        <v/>
      </c>
    </row>
    <row r="689" ht="19" customHeight="1">
      <c r="A689" s="38" t="n">
        <v>679</v>
      </c>
      <c r="B689" s="51" t="inlineStr">
        <is>
          <t>Stainless Steel 316</t>
        </is>
      </c>
      <c r="C689" s="13" t="inlineStr">
        <is>
          <t>ASME B36.19M</t>
        </is>
      </c>
      <c r="D689" s="12" t="inlineStr">
        <is>
          <t>28''</t>
        </is>
      </c>
      <c r="E689" s="38" t="n">
        <v>700</v>
      </c>
      <c r="F689" s="12" t="inlineStr">
        <is>
          <t>XS</t>
        </is>
      </c>
      <c r="G689" s="14" t="n">
        <v>28</v>
      </c>
      <c r="H689" s="40" t="n">
        <v>711.2</v>
      </c>
      <c r="I689" s="14" t="n">
        <v>0.5</v>
      </c>
      <c r="J689" s="40" t="n">
        <v>12.7</v>
      </c>
      <c r="K689" s="14">
        <f>ROUND((H689-J689)*J689*IF(B689="Carbon Steel",$K$7,IF(B689="Stainless Steel 304",$K$8,$L$8)), 3)</f>
        <v/>
      </c>
      <c r="L689" s="40">
        <f>ROUND(K689*$G$5, 2)</f>
        <v/>
      </c>
      <c r="M689" s="38">
        <f>INT($G$6/H689)</f>
        <v/>
      </c>
      <c r="N689" s="38">
        <f>IF(M689=0, 0, IF(OR($K$6="Square Grid", M689=1), INT($G$7/H689), IF($G$7&lt;H689, 0, 1+INT(($G$7-H689)/(0.8660254*H689)))))</f>
        <v/>
      </c>
      <c r="O689" s="41">
        <f>IF(OR(M689=0,N689=0), 0, IF(OR($K$6="Square Grid", M689=1), M689*N689*$K$5, (INT((N689+1)/2)*M689 + INT(N689/2)*IF(($G$6-M689*H689)&gt;=0.5*H689, M689, M689-1))*$K$5))</f>
        <v/>
      </c>
      <c r="P689" s="41">
        <f>IF(L689&lt;=0, 0, INT($G$8/L689))</f>
        <v/>
      </c>
      <c r="Q689" s="42">
        <f>MIN(O689, P689)</f>
        <v/>
      </c>
      <c r="R689" s="43">
        <f>ROUND((Q689*L689)/1000, 2)</f>
        <v/>
      </c>
      <c r="S689" s="44">
        <f>IF($C$8&gt;0, R689/$C$8, 0)</f>
        <v/>
      </c>
      <c r="T689" s="44">
        <f>IF(O689&gt;0, Q689/O689, 0)</f>
        <v/>
      </c>
      <c r="U689" s="12">
        <f>IF(Q689=0, "Exceeds Limit", IF(P689&lt;=O689, "Weight Limited", "Volume Limited"))</f>
        <v/>
      </c>
    </row>
    <row r="690" ht="19" customHeight="1">
      <c r="A690" s="45" t="n">
        <v>680</v>
      </c>
      <c r="B690" s="50" t="inlineStr">
        <is>
          <t>Stainless Steel 316</t>
        </is>
      </c>
      <c r="C690" s="19" t="inlineStr">
        <is>
          <t>ASME B36.19M</t>
        </is>
      </c>
      <c r="D690" s="18" t="inlineStr">
        <is>
          <t>30''</t>
        </is>
      </c>
      <c r="E690" s="45" t="n">
        <v>750</v>
      </c>
      <c r="F690" s="18" t="inlineStr">
        <is>
          <t>5S</t>
        </is>
      </c>
      <c r="G690" s="20" t="n">
        <v>30</v>
      </c>
      <c r="H690" s="47" t="n">
        <v>762</v>
      </c>
      <c r="I690" s="20" t="n">
        <v>0.25</v>
      </c>
      <c r="J690" s="47" t="n">
        <v>6.35</v>
      </c>
      <c r="K690" s="20">
        <f>ROUND((H690-J690)*J690*IF(B690="Carbon Steel",$K$7,IF(B690="Stainless Steel 304",$K$8,$L$8)), 3)</f>
        <v/>
      </c>
      <c r="L690" s="47">
        <f>ROUND(K690*$G$5, 2)</f>
        <v/>
      </c>
      <c r="M690" s="45">
        <f>INT($G$6/H690)</f>
        <v/>
      </c>
      <c r="N690" s="45">
        <f>IF(M690=0, 0, IF(OR($K$6="Square Grid", M690=1), INT($G$7/H690), IF($G$7&lt;H690, 0, 1+INT(($G$7-H690)/(0.8660254*H690)))))</f>
        <v/>
      </c>
      <c r="O690" s="48">
        <f>IF(OR(M690=0,N690=0), 0, IF(OR($K$6="Square Grid", M690=1), M690*N690*$K$5, (INT((N690+1)/2)*M690 + INT(N690/2)*IF(($G$6-M690*H690)&gt;=0.5*H690, M690, M690-1))*$K$5))</f>
        <v/>
      </c>
      <c r="P690" s="48">
        <f>IF(L690&lt;=0, 0, INT($G$8/L690))</f>
        <v/>
      </c>
      <c r="Q690" s="42">
        <f>MIN(O690, P690)</f>
        <v/>
      </c>
      <c r="R690" s="43">
        <f>ROUND((Q690*L690)/1000, 2)</f>
        <v/>
      </c>
      <c r="S690" s="49">
        <f>IF($C$8&gt;0, R690/$C$8, 0)</f>
        <v/>
      </c>
      <c r="T690" s="49">
        <f>IF(O690&gt;0, Q690/O690, 0)</f>
        <v/>
      </c>
      <c r="U690" s="18">
        <f>IF(Q690=0, "Exceeds Limit", IF(P690&lt;=O690, "Weight Limited", "Volume Limited"))</f>
        <v/>
      </c>
    </row>
    <row r="691" ht="19" customHeight="1">
      <c r="A691" s="38" t="n">
        <v>681</v>
      </c>
      <c r="B691" s="51" t="inlineStr">
        <is>
          <t>Stainless Steel 316</t>
        </is>
      </c>
      <c r="C691" s="13" t="inlineStr">
        <is>
          <t>ASME B36.19M</t>
        </is>
      </c>
      <c r="D691" s="12" t="inlineStr">
        <is>
          <t>30''</t>
        </is>
      </c>
      <c r="E691" s="38" t="n">
        <v>750</v>
      </c>
      <c r="F691" s="12" t="inlineStr">
        <is>
          <t>10S</t>
        </is>
      </c>
      <c r="G691" s="14" t="n">
        <v>30</v>
      </c>
      <c r="H691" s="40" t="n">
        <v>762</v>
      </c>
      <c r="I691" s="14" t="n">
        <v>0.312</v>
      </c>
      <c r="J691" s="40" t="n">
        <v>7.92</v>
      </c>
      <c r="K691" s="14">
        <f>ROUND((H691-J691)*J691*IF(B691="Carbon Steel",$K$7,IF(B691="Stainless Steel 304",$K$8,$L$8)), 3)</f>
        <v/>
      </c>
      <c r="L691" s="40">
        <f>ROUND(K691*$G$5, 2)</f>
        <v/>
      </c>
      <c r="M691" s="38">
        <f>INT($G$6/H691)</f>
        <v/>
      </c>
      <c r="N691" s="38">
        <f>IF(M691=0, 0, IF(OR($K$6="Square Grid", M691=1), INT($G$7/H691), IF($G$7&lt;H691, 0, 1+INT(($G$7-H691)/(0.8660254*H691)))))</f>
        <v/>
      </c>
      <c r="O691" s="41">
        <f>IF(OR(M691=0,N691=0), 0, IF(OR($K$6="Square Grid", M691=1), M691*N691*$K$5, (INT((N691+1)/2)*M691 + INT(N691/2)*IF(($G$6-M691*H691)&gt;=0.5*H691, M691, M691-1))*$K$5))</f>
        <v/>
      </c>
      <c r="P691" s="41">
        <f>IF(L691&lt;=0, 0, INT($G$8/L691))</f>
        <v/>
      </c>
      <c r="Q691" s="42">
        <f>MIN(O691, P691)</f>
        <v/>
      </c>
      <c r="R691" s="43">
        <f>ROUND((Q691*L691)/1000, 2)</f>
        <v/>
      </c>
      <c r="S691" s="44">
        <f>IF($C$8&gt;0, R691/$C$8, 0)</f>
        <v/>
      </c>
      <c r="T691" s="44">
        <f>IF(O691&gt;0, Q691/O691, 0)</f>
        <v/>
      </c>
      <c r="U691" s="12">
        <f>IF(Q691=0, "Exceeds Limit", IF(P691&lt;=O691, "Weight Limited", "Volume Limited"))</f>
        <v/>
      </c>
    </row>
    <row r="692" ht="19" customHeight="1">
      <c r="A692" s="45" t="n">
        <v>682</v>
      </c>
      <c r="B692" s="50" t="inlineStr">
        <is>
          <t>Stainless Steel 316</t>
        </is>
      </c>
      <c r="C692" s="19" t="inlineStr">
        <is>
          <t>ASME B36.19M</t>
        </is>
      </c>
      <c r="D692" s="18" t="inlineStr">
        <is>
          <t>30''</t>
        </is>
      </c>
      <c r="E692" s="45" t="n">
        <v>750</v>
      </c>
      <c r="F692" s="18" t="inlineStr">
        <is>
          <t>40S</t>
        </is>
      </c>
      <c r="G692" s="20" t="n">
        <v>30</v>
      </c>
      <c r="H692" s="47" t="n">
        <v>762</v>
      </c>
      <c r="I692" s="20" t="n">
        <v>0.375</v>
      </c>
      <c r="J692" s="47" t="n">
        <v>9.52</v>
      </c>
      <c r="K692" s="20">
        <f>ROUND((H692-J692)*J692*IF(B692="Carbon Steel",$K$7,IF(B692="Stainless Steel 304",$K$8,$L$8)), 3)</f>
        <v/>
      </c>
      <c r="L692" s="47">
        <f>ROUND(K692*$G$5, 2)</f>
        <v/>
      </c>
      <c r="M692" s="45">
        <f>INT($G$6/H692)</f>
        <v/>
      </c>
      <c r="N692" s="45">
        <f>IF(M692=0, 0, IF(OR($K$6="Square Grid", M692=1), INT($G$7/H692), IF($G$7&lt;H692, 0, 1+INT(($G$7-H692)/(0.8660254*H692)))))</f>
        <v/>
      </c>
      <c r="O692" s="48">
        <f>IF(OR(M692=0,N692=0), 0, IF(OR($K$6="Square Grid", M692=1), M692*N692*$K$5, (INT((N692+1)/2)*M692 + INT(N692/2)*IF(($G$6-M692*H692)&gt;=0.5*H692, M692, M692-1))*$K$5))</f>
        <v/>
      </c>
      <c r="P692" s="48">
        <f>IF(L692&lt;=0, 0, INT($G$8/L692))</f>
        <v/>
      </c>
      <c r="Q692" s="42">
        <f>MIN(O692, P692)</f>
        <v/>
      </c>
      <c r="R692" s="43">
        <f>ROUND((Q692*L692)/1000, 2)</f>
        <v/>
      </c>
      <c r="S692" s="49">
        <f>IF($C$8&gt;0, R692/$C$8, 0)</f>
        <v/>
      </c>
      <c r="T692" s="49">
        <f>IF(O692&gt;0, Q692/O692, 0)</f>
        <v/>
      </c>
      <c r="U692" s="18">
        <f>IF(Q692=0, "Exceeds Limit", IF(P692&lt;=O692, "Weight Limited", "Volume Limited"))</f>
        <v/>
      </c>
    </row>
    <row r="693" ht="19" customHeight="1">
      <c r="A693" s="38" t="n">
        <v>683</v>
      </c>
      <c r="B693" s="51" t="inlineStr">
        <is>
          <t>Stainless Steel 316</t>
        </is>
      </c>
      <c r="C693" s="13" t="inlineStr">
        <is>
          <t>ASME B36.19M</t>
        </is>
      </c>
      <c r="D693" s="12" t="inlineStr">
        <is>
          <t>30''</t>
        </is>
      </c>
      <c r="E693" s="38" t="n">
        <v>750</v>
      </c>
      <c r="F693" s="12" t="inlineStr">
        <is>
          <t>80S</t>
        </is>
      </c>
      <c r="G693" s="14" t="n">
        <v>30</v>
      </c>
      <c r="H693" s="40" t="n">
        <v>762</v>
      </c>
      <c r="I693" s="14" t="n">
        <v>0.5</v>
      </c>
      <c r="J693" s="40" t="n">
        <v>12.7</v>
      </c>
      <c r="K693" s="14">
        <f>ROUND((H693-J693)*J693*IF(B693="Carbon Steel",$K$7,IF(B693="Stainless Steel 304",$K$8,$L$8)), 3)</f>
        <v/>
      </c>
      <c r="L693" s="40">
        <f>ROUND(K693*$G$5, 2)</f>
        <v/>
      </c>
      <c r="M693" s="38">
        <f>INT($G$6/H693)</f>
        <v/>
      </c>
      <c r="N693" s="38">
        <f>IF(M693=0, 0, IF(OR($K$6="Square Grid", M693=1), INT($G$7/H693), IF($G$7&lt;H693, 0, 1+INT(($G$7-H693)/(0.8660254*H693)))))</f>
        <v/>
      </c>
      <c r="O693" s="41">
        <f>IF(OR(M693=0,N693=0), 0, IF(OR($K$6="Square Grid", M693=1), M693*N693*$K$5, (INT((N693+1)/2)*M693 + INT(N693/2)*IF(($G$6-M693*H693)&gt;=0.5*H693, M693, M693-1))*$K$5))</f>
        <v/>
      </c>
      <c r="P693" s="41">
        <f>IF(L693&lt;=0, 0, INT($G$8/L693))</f>
        <v/>
      </c>
      <c r="Q693" s="42">
        <f>MIN(O693, P693)</f>
        <v/>
      </c>
      <c r="R693" s="43">
        <f>ROUND((Q693*L693)/1000, 2)</f>
        <v/>
      </c>
      <c r="S693" s="44">
        <f>IF($C$8&gt;0, R693/$C$8, 0)</f>
        <v/>
      </c>
      <c r="T693" s="44">
        <f>IF(O693&gt;0, Q693/O693, 0)</f>
        <v/>
      </c>
      <c r="U693" s="12">
        <f>IF(Q693=0, "Exceeds Limit", IF(P693&lt;=O693, "Weight Limited", "Volume Limited"))</f>
        <v/>
      </c>
    </row>
    <row r="694" ht="19" customHeight="1">
      <c r="A694" s="45" t="n">
        <v>684</v>
      </c>
      <c r="B694" s="50" t="inlineStr">
        <is>
          <t>Stainless Steel 316</t>
        </is>
      </c>
      <c r="C694" s="19" t="inlineStr">
        <is>
          <t>ASME B36.19M</t>
        </is>
      </c>
      <c r="D694" s="18" t="inlineStr">
        <is>
          <t>30''</t>
        </is>
      </c>
      <c r="E694" s="45" t="n">
        <v>750</v>
      </c>
      <c r="F694" s="18" t="inlineStr">
        <is>
          <t>STD</t>
        </is>
      </c>
      <c r="G694" s="20" t="n">
        <v>30</v>
      </c>
      <c r="H694" s="47" t="n">
        <v>762</v>
      </c>
      <c r="I694" s="20" t="n">
        <v>0.375</v>
      </c>
      <c r="J694" s="47" t="n">
        <v>9.52</v>
      </c>
      <c r="K694" s="20">
        <f>ROUND((H694-J694)*J694*IF(B694="Carbon Steel",$K$7,IF(B694="Stainless Steel 304",$K$8,$L$8)), 3)</f>
        <v/>
      </c>
      <c r="L694" s="47">
        <f>ROUND(K694*$G$5, 2)</f>
        <v/>
      </c>
      <c r="M694" s="45">
        <f>INT($G$6/H694)</f>
        <v/>
      </c>
      <c r="N694" s="45">
        <f>IF(M694=0, 0, IF(OR($K$6="Square Grid", M694=1), INT($G$7/H694), IF($G$7&lt;H694, 0, 1+INT(($G$7-H694)/(0.8660254*H694)))))</f>
        <v/>
      </c>
      <c r="O694" s="48">
        <f>IF(OR(M694=0,N694=0), 0, IF(OR($K$6="Square Grid", M694=1), M694*N694*$K$5, (INT((N694+1)/2)*M694 + INT(N694/2)*IF(($G$6-M694*H694)&gt;=0.5*H694, M694, M694-1))*$K$5))</f>
        <v/>
      </c>
      <c r="P694" s="48">
        <f>IF(L694&lt;=0, 0, INT($G$8/L694))</f>
        <v/>
      </c>
      <c r="Q694" s="42">
        <f>MIN(O694, P694)</f>
        <v/>
      </c>
      <c r="R694" s="43">
        <f>ROUND((Q694*L694)/1000, 2)</f>
        <v/>
      </c>
      <c r="S694" s="49">
        <f>IF($C$8&gt;0, R694/$C$8, 0)</f>
        <v/>
      </c>
      <c r="T694" s="49">
        <f>IF(O694&gt;0, Q694/O694, 0)</f>
        <v/>
      </c>
      <c r="U694" s="18">
        <f>IF(Q694=0, "Exceeds Limit", IF(P694&lt;=O694, "Weight Limited", "Volume Limited"))</f>
        <v/>
      </c>
    </row>
    <row r="695" ht="19" customHeight="1">
      <c r="A695" s="38" t="n">
        <v>685</v>
      </c>
      <c r="B695" s="51" t="inlineStr">
        <is>
          <t>Stainless Steel 316</t>
        </is>
      </c>
      <c r="C695" s="13" t="inlineStr">
        <is>
          <t>ASME B36.19M</t>
        </is>
      </c>
      <c r="D695" s="12" t="inlineStr">
        <is>
          <t>30''</t>
        </is>
      </c>
      <c r="E695" s="38" t="n">
        <v>750</v>
      </c>
      <c r="F695" s="12" t="inlineStr">
        <is>
          <t>XS</t>
        </is>
      </c>
      <c r="G695" s="14" t="n">
        <v>30</v>
      </c>
      <c r="H695" s="40" t="n">
        <v>762</v>
      </c>
      <c r="I695" s="14" t="n">
        <v>0.5</v>
      </c>
      <c r="J695" s="40" t="n">
        <v>12.7</v>
      </c>
      <c r="K695" s="14">
        <f>ROUND((H695-J695)*J695*IF(B695="Carbon Steel",$K$7,IF(B695="Stainless Steel 304",$K$8,$L$8)), 3)</f>
        <v/>
      </c>
      <c r="L695" s="40">
        <f>ROUND(K695*$G$5, 2)</f>
        <v/>
      </c>
      <c r="M695" s="38">
        <f>INT($G$6/H695)</f>
        <v/>
      </c>
      <c r="N695" s="38">
        <f>IF(M695=0, 0, IF(OR($K$6="Square Grid", M695=1), INT($G$7/H695), IF($G$7&lt;H695, 0, 1+INT(($G$7-H695)/(0.8660254*H695)))))</f>
        <v/>
      </c>
      <c r="O695" s="41">
        <f>IF(OR(M695=0,N695=0), 0, IF(OR($K$6="Square Grid", M695=1), M695*N695*$K$5, (INT((N695+1)/2)*M695 + INT(N695/2)*IF(($G$6-M695*H695)&gt;=0.5*H695, M695, M695-1))*$K$5))</f>
        <v/>
      </c>
      <c r="P695" s="41">
        <f>IF(L695&lt;=0, 0, INT($G$8/L695))</f>
        <v/>
      </c>
      <c r="Q695" s="42">
        <f>MIN(O695, P695)</f>
        <v/>
      </c>
      <c r="R695" s="43">
        <f>ROUND((Q695*L695)/1000, 2)</f>
        <v/>
      </c>
      <c r="S695" s="44">
        <f>IF($C$8&gt;0, R695/$C$8, 0)</f>
        <v/>
      </c>
      <c r="T695" s="44">
        <f>IF(O695&gt;0, Q695/O695, 0)</f>
        <v/>
      </c>
      <c r="U695" s="12">
        <f>IF(Q695=0, "Exceeds Limit", IF(P695&lt;=O695, "Weight Limited", "Volume Limited"))</f>
        <v/>
      </c>
    </row>
    <row r="696" ht="19" customHeight="1">
      <c r="A696" s="45" t="n">
        <v>686</v>
      </c>
      <c r="B696" s="50" t="inlineStr">
        <is>
          <t>Stainless Steel 316</t>
        </is>
      </c>
      <c r="C696" s="19" t="inlineStr">
        <is>
          <t>ASME B36.19M</t>
        </is>
      </c>
      <c r="D696" s="18" t="inlineStr">
        <is>
          <t>32''</t>
        </is>
      </c>
      <c r="E696" s="45" t="n">
        <v>800</v>
      </c>
      <c r="F696" s="18" t="inlineStr">
        <is>
          <t>STD</t>
        </is>
      </c>
      <c r="G696" s="20" t="n">
        <v>32</v>
      </c>
      <c r="H696" s="47" t="n">
        <v>812.8</v>
      </c>
      <c r="I696" s="20" t="n">
        <v>0.375</v>
      </c>
      <c r="J696" s="47" t="n">
        <v>9.52</v>
      </c>
      <c r="K696" s="20">
        <f>ROUND((H696-J696)*J696*IF(B696="Carbon Steel",$K$7,IF(B696="Stainless Steel 304",$K$8,$L$8)), 3)</f>
        <v/>
      </c>
      <c r="L696" s="47">
        <f>ROUND(K696*$G$5, 2)</f>
        <v/>
      </c>
      <c r="M696" s="45">
        <f>INT($G$6/H696)</f>
        <v/>
      </c>
      <c r="N696" s="45">
        <f>IF(M696=0, 0, IF(OR($K$6="Square Grid", M696=1), INT($G$7/H696), IF($G$7&lt;H696, 0, 1+INT(($G$7-H696)/(0.8660254*H696)))))</f>
        <v/>
      </c>
      <c r="O696" s="48">
        <f>IF(OR(M696=0,N696=0), 0, IF(OR($K$6="Square Grid", M696=1), M696*N696*$K$5, (INT((N696+1)/2)*M696 + INT(N696/2)*IF(($G$6-M696*H696)&gt;=0.5*H696, M696, M696-1))*$K$5))</f>
        <v/>
      </c>
      <c r="P696" s="48">
        <f>IF(L696&lt;=0, 0, INT($G$8/L696))</f>
        <v/>
      </c>
      <c r="Q696" s="42">
        <f>MIN(O696, P696)</f>
        <v/>
      </c>
      <c r="R696" s="43">
        <f>ROUND((Q696*L696)/1000, 2)</f>
        <v/>
      </c>
      <c r="S696" s="49">
        <f>IF($C$8&gt;0, R696/$C$8, 0)</f>
        <v/>
      </c>
      <c r="T696" s="49">
        <f>IF(O696&gt;0, Q696/O696, 0)</f>
        <v/>
      </c>
      <c r="U696" s="18">
        <f>IF(Q696=0, "Exceeds Limit", IF(P696&lt;=O696, "Weight Limited", "Volume Limited"))</f>
        <v/>
      </c>
    </row>
    <row r="697" ht="19" customHeight="1">
      <c r="A697" s="38" t="n">
        <v>687</v>
      </c>
      <c r="B697" s="51" t="inlineStr">
        <is>
          <t>Stainless Steel 316</t>
        </is>
      </c>
      <c r="C697" s="13" t="inlineStr">
        <is>
          <t>ASME B36.19M</t>
        </is>
      </c>
      <c r="D697" s="12" t="inlineStr">
        <is>
          <t>32''</t>
        </is>
      </c>
      <c r="E697" s="38" t="n">
        <v>800</v>
      </c>
      <c r="F697" s="12" t="inlineStr">
        <is>
          <t>XS</t>
        </is>
      </c>
      <c r="G697" s="14" t="n">
        <v>32</v>
      </c>
      <c r="H697" s="40" t="n">
        <v>812.8</v>
      </c>
      <c r="I697" s="14" t="n">
        <v>0.5</v>
      </c>
      <c r="J697" s="40" t="n">
        <v>12.7</v>
      </c>
      <c r="K697" s="14">
        <f>ROUND((H697-J697)*J697*IF(B697="Carbon Steel",$K$7,IF(B697="Stainless Steel 304",$K$8,$L$8)), 3)</f>
        <v/>
      </c>
      <c r="L697" s="40">
        <f>ROUND(K697*$G$5, 2)</f>
        <v/>
      </c>
      <c r="M697" s="38">
        <f>INT($G$6/H697)</f>
        <v/>
      </c>
      <c r="N697" s="38">
        <f>IF(M697=0, 0, IF(OR($K$6="Square Grid", M697=1), INT($G$7/H697), IF($G$7&lt;H697, 0, 1+INT(($G$7-H697)/(0.8660254*H697)))))</f>
        <v/>
      </c>
      <c r="O697" s="41">
        <f>IF(OR(M697=0,N697=0), 0, IF(OR($K$6="Square Grid", M697=1), M697*N697*$K$5, (INT((N697+1)/2)*M697 + INT(N697/2)*IF(($G$6-M697*H697)&gt;=0.5*H697, M697, M697-1))*$K$5))</f>
        <v/>
      </c>
      <c r="P697" s="41">
        <f>IF(L697&lt;=0, 0, INT($G$8/L697))</f>
        <v/>
      </c>
      <c r="Q697" s="42">
        <f>MIN(O697, P697)</f>
        <v/>
      </c>
      <c r="R697" s="43">
        <f>ROUND((Q697*L697)/1000, 2)</f>
        <v/>
      </c>
      <c r="S697" s="44">
        <f>IF($C$8&gt;0, R697/$C$8, 0)</f>
        <v/>
      </c>
      <c r="T697" s="44">
        <f>IF(O697&gt;0, Q697/O697, 0)</f>
        <v/>
      </c>
      <c r="U697" s="12">
        <f>IF(Q697=0, "Exceeds Limit", IF(P697&lt;=O697, "Weight Limited", "Volume Limited"))</f>
        <v/>
      </c>
    </row>
    <row r="698" ht="19" customHeight="1">
      <c r="A698" s="45" t="n">
        <v>688</v>
      </c>
      <c r="B698" s="50" t="inlineStr">
        <is>
          <t>Stainless Steel 316</t>
        </is>
      </c>
      <c r="C698" s="19" t="inlineStr">
        <is>
          <t>ASME B36.19M</t>
        </is>
      </c>
      <c r="D698" s="18" t="inlineStr">
        <is>
          <t>34''</t>
        </is>
      </c>
      <c r="E698" s="45" t="n">
        <v>850</v>
      </c>
      <c r="F698" s="18" t="inlineStr">
        <is>
          <t>STD</t>
        </is>
      </c>
      <c r="G698" s="20" t="n">
        <v>34</v>
      </c>
      <c r="H698" s="47" t="n">
        <v>863.6</v>
      </c>
      <c r="I698" s="20" t="n">
        <v>0.375</v>
      </c>
      <c r="J698" s="47" t="n">
        <v>9.52</v>
      </c>
      <c r="K698" s="20">
        <f>ROUND((H698-J698)*J698*IF(B698="Carbon Steel",$K$7,IF(B698="Stainless Steel 304",$K$8,$L$8)), 3)</f>
        <v/>
      </c>
      <c r="L698" s="47">
        <f>ROUND(K698*$G$5, 2)</f>
        <v/>
      </c>
      <c r="M698" s="45">
        <f>INT($G$6/H698)</f>
        <v/>
      </c>
      <c r="N698" s="45">
        <f>IF(M698=0, 0, IF(OR($K$6="Square Grid", M698=1), INT($G$7/H698), IF($G$7&lt;H698, 0, 1+INT(($G$7-H698)/(0.8660254*H698)))))</f>
        <v/>
      </c>
      <c r="O698" s="48">
        <f>IF(OR(M698=0,N698=0), 0, IF(OR($K$6="Square Grid", M698=1), M698*N698*$K$5, (INT((N698+1)/2)*M698 + INT(N698/2)*IF(($G$6-M698*H698)&gt;=0.5*H698, M698, M698-1))*$K$5))</f>
        <v/>
      </c>
      <c r="P698" s="48">
        <f>IF(L698&lt;=0, 0, INT($G$8/L698))</f>
        <v/>
      </c>
      <c r="Q698" s="42">
        <f>MIN(O698, P698)</f>
        <v/>
      </c>
      <c r="R698" s="43">
        <f>ROUND((Q698*L698)/1000, 2)</f>
        <v/>
      </c>
      <c r="S698" s="49">
        <f>IF($C$8&gt;0, R698/$C$8, 0)</f>
        <v/>
      </c>
      <c r="T698" s="49">
        <f>IF(O698&gt;0, Q698/O698, 0)</f>
        <v/>
      </c>
      <c r="U698" s="18">
        <f>IF(Q698=0, "Exceeds Limit", IF(P698&lt;=O698, "Weight Limited", "Volume Limited"))</f>
        <v/>
      </c>
    </row>
    <row r="699" ht="19" customHeight="1">
      <c r="A699" s="38" t="n">
        <v>689</v>
      </c>
      <c r="B699" s="51" t="inlineStr">
        <is>
          <t>Stainless Steel 316</t>
        </is>
      </c>
      <c r="C699" s="13" t="inlineStr">
        <is>
          <t>ASME B36.19M</t>
        </is>
      </c>
      <c r="D699" s="12" t="inlineStr">
        <is>
          <t>34''</t>
        </is>
      </c>
      <c r="E699" s="38" t="n">
        <v>850</v>
      </c>
      <c r="F699" s="12" t="inlineStr">
        <is>
          <t>XS</t>
        </is>
      </c>
      <c r="G699" s="14" t="n">
        <v>34</v>
      </c>
      <c r="H699" s="40" t="n">
        <v>863.6</v>
      </c>
      <c r="I699" s="14" t="n">
        <v>0.5</v>
      </c>
      <c r="J699" s="40" t="n">
        <v>12.7</v>
      </c>
      <c r="K699" s="14">
        <f>ROUND((H699-J699)*J699*IF(B699="Carbon Steel",$K$7,IF(B699="Stainless Steel 304",$K$8,$L$8)), 3)</f>
        <v/>
      </c>
      <c r="L699" s="40">
        <f>ROUND(K699*$G$5, 2)</f>
        <v/>
      </c>
      <c r="M699" s="38">
        <f>INT($G$6/H699)</f>
        <v/>
      </c>
      <c r="N699" s="38">
        <f>IF(M699=0, 0, IF(OR($K$6="Square Grid", M699=1), INT($G$7/H699), IF($G$7&lt;H699, 0, 1+INT(($G$7-H699)/(0.8660254*H699)))))</f>
        <v/>
      </c>
      <c r="O699" s="41">
        <f>IF(OR(M699=0,N699=0), 0, IF(OR($K$6="Square Grid", M699=1), M699*N699*$K$5, (INT((N699+1)/2)*M699 + INT(N699/2)*IF(($G$6-M699*H699)&gt;=0.5*H699, M699, M699-1))*$K$5))</f>
        <v/>
      </c>
      <c r="P699" s="41">
        <f>IF(L699&lt;=0, 0, INT($G$8/L699))</f>
        <v/>
      </c>
      <c r="Q699" s="42">
        <f>MIN(O699, P699)</f>
        <v/>
      </c>
      <c r="R699" s="43">
        <f>ROUND((Q699*L699)/1000, 2)</f>
        <v/>
      </c>
      <c r="S699" s="44">
        <f>IF($C$8&gt;0, R699/$C$8, 0)</f>
        <v/>
      </c>
      <c r="T699" s="44">
        <f>IF(O699&gt;0, Q699/O699, 0)</f>
        <v/>
      </c>
      <c r="U699" s="12">
        <f>IF(Q699=0, "Exceeds Limit", IF(P699&lt;=O699, "Weight Limited", "Volume Limited"))</f>
        <v/>
      </c>
    </row>
    <row r="700" ht="19" customHeight="1">
      <c r="A700" s="45" t="n">
        <v>690</v>
      </c>
      <c r="B700" s="50" t="inlineStr">
        <is>
          <t>Stainless Steel 316</t>
        </is>
      </c>
      <c r="C700" s="19" t="inlineStr">
        <is>
          <t>ASME B36.19M</t>
        </is>
      </c>
      <c r="D700" s="18" t="inlineStr">
        <is>
          <t>36''</t>
        </is>
      </c>
      <c r="E700" s="45" t="n">
        <v>900</v>
      </c>
      <c r="F700" s="18" t="inlineStr">
        <is>
          <t>40S</t>
        </is>
      </c>
      <c r="G700" s="20" t="n">
        <v>36</v>
      </c>
      <c r="H700" s="47" t="n">
        <v>914.4</v>
      </c>
      <c r="I700" s="20" t="n">
        <v>0.375</v>
      </c>
      <c r="J700" s="47" t="n">
        <v>9.52</v>
      </c>
      <c r="K700" s="20">
        <f>ROUND((H700-J700)*J700*IF(B700="Carbon Steel",$K$7,IF(B700="Stainless Steel 304",$K$8,$L$8)), 3)</f>
        <v/>
      </c>
      <c r="L700" s="47">
        <f>ROUND(K700*$G$5, 2)</f>
        <v/>
      </c>
      <c r="M700" s="45">
        <f>INT($G$6/H700)</f>
        <v/>
      </c>
      <c r="N700" s="45">
        <f>IF(M700=0, 0, IF(OR($K$6="Square Grid", M700=1), INT($G$7/H700), IF($G$7&lt;H700, 0, 1+INT(($G$7-H700)/(0.8660254*H700)))))</f>
        <v/>
      </c>
      <c r="O700" s="48">
        <f>IF(OR(M700=0,N700=0), 0, IF(OR($K$6="Square Grid", M700=1), M700*N700*$K$5, (INT((N700+1)/2)*M700 + INT(N700/2)*IF(($G$6-M700*H700)&gt;=0.5*H700, M700, M700-1))*$K$5))</f>
        <v/>
      </c>
      <c r="P700" s="48">
        <f>IF(L700&lt;=0, 0, INT($G$8/L700))</f>
        <v/>
      </c>
      <c r="Q700" s="42">
        <f>MIN(O700, P700)</f>
        <v/>
      </c>
      <c r="R700" s="43">
        <f>ROUND((Q700*L700)/1000, 2)</f>
        <v/>
      </c>
      <c r="S700" s="49">
        <f>IF($C$8&gt;0, R700/$C$8, 0)</f>
        <v/>
      </c>
      <c r="T700" s="49">
        <f>IF(O700&gt;0, Q700/O700, 0)</f>
        <v/>
      </c>
      <c r="U700" s="18">
        <f>IF(Q700=0, "Exceeds Limit", IF(P700&lt;=O700, "Weight Limited", "Volume Limited"))</f>
        <v/>
      </c>
    </row>
    <row r="701" ht="19" customHeight="1">
      <c r="A701" s="38" t="n">
        <v>691</v>
      </c>
      <c r="B701" s="51" t="inlineStr">
        <is>
          <t>Stainless Steel 316</t>
        </is>
      </c>
      <c r="C701" s="13" t="inlineStr">
        <is>
          <t>ASME B36.19M</t>
        </is>
      </c>
      <c r="D701" s="12" t="inlineStr">
        <is>
          <t>36''</t>
        </is>
      </c>
      <c r="E701" s="38" t="n">
        <v>900</v>
      </c>
      <c r="F701" s="12" t="inlineStr">
        <is>
          <t>80S</t>
        </is>
      </c>
      <c r="G701" s="14" t="n">
        <v>36</v>
      </c>
      <c r="H701" s="40" t="n">
        <v>914.4</v>
      </c>
      <c r="I701" s="14" t="n">
        <v>0.5</v>
      </c>
      <c r="J701" s="40" t="n">
        <v>12.7</v>
      </c>
      <c r="K701" s="14">
        <f>ROUND((H701-J701)*J701*IF(B701="Carbon Steel",$K$7,IF(B701="Stainless Steel 304",$K$8,$L$8)), 3)</f>
        <v/>
      </c>
      <c r="L701" s="40">
        <f>ROUND(K701*$G$5, 2)</f>
        <v/>
      </c>
      <c r="M701" s="38">
        <f>INT($G$6/H701)</f>
        <v/>
      </c>
      <c r="N701" s="38">
        <f>IF(M701=0, 0, IF(OR($K$6="Square Grid", M701=1), INT($G$7/H701), IF($G$7&lt;H701, 0, 1+INT(($G$7-H701)/(0.8660254*H701)))))</f>
        <v/>
      </c>
      <c r="O701" s="41">
        <f>IF(OR(M701=0,N701=0), 0, IF(OR($K$6="Square Grid", M701=1), M701*N701*$K$5, (INT((N701+1)/2)*M701 + INT(N701/2)*IF(($G$6-M701*H701)&gt;=0.5*H701, M701, M701-1))*$K$5))</f>
        <v/>
      </c>
      <c r="P701" s="41">
        <f>IF(L701&lt;=0, 0, INT($G$8/L701))</f>
        <v/>
      </c>
      <c r="Q701" s="42">
        <f>MIN(O701, P701)</f>
        <v/>
      </c>
      <c r="R701" s="43">
        <f>ROUND((Q701*L701)/1000, 2)</f>
        <v/>
      </c>
      <c r="S701" s="44">
        <f>IF($C$8&gt;0, R701/$C$8, 0)</f>
        <v/>
      </c>
      <c r="T701" s="44">
        <f>IF(O701&gt;0, Q701/O701, 0)</f>
        <v/>
      </c>
      <c r="U701" s="12">
        <f>IF(Q701=0, "Exceeds Limit", IF(P701&lt;=O701, "Weight Limited", "Volume Limited"))</f>
        <v/>
      </c>
    </row>
    <row r="702" ht="19" customHeight="1">
      <c r="A702" s="45" t="n">
        <v>692</v>
      </c>
      <c r="B702" s="50" t="inlineStr">
        <is>
          <t>Stainless Steel 316</t>
        </is>
      </c>
      <c r="C702" s="19" t="inlineStr">
        <is>
          <t>ASME B36.19M</t>
        </is>
      </c>
      <c r="D702" s="18" t="inlineStr">
        <is>
          <t>36''</t>
        </is>
      </c>
      <c r="E702" s="45" t="n">
        <v>900</v>
      </c>
      <c r="F702" s="18" t="inlineStr">
        <is>
          <t>STD</t>
        </is>
      </c>
      <c r="G702" s="20" t="n">
        <v>36</v>
      </c>
      <c r="H702" s="47" t="n">
        <v>914.4</v>
      </c>
      <c r="I702" s="20" t="n">
        <v>0.375</v>
      </c>
      <c r="J702" s="47" t="n">
        <v>9.52</v>
      </c>
      <c r="K702" s="20">
        <f>ROUND((H702-J702)*J702*IF(B702="Carbon Steel",$K$7,IF(B702="Stainless Steel 304",$K$8,$L$8)), 3)</f>
        <v/>
      </c>
      <c r="L702" s="47">
        <f>ROUND(K702*$G$5, 2)</f>
        <v/>
      </c>
      <c r="M702" s="45">
        <f>INT($G$6/H702)</f>
        <v/>
      </c>
      <c r="N702" s="45">
        <f>IF(M702=0, 0, IF(OR($K$6="Square Grid", M702=1), INT($G$7/H702), IF($G$7&lt;H702, 0, 1+INT(($G$7-H702)/(0.8660254*H702)))))</f>
        <v/>
      </c>
      <c r="O702" s="48">
        <f>IF(OR(M702=0,N702=0), 0, IF(OR($K$6="Square Grid", M702=1), M702*N702*$K$5, (INT((N702+1)/2)*M702 + INT(N702/2)*IF(($G$6-M702*H702)&gt;=0.5*H702, M702, M702-1))*$K$5))</f>
        <v/>
      </c>
      <c r="P702" s="48">
        <f>IF(L702&lt;=0, 0, INT($G$8/L702))</f>
        <v/>
      </c>
      <c r="Q702" s="42">
        <f>MIN(O702, P702)</f>
        <v/>
      </c>
      <c r="R702" s="43">
        <f>ROUND((Q702*L702)/1000, 2)</f>
        <v/>
      </c>
      <c r="S702" s="49">
        <f>IF($C$8&gt;0, R702/$C$8, 0)</f>
        <v/>
      </c>
      <c r="T702" s="49">
        <f>IF(O702&gt;0, Q702/O702, 0)</f>
        <v/>
      </c>
      <c r="U702" s="18">
        <f>IF(Q702=0, "Exceeds Limit", IF(P702&lt;=O702, "Weight Limited", "Volume Limited"))</f>
        <v/>
      </c>
    </row>
    <row r="703" ht="19" customHeight="1">
      <c r="A703" s="38" t="n">
        <v>693</v>
      </c>
      <c r="B703" s="51" t="inlineStr">
        <is>
          <t>Stainless Steel 316</t>
        </is>
      </c>
      <c r="C703" s="13" t="inlineStr">
        <is>
          <t>ASME B36.19M</t>
        </is>
      </c>
      <c r="D703" s="12" t="inlineStr">
        <is>
          <t>36''</t>
        </is>
      </c>
      <c r="E703" s="38" t="n">
        <v>900</v>
      </c>
      <c r="F703" s="12" t="inlineStr">
        <is>
          <t>XS</t>
        </is>
      </c>
      <c r="G703" s="14" t="n">
        <v>36</v>
      </c>
      <c r="H703" s="40" t="n">
        <v>914.4</v>
      </c>
      <c r="I703" s="14" t="n">
        <v>0.5</v>
      </c>
      <c r="J703" s="40" t="n">
        <v>12.7</v>
      </c>
      <c r="K703" s="14">
        <f>ROUND((H703-J703)*J703*IF(B703="Carbon Steel",$K$7,IF(B703="Stainless Steel 304",$K$8,$L$8)), 3)</f>
        <v/>
      </c>
      <c r="L703" s="40">
        <f>ROUND(K703*$G$5, 2)</f>
        <v/>
      </c>
      <c r="M703" s="38">
        <f>INT($G$6/H703)</f>
        <v/>
      </c>
      <c r="N703" s="38">
        <f>IF(M703=0, 0, IF(OR($K$6="Square Grid", M703=1), INT($G$7/H703), IF($G$7&lt;H703, 0, 1+INT(($G$7-H703)/(0.8660254*H703)))))</f>
        <v/>
      </c>
      <c r="O703" s="41">
        <f>IF(OR(M703=0,N703=0), 0, IF(OR($K$6="Square Grid", M703=1), M703*N703*$K$5, (INT((N703+1)/2)*M703 + INT(N703/2)*IF(($G$6-M703*H703)&gt;=0.5*H703, M703, M703-1))*$K$5))</f>
        <v/>
      </c>
      <c r="P703" s="41">
        <f>IF(L703&lt;=0, 0, INT($G$8/L703))</f>
        <v/>
      </c>
      <c r="Q703" s="42">
        <f>MIN(O703, P703)</f>
        <v/>
      </c>
      <c r="R703" s="43">
        <f>ROUND((Q703*L703)/1000, 2)</f>
        <v/>
      </c>
      <c r="S703" s="44">
        <f>IF($C$8&gt;0, R703/$C$8, 0)</f>
        <v/>
      </c>
      <c r="T703" s="44">
        <f>IF(O703&gt;0, Q703/O703, 0)</f>
        <v/>
      </c>
      <c r="U703" s="12">
        <f>IF(Q703=0, "Exceeds Limit", IF(P703&lt;=O703, "Weight Limited", "Volume Limited"))</f>
        <v/>
      </c>
    </row>
    <row r="704" ht="19" customHeight="1">
      <c r="A704" s="45" t="n">
        <v>694</v>
      </c>
      <c r="B704" s="50" t="inlineStr">
        <is>
          <t>Stainless Steel 316</t>
        </is>
      </c>
      <c r="C704" s="19" t="inlineStr">
        <is>
          <t>ASME B36.19M</t>
        </is>
      </c>
      <c r="D704" s="18" t="inlineStr">
        <is>
          <t>38''</t>
        </is>
      </c>
      <c r="E704" s="45" t="n">
        <v>950</v>
      </c>
      <c r="F704" s="18" t="inlineStr">
        <is>
          <t>STD</t>
        </is>
      </c>
      <c r="G704" s="20" t="n">
        <v>38</v>
      </c>
      <c r="H704" s="47" t="n">
        <v>965.2</v>
      </c>
      <c r="I704" s="20" t="n">
        <v>0.375</v>
      </c>
      <c r="J704" s="47" t="n">
        <v>9.52</v>
      </c>
      <c r="K704" s="20">
        <f>ROUND((H704-J704)*J704*IF(B704="Carbon Steel",$K$7,IF(B704="Stainless Steel 304",$K$8,$L$8)), 3)</f>
        <v/>
      </c>
      <c r="L704" s="47">
        <f>ROUND(K704*$G$5, 2)</f>
        <v/>
      </c>
      <c r="M704" s="45">
        <f>INT($G$6/H704)</f>
        <v/>
      </c>
      <c r="N704" s="45">
        <f>IF(M704=0, 0, IF(OR($K$6="Square Grid", M704=1), INT($G$7/H704), IF($G$7&lt;H704, 0, 1+INT(($G$7-H704)/(0.8660254*H704)))))</f>
        <v/>
      </c>
      <c r="O704" s="48">
        <f>IF(OR(M704=0,N704=0), 0, IF(OR($K$6="Square Grid", M704=1), M704*N704*$K$5, (INT((N704+1)/2)*M704 + INT(N704/2)*IF(($G$6-M704*H704)&gt;=0.5*H704, M704, M704-1))*$K$5))</f>
        <v/>
      </c>
      <c r="P704" s="48">
        <f>IF(L704&lt;=0, 0, INT($G$8/L704))</f>
        <v/>
      </c>
      <c r="Q704" s="42">
        <f>MIN(O704, P704)</f>
        <v/>
      </c>
      <c r="R704" s="43">
        <f>ROUND((Q704*L704)/1000, 2)</f>
        <v/>
      </c>
      <c r="S704" s="49">
        <f>IF($C$8&gt;0, R704/$C$8, 0)</f>
        <v/>
      </c>
      <c r="T704" s="49">
        <f>IF(O704&gt;0, Q704/O704, 0)</f>
        <v/>
      </c>
      <c r="U704" s="18">
        <f>IF(Q704=0, "Exceeds Limit", IF(P704&lt;=O704, "Weight Limited", "Volume Limited"))</f>
        <v/>
      </c>
    </row>
    <row r="705" ht="19" customHeight="1">
      <c r="A705" s="38" t="n">
        <v>695</v>
      </c>
      <c r="B705" s="51" t="inlineStr">
        <is>
          <t>Stainless Steel 316</t>
        </is>
      </c>
      <c r="C705" s="13" t="inlineStr">
        <is>
          <t>ASME B36.19M</t>
        </is>
      </c>
      <c r="D705" s="12" t="inlineStr">
        <is>
          <t>38''</t>
        </is>
      </c>
      <c r="E705" s="38" t="n">
        <v>950</v>
      </c>
      <c r="F705" s="12" t="inlineStr">
        <is>
          <t>XS</t>
        </is>
      </c>
      <c r="G705" s="14" t="n">
        <v>38</v>
      </c>
      <c r="H705" s="40" t="n">
        <v>965.2</v>
      </c>
      <c r="I705" s="14" t="n">
        <v>0.5</v>
      </c>
      <c r="J705" s="40" t="n">
        <v>12.7</v>
      </c>
      <c r="K705" s="14">
        <f>ROUND((H705-J705)*J705*IF(B705="Carbon Steel",$K$7,IF(B705="Stainless Steel 304",$K$8,$L$8)), 3)</f>
        <v/>
      </c>
      <c r="L705" s="40">
        <f>ROUND(K705*$G$5, 2)</f>
        <v/>
      </c>
      <c r="M705" s="38">
        <f>INT($G$6/H705)</f>
        <v/>
      </c>
      <c r="N705" s="38">
        <f>IF(M705=0, 0, IF(OR($K$6="Square Grid", M705=1), INT($G$7/H705), IF($G$7&lt;H705, 0, 1+INT(($G$7-H705)/(0.8660254*H705)))))</f>
        <v/>
      </c>
      <c r="O705" s="41">
        <f>IF(OR(M705=0,N705=0), 0, IF(OR($K$6="Square Grid", M705=1), M705*N705*$K$5, (INT((N705+1)/2)*M705 + INT(N705/2)*IF(($G$6-M705*H705)&gt;=0.5*H705, M705, M705-1))*$K$5))</f>
        <v/>
      </c>
      <c r="P705" s="41">
        <f>IF(L705&lt;=0, 0, INT($G$8/L705))</f>
        <v/>
      </c>
      <c r="Q705" s="42">
        <f>MIN(O705, P705)</f>
        <v/>
      </c>
      <c r="R705" s="43">
        <f>ROUND((Q705*L705)/1000, 2)</f>
        <v/>
      </c>
      <c r="S705" s="44">
        <f>IF($C$8&gt;0, R705/$C$8, 0)</f>
        <v/>
      </c>
      <c r="T705" s="44">
        <f>IF(O705&gt;0, Q705/O705, 0)</f>
        <v/>
      </c>
      <c r="U705" s="12">
        <f>IF(Q705=0, "Exceeds Limit", IF(P705&lt;=O705, "Weight Limited", "Volume Limited"))</f>
        <v/>
      </c>
    </row>
    <row r="706" ht="19" customHeight="1">
      <c r="A706" s="45" t="n">
        <v>696</v>
      </c>
      <c r="B706" s="50" t="inlineStr">
        <is>
          <t>Stainless Steel 316</t>
        </is>
      </c>
      <c r="C706" s="19" t="inlineStr">
        <is>
          <t>ASME B36.19M</t>
        </is>
      </c>
      <c r="D706" s="18" t="inlineStr">
        <is>
          <t>40''</t>
        </is>
      </c>
      <c r="E706" s="45" t="n">
        <v>1000</v>
      </c>
      <c r="F706" s="18" t="inlineStr">
        <is>
          <t>STD</t>
        </is>
      </c>
      <c r="G706" s="20" t="n">
        <v>40</v>
      </c>
      <c r="H706" s="47" t="n">
        <v>1016</v>
      </c>
      <c r="I706" s="20" t="n">
        <v>0.375</v>
      </c>
      <c r="J706" s="47" t="n">
        <v>9.52</v>
      </c>
      <c r="K706" s="20">
        <f>ROUND((H706-J706)*J706*IF(B706="Carbon Steel",$K$7,IF(B706="Stainless Steel 304",$K$8,$L$8)), 3)</f>
        <v/>
      </c>
      <c r="L706" s="47">
        <f>ROUND(K706*$G$5, 2)</f>
        <v/>
      </c>
      <c r="M706" s="45">
        <f>INT($G$6/H706)</f>
        <v/>
      </c>
      <c r="N706" s="45">
        <f>IF(M706=0, 0, IF(OR($K$6="Square Grid", M706=1), INT($G$7/H706), IF($G$7&lt;H706, 0, 1+INT(($G$7-H706)/(0.8660254*H706)))))</f>
        <v/>
      </c>
      <c r="O706" s="48">
        <f>IF(OR(M706=0,N706=0), 0, IF(OR($K$6="Square Grid", M706=1), M706*N706*$K$5, (INT((N706+1)/2)*M706 + INT(N706/2)*IF(($G$6-M706*H706)&gt;=0.5*H706, M706, M706-1))*$K$5))</f>
        <v/>
      </c>
      <c r="P706" s="48">
        <f>IF(L706&lt;=0, 0, INT($G$8/L706))</f>
        <v/>
      </c>
      <c r="Q706" s="42">
        <f>MIN(O706, P706)</f>
        <v/>
      </c>
      <c r="R706" s="43">
        <f>ROUND((Q706*L706)/1000, 2)</f>
        <v/>
      </c>
      <c r="S706" s="49">
        <f>IF($C$8&gt;0, R706/$C$8, 0)</f>
        <v/>
      </c>
      <c r="T706" s="49">
        <f>IF(O706&gt;0, Q706/O706, 0)</f>
        <v/>
      </c>
      <c r="U706" s="18">
        <f>IF(Q706=0, "Exceeds Limit", IF(P706&lt;=O706, "Weight Limited", "Volume Limited"))</f>
        <v/>
      </c>
    </row>
    <row r="707" ht="19" customHeight="1">
      <c r="A707" s="38" t="n">
        <v>697</v>
      </c>
      <c r="B707" s="51" t="inlineStr">
        <is>
          <t>Stainless Steel 316</t>
        </is>
      </c>
      <c r="C707" s="13" t="inlineStr">
        <is>
          <t>ASME B36.19M</t>
        </is>
      </c>
      <c r="D707" s="12" t="inlineStr">
        <is>
          <t>40''</t>
        </is>
      </c>
      <c r="E707" s="38" t="n">
        <v>1000</v>
      </c>
      <c r="F707" s="12" t="inlineStr">
        <is>
          <t>XS</t>
        </is>
      </c>
      <c r="G707" s="14" t="n">
        <v>40</v>
      </c>
      <c r="H707" s="40" t="n">
        <v>1016</v>
      </c>
      <c r="I707" s="14" t="n">
        <v>0.5</v>
      </c>
      <c r="J707" s="40" t="n">
        <v>12.7</v>
      </c>
      <c r="K707" s="14">
        <f>ROUND((H707-J707)*J707*IF(B707="Carbon Steel",$K$7,IF(B707="Stainless Steel 304",$K$8,$L$8)), 3)</f>
        <v/>
      </c>
      <c r="L707" s="40">
        <f>ROUND(K707*$G$5, 2)</f>
        <v/>
      </c>
      <c r="M707" s="38">
        <f>INT($G$6/H707)</f>
        <v/>
      </c>
      <c r="N707" s="38">
        <f>IF(M707=0, 0, IF(OR($K$6="Square Grid", M707=1), INT($G$7/H707), IF($G$7&lt;H707, 0, 1+INT(($G$7-H707)/(0.8660254*H707)))))</f>
        <v/>
      </c>
      <c r="O707" s="41">
        <f>IF(OR(M707=0,N707=0), 0, IF(OR($K$6="Square Grid", M707=1), M707*N707*$K$5, (INT((N707+1)/2)*M707 + INT(N707/2)*IF(($G$6-M707*H707)&gt;=0.5*H707, M707, M707-1))*$K$5))</f>
        <v/>
      </c>
      <c r="P707" s="41">
        <f>IF(L707&lt;=0, 0, INT($G$8/L707))</f>
        <v/>
      </c>
      <c r="Q707" s="42">
        <f>MIN(O707, P707)</f>
        <v/>
      </c>
      <c r="R707" s="43">
        <f>ROUND((Q707*L707)/1000, 2)</f>
        <v/>
      </c>
      <c r="S707" s="44">
        <f>IF($C$8&gt;0, R707/$C$8, 0)</f>
        <v/>
      </c>
      <c r="T707" s="44">
        <f>IF(O707&gt;0, Q707/O707, 0)</f>
        <v/>
      </c>
      <c r="U707" s="12">
        <f>IF(Q707=0, "Exceeds Limit", IF(P707&lt;=O707, "Weight Limited", "Volume Limited"))</f>
        <v/>
      </c>
    </row>
    <row r="708" ht="19" customHeight="1">
      <c r="A708" s="45" t="n">
        <v>698</v>
      </c>
      <c r="B708" s="50" t="inlineStr">
        <is>
          <t>Stainless Steel 316</t>
        </is>
      </c>
      <c r="C708" s="19" t="inlineStr">
        <is>
          <t>ASME B36.19M</t>
        </is>
      </c>
      <c r="D708" s="18" t="inlineStr">
        <is>
          <t>42''</t>
        </is>
      </c>
      <c r="E708" s="45" t="n">
        <v>1050</v>
      </c>
      <c r="F708" s="18" t="inlineStr">
        <is>
          <t>STD</t>
        </is>
      </c>
      <c r="G708" s="20" t="n">
        <v>42</v>
      </c>
      <c r="H708" s="47" t="n">
        <v>1066.8</v>
      </c>
      <c r="I708" s="20" t="n">
        <v>0.375</v>
      </c>
      <c r="J708" s="47" t="n">
        <v>9.52</v>
      </c>
      <c r="K708" s="20">
        <f>ROUND((H708-J708)*J708*IF(B708="Carbon Steel",$K$7,IF(B708="Stainless Steel 304",$K$8,$L$8)), 3)</f>
        <v/>
      </c>
      <c r="L708" s="47">
        <f>ROUND(K708*$G$5, 2)</f>
        <v/>
      </c>
      <c r="M708" s="45">
        <f>INT($G$6/H708)</f>
        <v/>
      </c>
      <c r="N708" s="45">
        <f>IF(M708=0, 0, IF(OR($K$6="Square Grid", M708=1), INT($G$7/H708), IF($G$7&lt;H708, 0, 1+INT(($G$7-H708)/(0.8660254*H708)))))</f>
        <v/>
      </c>
      <c r="O708" s="48">
        <f>IF(OR(M708=0,N708=0), 0, IF(OR($K$6="Square Grid", M708=1), M708*N708*$K$5, (INT((N708+1)/2)*M708 + INT(N708/2)*IF(($G$6-M708*H708)&gt;=0.5*H708, M708, M708-1))*$K$5))</f>
        <v/>
      </c>
      <c r="P708" s="48">
        <f>IF(L708&lt;=0, 0, INT($G$8/L708))</f>
        <v/>
      </c>
      <c r="Q708" s="42">
        <f>MIN(O708, P708)</f>
        <v/>
      </c>
      <c r="R708" s="43">
        <f>ROUND((Q708*L708)/1000, 2)</f>
        <v/>
      </c>
      <c r="S708" s="49">
        <f>IF($C$8&gt;0, R708/$C$8, 0)</f>
        <v/>
      </c>
      <c r="T708" s="49">
        <f>IF(O708&gt;0, Q708/O708, 0)</f>
        <v/>
      </c>
      <c r="U708" s="18">
        <f>IF(Q708=0, "Exceeds Limit", IF(P708&lt;=O708, "Weight Limited", "Volume Limited"))</f>
        <v/>
      </c>
    </row>
    <row r="709" ht="19" customHeight="1">
      <c r="A709" s="38" t="n">
        <v>699</v>
      </c>
      <c r="B709" s="51" t="inlineStr">
        <is>
          <t>Stainless Steel 316</t>
        </is>
      </c>
      <c r="C709" s="13" t="inlineStr">
        <is>
          <t>ASME B36.19M</t>
        </is>
      </c>
      <c r="D709" s="12" t="inlineStr">
        <is>
          <t>42''</t>
        </is>
      </c>
      <c r="E709" s="38" t="n">
        <v>1050</v>
      </c>
      <c r="F709" s="12" t="inlineStr">
        <is>
          <t>XS</t>
        </is>
      </c>
      <c r="G709" s="14" t="n">
        <v>42</v>
      </c>
      <c r="H709" s="40" t="n">
        <v>1066.8</v>
      </c>
      <c r="I709" s="14" t="n">
        <v>0.5</v>
      </c>
      <c r="J709" s="40" t="n">
        <v>12.7</v>
      </c>
      <c r="K709" s="14">
        <f>ROUND((H709-J709)*J709*IF(B709="Carbon Steel",$K$7,IF(B709="Stainless Steel 304",$K$8,$L$8)), 3)</f>
        <v/>
      </c>
      <c r="L709" s="40">
        <f>ROUND(K709*$G$5, 2)</f>
        <v/>
      </c>
      <c r="M709" s="38">
        <f>INT($G$6/H709)</f>
        <v/>
      </c>
      <c r="N709" s="38">
        <f>IF(M709=0, 0, IF(OR($K$6="Square Grid", M709=1), INT($G$7/H709), IF($G$7&lt;H709, 0, 1+INT(($G$7-H709)/(0.8660254*H709)))))</f>
        <v/>
      </c>
      <c r="O709" s="41">
        <f>IF(OR(M709=0,N709=0), 0, IF(OR($K$6="Square Grid", M709=1), M709*N709*$K$5, (INT((N709+1)/2)*M709 + INT(N709/2)*IF(($G$6-M709*H709)&gt;=0.5*H709, M709, M709-1))*$K$5))</f>
        <v/>
      </c>
      <c r="P709" s="41">
        <f>IF(L709&lt;=0, 0, INT($G$8/L709))</f>
        <v/>
      </c>
      <c r="Q709" s="42">
        <f>MIN(O709, P709)</f>
        <v/>
      </c>
      <c r="R709" s="43">
        <f>ROUND((Q709*L709)/1000, 2)</f>
        <v/>
      </c>
      <c r="S709" s="44">
        <f>IF($C$8&gt;0, R709/$C$8, 0)</f>
        <v/>
      </c>
      <c r="T709" s="44">
        <f>IF(O709&gt;0, Q709/O709, 0)</f>
        <v/>
      </c>
      <c r="U709" s="12">
        <f>IF(Q709=0, "Exceeds Limit", IF(P709&lt;=O709, "Weight Limited", "Volume Limited"))</f>
        <v/>
      </c>
    </row>
    <row r="710" ht="19" customHeight="1">
      <c r="A710" s="45" t="n">
        <v>700</v>
      </c>
      <c r="B710" s="50" t="inlineStr">
        <is>
          <t>Stainless Steel 316</t>
        </is>
      </c>
      <c r="C710" s="19" t="inlineStr">
        <is>
          <t>ASME B36.19M</t>
        </is>
      </c>
      <c r="D710" s="18" t="inlineStr">
        <is>
          <t>44''</t>
        </is>
      </c>
      <c r="E710" s="45" t="n">
        <v>1100</v>
      </c>
      <c r="F710" s="18" t="inlineStr">
        <is>
          <t>STD</t>
        </is>
      </c>
      <c r="G710" s="20" t="n">
        <v>44</v>
      </c>
      <c r="H710" s="47" t="n">
        <v>1117.6</v>
      </c>
      <c r="I710" s="20" t="n">
        <v>0.375</v>
      </c>
      <c r="J710" s="47" t="n">
        <v>9.52</v>
      </c>
      <c r="K710" s="20">
        <f>ROUND((H710-J710)*J710*IF(B710="Carbon Steel",$K$7,IF(B710="Stainless Steel 304",$K$8,$L$8)), 3)</f>
        <v/>
      </c>
      <c r="L710" s="47">
        <f>ROUND(K710*$G$5, 2)</f>
        <v/>
      </c>
      <c r="M710" s="45">
        <f>INT($G$6/H710)</f>
        <v/>
      </c>
      <c r="N710" s="45">
        <f>IF(M710=0, 0, IF(OR($K$6="Square Grid", M710=1), INT($G$7/H710), IF($G$7&lt;H710, 0, 1+INT(($G$7-H710)/(0.8660254*H710)))))</f>
        <v/>
      </c>
      <c r="O710" s="48">
        <f>IF(OR(M710=0,N710=0), 0, IF(OR($K$6="Square Grid", M710=1), M710*N710*$K$5, (INT((N710+1)/2)*M710 + INT(N710/2)*IF(($G$6-M710*H710)&gt;=0.5*H710, M710, M710-1))*$K$5))</f>
        <v/>
      </c>
      <c r="P710" s="48">
        <f>IF(L710&lt;=0, 0, INT($G$8/L710))</f>
        <v/>
      </c>
      <c r="Q710" s="42">
        <f>MIN(O710, P710)</f>
        <v/>
      </c>
      <c r="R710" s="43">
        <f>ROUND((Q710*L710)/1000, 2)</f>
        <v/>
      </c>
      <c r="S710" s="49">
        <f>IF($C$8&gt;0, R710/$C$8, 0)</f>
        <v/>
      </c>
      <c r="T710" s="49">
        <f>IF(O710&gt;0, Q710/O710, 0)</f>
        <v/>
      </c>
      <c r="U710" s="18">
        <f>IF(Q710=0, "Exceeds Limit", IF(P710&lt;=O710, "Weight Limited", "Volume Limited"))</f>
        <v/>
      </c>
    </row>
    <row r="711" ht="19" customHeight="1">
      <c r="A711" s="38" t="n">
        <v>701</v>
      </c>
      <c r="B711" s="51" t="inlineStr">
        <is>
          <t>Stainless Steel 316</t>
        </is>
      </c>
      <c r="C711" s="13" t="inlineStr">
        <is>
          <t>ASME B36.19M</t>
        </is>
      </c>
      <c r="D711" s="12" t="inlineStr">
        <is>
          <t>44''</t>
        </is>
      </c>
      <c r="E711" s="38" t="n">
        <v>1100</v>
      </c>
      <c r="F711" s="12" t="inlineStr">
        <is>
          <t>XS</t>
        </is>
      </c>
      <c r="G711" s="14" t="n">
        <v>44</v>
      </c>
      <c r="H711" s="40" t="n">
        <v>1117.6</v>
      </c>
      <c r="I711" s="14" t="n">
        <v>0.5</v>
      </c>
      <c r="J711" s="40" t="n">
        <v>12.7</v>
      </c>
      <c r="K711" s="14">
        <f>ROUND((H711-J711)*J711*IF(B711="Carbon Steel",$K$7,IF(B711="Stainless Steel 304",$K$8,$L$8)), 3)</f>
        <v/>
      </c>
      <c r="L711" s="40">
        <f>ROUND(K711*$G$5, 2)</f>
        <v/>
      </c>
      <c r="M711" s="38">
        <f>INT($G$6/H711)</f>
        <v/>
      </c>
      <c r="N711" s="38">
        <f>IF(M711=0, 0, IF(OR($K$6="Square Grid", M711=1), INT($G$7/H711), IF($G$7&lt;H711, 0, 1+INT(($G$7-H711)/(0.8660254*H711)))))</f>
        <v/>
      </c>
      <c r="O711" s="41">
        <f>IF(OR(M711=0,N711=0), 0, IF(OR($K$6="Square Grid", M711=1), M711*N711*$K$5, (INT((N711+1)/2)*M711 + INT(N711/2)*IF(($G$6-M711*H711)&gt;=0.5*H711, M711, M711-1))*$K$5))</f>
        <v/>
      </c>
      <c r="P711" s="41">
        <f>IF(L711&lt;=0, 0, INT($G$8/L711))</f>
        <v/>
      </c>
      <c r="Q711" s="42">
        <f>MIN(O711, P711)</f>
        <v/>
      </c>
      <c r="R711" s="43">
        <f>ROUND((Q711*L711)/1000, 2)</f>
        <v/>
      </c>
      <c r="S711" s="44">
        <f>IF($C$8&gt;0, R711/$C$8, 0)</f>
        <v/>
      </c>
      <c r="T711" s="44">
        <f>IF(O711&gt;0, Q711/O711, 0)</f>
        <v/>
      </c>
      <c r="U711" s="12">
        <f>IF(Q711=0, "Exceeds Limit", IF(P711&lt;=O711, "Weight Limited", "Volume Limited"))</f>
        <v/>
      </c>
    </row>
    <row r="712" ht="19" customHeight="1">
      <c r="A712" s="45" t="n">
        <v>702</v>
      </c>
      <c r="B712" s="50" t="inlineStr">
        <is>
          <t>Stainless Steel 316</t>
        </is>
      </c>
      <c r="C712" s="19" t="inlineStr">
        <is>
          <t>ASME B36.19M</t>
        </is>
      </c>
      <c r="D712" s="18" t="inlineStr">
        <is>
          <t>46''</t>
        </is>
      </c>
      <c r="E712" s="45" t="n">
        <v>1150</v>
      </c>
      <c r="F712" s="18" t="inlineStr">
        <is>
          <t>STD</t>
        </is>
      </c>
      <c r="G712" s="20" t="n">
        <v>46</v>
      </c>
      <c r="H712" s="47" t="n">
        <v>1168.4</v>
      </c>
      <c r="I712" s="20" t="n">
        <v>0.375</v>
      </c>
      <c r="J712" s="47" t="n">
        <v>9.52</v>
      </c>
      <c r="K712" s="20">
        <f>ROUND((H712-J712)*J712*IF(B712="Carbon Steel",$K$7,IF(B712="Stainless Steel 304",$K$8,$L$8)), 3)</f>
        <v/>
      </c>
      <c r="L712" s="47">
        <f>ROUND(K712*$G$5, 2)</f>
        <v/>
      </c>
      <c r="M712" s="45">
        <f>INT($G$6/H712)</f>
        <v/>
      </c>
      <c r="N712" s="45">
        <f>IF(M712=0, 0, IF(OR($K$6="Square Grid", M712=1), INT($G$7/H712), IF($G$7&lt;H712, 0, 1+INT(($G$7-H712)/(0.8660254*H712)))))</f>
        <v/>
      </c>
      <c r="O712" s="48">
        <f>IF(OR(M712=0,N712=0), 0, IF(OR($K$6="Square Grid", M712=1), M712*N712*$K$5, (INT((N712+1)/2)*M712 + INT(N712/2)*IF(($G$6-M712*H712)&gt;=0.5*H712, M712, M712-1))*$K$5))</f>
        <v/>
      </c>
      <c r="P712" s="48">
        <f>IF(L712&lt;=0, 0, INT($G$8/L712))</f>
        <v/>
      </c>
      <c r="Q712" s="42">
        <f>MIN(O712, P712)</f>
        <v/>
      </c>
      <c r="R712" s="43">
        <f>ROUND((Q712*L712)/1000, 2)</f>
        <v/>
      </c>
      <c r="S712" s="49">
        <f>IF($C$8&gt;0, R712/$C$8, 0)</f>
        <v/>
      </c>
      <c r="T712" s="49">
        <f>IF(O712&gt;0, Q712/O712, 0)</f>
        <v/>
      </c>
      <c r="U712" s="18">
        <f>IF(Q712=0, "Exceeds Limit", IF(P712&lt;=O712, "Weight Limited", "Volume Limited"))</f>
        <v/>
      </c>
    </row>
    <row r="713" ht="19" customHeight="1">
      <c r="A713" s="38" t="n">
        <v>703</v>
      </c>
      <c r="B713" s="51" t="inlineStr">
        <is>
          <t>Stainless Steel 316</t>
        </is>
      </c>
      <c r="C713" s="13" t="inlineStr">
        <is>
          <t>ASME B36.19M</t>
        </is>
      </c>
      <c r="D713" s="12" t="inlineStr">
        <is>
          <t>46''</t>
        </is>
      </c>
      <c r="E713" s="38" t="n">
        <v>1150</v>
      </c>
      <c r="F713" s="12" t="inlineStr">
        <is>
          <t>XS</t>
        </is>
      </c>
      <c r="G713" s="14" t="n">
        <v>46</v>
      </c>
      <c r="H713" s="40" t="n">
        <v>1168.4</v>
      </c>
      <c r="I713" s="14" t="n">
        <v>0.5</v>
      </c>
      <c r="J713" s="40" t="n">
        <v>12.7</v>
      </c>
      <c r="K713" s="14">
        <f>ROUND((H713-J713)*J713*IF(B713="Carbon Steel",$K$7,IF(B713="Stainless Steel 304",$K$8,$L$8)), 3)</f>
        <v/>
      </c>
      <c r="L713" s="40">
        <f>ROUND(K713*$G$5, 2)</f>
        <v/>
      </c>
      <c r="M713" s="38">
        <f>INT($G$6/H713)</f>
        <v/>
      </c>
      <c r="N713" s="38">
        <f>IF(M713=0, 0, IF(OR($K$6="Square Grid", M713=1), INT($G$7/H713), IF($G$7&lt;H713, 0, 1+INT(($G$7-H713)/(0.8660254*H713)))))</f>
        <v/>
      </c>
      <c r="O713" s="41">
        <f>IF(OR(M713=0,N713=0), 0, IF(OR($K$6="Square Grid", M713=1), M713*N713*$K$5, (INT((N713+1)/2)*M713 + INT(N713/2)*IF(($G$6-M713*H713)&gt;=0.5*H713, M713, M713-1))*$K$5))</f>
        <v/>
      </c>
      <c r="P713" s="41">
        <f>IF(L713&lt;=0, 0, INT($G$8/L713))</f>
        <v/>
      </c>
      <c r="Q713" s="42">
        <f>MIN(O713, P713)</f>
        <v/>
      </c>
      <c r="R713" s="43">
        <f>ROUND((Q713*L713)/1000, 2)</f>
        <v/>
      </c>
      <c r="S713" s="44">
        <f>IF($C$8&gt;0, R713/$C$8, 0)</f>
        <v/>
      </c>
      <c r="T713" s="44">
        <f>IF(O713&gt;0, Q713/O713, 0)</f>
        <v/>
      </c>
      <c r="U713" s="12">
        <f>IF(Q713=0, "Exceeds Limit", IF(P713&lt;=O713, "Weight Limited", "Volume Limited"))</f>
        <v/>
      </c>
    </row>
    <row r="714" ht="19" customHeight="1">
      <c r="A714" s="45" t="n">
        <v>704</v>
      </c>
      <c r="B714" s="50" t="inlineStr">
        <is>
          <t>Stainless Steel 316</t>
        </is>
      </c>
      <c r="C714" s="19" t="inlineStr">
        <is>
          <t>ASME B36.19M</t>
        </is>
      </c>
      <c r="D714" s="18" t="inlineStr">
        <is>
          <t>48''</t>
        </is>
      </c>
      <c r="E714" s="45" t="n">
        <v>1200</v>
      </c>
      <c r="F714" s="18" t="inlineStr">
        <is>
          <t>40S</t>
        </is>
      </c>
      <c r="G714" s="20" t="n">
        <v>48</v>
      </c>
      <c r="H714" s="47" t="n">
        <v>1219.2</v>
      </c>
      <c r="I714" s="20" t="n">
        <v>0.375</v>
      </c>
      <c r="J714" s="47" t="n">
        <v>9.52</v>
      </c>
      <c r="K714" s="20">
        <f>ROUND((H714-J714)*J714*IF(B714="Carbon Steel",$K$7,IF(B714="Stainless Steel 304",$K$8,$L$8)), 3)</f>
        <v/>
      </c>
      <c r="L714" s="47">
        <f>ROUND(K714*$G$5, 2)</f>
        <v/>
      </c>
      <c r="M714" s="45">
        <f>INT($G$6/H714)</f>
        <v/>
      </c>
      <c r="N714" s="45">
        <f>IF(M714=0, 0, IF(OR($K$6="Square Grid", M714=1), INT($G$7/H714), IF($G$7&lt;H714, 0, 1+INT(($G$7-H714)/(0.8660254*H714)))))</f>
        <v/>
      </c>
      <c r="O714" s="48">
        <f>IF(OR(M714=0,N714=0), 0, IF(OR($K$6="Square Grid", M714=1), M714*N714*$K$5, (INT((N714+1)/2)*M714 + INT(N714/2)*IF(($G$6-M714*H714)&gt;=0.5*H714, M714, M714-1))*$K$5))</f>
        <v/>
      </c>
      <c r="P714" s="48">
        <f>IF(L714&lt;=0, 0, INT($G$8/L714))</f>
        <v/>
      </c>
      <c r="Q714" s="42">
        <f>MIN(O714, P714)</f>
        <v/>
      </c>
      <c r="R714" s="43">
        <f>ROUND((Q714*L714)/1000, 2)</f>
        <v/>
      </c>
      <c r="S714" s="49">
        <f>IF($C$8&gt;0, R714/$C$8, 0)</f>
        <v/>
      </c>
      <c r="T714" s="49">
        <f>IF(O714&gt;0, Q714/O714, 0)</f>
        <v/>
      </c>
      <c r="U714" s="18">
        <f>IF(Q714=0, "Exceeds Limit", IF(P714&lt;=O714, "Weight Limited", "Volume Limited"))</f>
        <v/>
      </c>
    </row>
    <row r="715" ht="19" customHeight="1">
      <c r="A715" s="38" t="n">
        <v>705</v>
      </c>
      <c r="B715" s="51" t="inlineStr">
        <is>
          <t>Stainless Steel 316</t>
        </is>
      </c>
      <c r="C715" s="13" t="inlineStr">
        <is>
          <t>ASME B36.19M</t>
        </is>
      </c>
      <c r="D715" s="12" t="inlineStr">
        <is>
          <t>48''</t>
        </is>
      </c>
      <c r="E715" s="38" t="n">
        <v>1200</v>
      </c>
      <c r="F715" s="12" t="inlineStr">
        <is>
          <t>80S</t>
        </is>
      </c>
      <c r="G715" s="14" t="n">
        <v>48</v>
      </c>
      <c r="H715" s="40" t="n">
        <v>1219.2</v>
      </c>
      <c r="I715" s="14" t="n">
        <v>0.5</v>
      </c>
      <c r="J715" s="40" t="n">
        <v>12.7</v>
      </c>
      <c r="K715" s="14">
        <f>ROUND((H715-J715)*J715*IF(B715="Carbon Steel",$K$7,IF(B715="Stainless Steel 304",$K$8,$L$8)), 3)</f>
        <v/>
      </c>
      <c r="L715" s="40">
        <f>ROUND(K715*$G$5, 2)</f>
        <v/>
      </c>
      <c r="M715" s="38">
        <f>INT($G$6/H715)</f>
        <v/>
      </c>
      <c r="N715" s="38">
        <f>IF(M715=0, 0, IF(OR($K$6="Square Grid", M715=1), INT($G$7/H715), IF($G$7&lt;H715, 0, 1+INT(($G$7-H715)/(0.8660254*H715)))))</f>
        <v/>
      </c>
      <c r="O715" s="41">
        <f>IF(OR(M715=0,N715=0), 0, IF(OR($K$6="Square Grid", M715=1), M715*N715*$K$5, (INT((N715+1)/2)*M715 + INT(N715/2)*IF(($G$6-M715*H715)&gt;=0.5*H715, M715, M715-1))*$K$5))</f>
        <v/>
      </c>
      <c r="P715" s="41">
        <f>IF(L715&lt;=0, 0, INT($G$8/L715))</f>
        <v/>
      </c>
      <c r="Q715" s="42">
        <f>MIN(O715, P715)</f>
        <v/>
      </c>
      <c r="R715" s="43">
        <f>ROUND((Q715*L715)/1000, 2)</f>
        <v/>
      </c>
      <c r="S715" s="44">
        <f>IF($C$8&gt;0, R715/$C$8, 0)</f>
        <v/>
      </c>
      <c r="T715" s="44">
        <f>IF(O715&gt;0, Q715/O715, 0)</f>
        <v/>
      </c>
      <c r="U715" s="12">
        <f>IF(Q715=0, "Exceeds Limit", IF(P715&lt;=O715, "Weight Limited", "Volume Limited"))</f>
        <v/>
      </c>
    </row>
    <row r="716" ht="19" customHeight="1">
      <c r="A716" s="45" t="n">
        <v>706</v>
      </c>
      <c r="B716" s="50" t="inlineStr">
        <is>
          <t>Stainless Steel 316</t>
        </is>
      </c>
      <c r="C716" s="19" t="inlineStr">
        <is>
          <t>ASME B36.19M</t>
        </is>
      </c>
      <c r="D716" s="18" t="inlineStr">
        <is>
          <t>48''</t>
        </is>
      </c>
      <c r="E716" s="45" t="n">
        <v>1200</v>
      </c>
      <c r="F716" s="18" t="inlineStr">
        <is>
          <t>STD</t>
        </is>
      </c>
      <c r="G716" s="20" t="n">
        <v>48</v>
      </c>
      <c r="H716" s="47" t="n">
        <v>1219.2</v>
      </c>
      <c r="I716" s="20" t="n">
        <v>0.375</v>
      </c>
      <c r="J716" s="47" t="n">
        <v>9.52</v>
      </c>
      <c r="K716" s="20">
        <f>ROUND((H716-J716)*J716*IF(B716="Carbon Steel",$K$7,IF(B716="Stainless Steel 304",$K$8,$L$8)), 3)</f>
        <v/>
      </c>
      <c r="L716" s="47">
        <f>ROUND(K716*$G$5, 2)</f>
        <v/>
      </c>
      <c r="M716" s="45">
        <f>INT($G$6/H716)</f>
        <v/>
      </c>
      <c r="N716" s="45">
        <f>IF(M716=0, 0, IF(OR($K$6="Square Grid", M716=1), INT($G$7/H716), IF($G$7&lt;H716, 0, 1+INT(($G$7-H716)/(0.8660254*H716)))))</f>
        <v/>
      </c>
      <c r="O716" s="48">
        <f>IF(OR(M716=0,N716=0), 0, IF(OR($K$6="Square Grid", M716=1), M716*N716*$K$5, (INT((N716+1)/2)*M716 + INT(N716/2)*IF(($G$6-M716*H716)&gt;=0.5*H716, M716, M716-1))*$K$5))</f>
        <v/>
      </c>
      <c r="P716" s="48">
        <f>IF(L716&lt;=0, 0, INT($G$8/L716))</f>
        <v/>
      </c>
      <c r="Q716" s="42">
        <f>MIN(O716, P716)</f>
        <v/>
      </c>
      <c r="R716" s="43">
        <f>ROUND((Q716*L716)/1000, 2)</f>
        <v/>
      </c>
      <c r="S716" s="49">
        <f>IF($C$8&gt;0, R716/$C$8, 0)</f>
        <v/>
      </c>
      <c r="T716" s="49">
        <f>IF(O716&gt;0, Q716/O716, 0)</f>
        <v/>
      </c>
      <c r="U716" s="18">
        <f>IF(Q716=0, "Exceeds Limit", IF(P716&lt;=O716, "Weight Limited", "Volume Limited"))</f>
        <v/>
      </c>
    </row>
    <row r="717" ht="19" customHeight="1">
      <c r="A717" s="38" t="n">
        <v>707</v>
      </c>
      <c r="B717" s="51" t="inlineStr">
        <is>
          <t>Stainless Steel 316</t>
        </is>
      </c>
      <c r="C717" s="13" t="inlineStr">
        <is>
          <t>ASME B36.19M</t>
        </is>
      </c>
      <c r="D717" s="12" t="inlineStr">
        <is>
          <t>48''</t>
        </is>
      </c>
      <c r="E717" s="38" t="n">
        <v>1200</v>
      </c>
      <c r="F717" s="12" t="inlineStr">
        <is>
          <t>XS</t>
        </is>
      </c>
      <c r="G717" s="14" t="n">
        <v>48</v>
      </c>
      <c r="H717" s="40" t="n">
        <v>1219.2</v>
      </c>
      <c r="I717" s="14" t="n">
        <v>0.5</v>
      </c>
      <c r="J717" s="40" t="n">
        <v>12.7</v>
      </c>
      <c r="K717" s="14">
        <f>ROUND((H717-J717)*J717*IF(B717="Carbon Steel",$K$7,IF(B717="Stainless Steel 304",$K$8,$L$8)), 3)</f>
        <v/>
      </c>
      <c r="L717" s="40">
        <f>ROUND(K717*$G$5, 2)</f>
        <v/>
      </c>
      <c r="M717" s="38">
        <f>INT($G$6/H717)</f>
        <v/>
      </c>
      <c r="N717" s="38">
        <f>IF(M717=0, 0, IF(OR($K$6="Square Grid", M717=1), INT($G$7/H717), IF($G$7&lt;H717, 0, 1+INT(($G$7-H717)/(0.8660254*H717)))))</f>
        <v/>
      </c>
      <c r="O717" s="41">
        <f>IF(OR(M717=0,N717=0), 0, IF(OR($K$6="Square Grid", M717=1), M717*N717*$K$5, (INT((N717+1)/2)*M717 + INT(N717/2)*IF(($G$6-M717*H717)&gt;=0.5*H717, M717, M717-1))*$K$5))</f>
        <v/>
      </c>
      <c r="P717" s="41">
        <f>IF(L717&lt;=0, 0, INT($G$8/L717))</f>
        <v/>
      </c>
      <c r="Q717" s="42">
        <f>MIN(O717, P717)</f>
        <v/>
      </c>
      <c r="R717" s="43">
        <f>ROUND((Q717*L717)/1000, 2)</f>
        <v/>
      </c>
      <c r="S717" s="44">
        <f>IF($C$8&gt;0, R717/$C$8, 0)</f>
        <v/>
      </c>
      <c r="T717" s="44">
        <f>IF(O717&gt;0, Q717/O717, 0)</f>
        <v/>
      </c>
      <c r="U717" s="12">
        <f>IF(Q717=0, "Exceeds Limit", IF(P717&lt;=O717, "Weight Limited", "Volume Limited"))</f>
        <v/>
      </c>
    </row>
  </sheetData>
  <autoFilter ref="A10:U717"/>
  <mergeCells count="28">
    <mergeCell ref="C6:D6"/>
    <mergeCell ref="I6:J6"/>
    <mergeCell ref="A4:D4"/>
    <mergeCell ref="C5:D5"/>
    <mergeCell ref="I4:L4"/>
    <mergeCell ref="E5:F5"/>
    <mergeCell ref="K5:L5"/>
    <mergeCell ref="G8:H8"/>
    <mergeCell ref="A6:B6"/>
    <mergeCell ref="E8:F8"/>
    <mergeCell ref="A2:U2"/>
    <mergeCell ref="A7:B7"/>
    <mergeCell ref="G7:H7"/>
    <mergeCell ref="I7:J7"/>
    <mergeCell ref="G6:H6"/>
    <mergeCell ref="E6:F6"/>
    <mergeCell ref="E4:H4"/>
    <mergeCell ref="A5:B5"/>
    <mergeCell ref="G5:H5"/>
    <mergeCell ref="I5:J5"/>
    <mergeCell ref="I8:J8"/>
    <mergeCell ref="A8:B8"/>
    <mergeCell ref="C8:D8"/>
    <mergeCell ref="K7:L7"/>
    <mergeCell ref="C7:D7"/>
    <mergeCell ref="E7:F7"/>
    <mergeCell ref="K6:L6"/>
    <mergeCell ref="A1:U1"/>
  </mergeCells>
  <conditionalFormatting sqref="U11:U717">
    <cfRule type="cellIs" priority="1" operator="equal" dxfId="0">
      <formula>"Weight Limited"</formula>
    </cfRule>
    <cfRule type="cellIs" priority="2" operator="equal" dxfId="1">
      <formula>"Volume Limited"</formula>
    </cfRule>
  </conditionalFormatting>
  <dataValidations count="2">
    <dataValidation sqref="G5:H5" showDropDown="0" showInputMessage="0" showErrorMessage="0" allowBlank="0" type="list">
      <formula1>"5.80,6.00,11.80,12.00"</formula1>
    </dataValidation>
    <dataValidation sqref="K6:L6" showDropDown="0" showInputMessage="0" showErrorMessage="0" allowBlank="0" type="list">
      <formula1>"Staggered (Hexagonal),Square Grid"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7"/>
  <sheetViews>
    <sheetView showGridLines="1" workbookViewId="0">
      <pane xSplit="4" ySplit="11" topLeftCell="E1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 ht="30" customHeight="1">
      <c r="A1" s="1" t="inlineStr">
        <is>
          <t>PRECISE PIPE — ASME B36.10M (CARBON STEEL) &amp; B36.19M (STAINLESS STEEL) ENGINEERING DATABASE</t>
        </is>
      </c>
    </row>
    <row r="2" ht="20" customHeight="1">
      <c r="A2" s="2" t="inlineStr">
        <is>
          <t>Reference Standard: ASME B36.10M / B36.19M | Nominal Pipe Size (NPS 1/8" to 48") | Outer Diameter (OD) &amp; Wall Thickness (WT) in Millimeters (mm)</t>
        </is>
      </c>
    </row>
    <row r="4">
      <c r="A4" s="3" t="inlineStr">
        <is>
          <t>ENGINEERING CONSTANTS &amp; MATERIAL DENSITIES</t>
        </is>
      </c>
    </row>
    <row r="5" ht="22" customHeight="1">
      <c r="A5" s="4" t="inlineStr">
        <is>
          <t>Material Grade</t>
        </is>
      </c>
      <c r="B5" s="4" t="inlineStr">
        <is>
          <t>Standard Spec</t>
        </is>
      </c>
      <c r="C5" s="4" t="inlineStr">
        <is>
          <t>Density (g/cm3)</t>
        </is>
      </c>
      <c r="D5" s="4" t="inlineStr">
        <is>
          <t>Weight Factor C (kg/m)</t>
        </is>
      </c>
      <c r="E5" s="4" t="inlineStr">
        <is>
          <t>Formula: Unit Weight (kg/m)</t>
        </is>
      </c>
    </row>
    <row r="6" ht="20" customHeight="1">
      <c r="A6" s="5" t="inlineStr">
        <is>
          <t>Carbon Steel (CS)</t>
        </is>
      </c>
      <c r="B6" s="6" t="inlineStr">
        <is>
          <t>ASME B36.10M / ASTM A53, A106, API 5L</t>
        </is>
      </c>
      <c r="C6" s="7" t="n">
        <v>7.85</v>
      </c>
      <c r="D6" s="8">
        <f>ROUND(PI()*10^-6*(C6*1000), 7)</f>
        <v/>
      </c>
      <c r="E6" s="6" t="inlineStr">
        <is>
          <t>(OD_mm - WT_mm) * WT_mm * D6</t>
        </is>
      </c>
    </row>
    <row r="7" ht="20" customHeight="1">
      <c r="A7" s="5" t="inlineStr">
        <is>
          <t>Stainless Steel 304/304L (SS304)</t>
        </is>
      </c>
      <c r="B7" s="6" t="inlineStr">
        <is>
          <t>ASME B36.19M / ASTM A312 TP304</t>
        </is>
      </c>
      <c r="C7" s="7" t="n">
        <v>7.93</v>
      </c>
      <c r="D7" s="8">
        <f>ROUND(PI()*10^-6*(C7*1000), 7)</f>
        <v/>
      </c>
      <c r="E7" s="6" t="inlineStr">
        <is>
          <t>(OD_mm - WT_mm) * WT_mm * D7</t>
        </is>
      </c>
    </row>
    <row r="8" ht="20" customHeight="1">
      <c r="A8" s="5" t="inlineStr">
        <is>
          <t>Stainless Steel 316/316L (SS316)</t>
        </is>
      </c>
      <c r="B8" s="6" t="inlineStr">
        <is>
          <t>ASME B36.19M / ASTM A312 TP316</t>
        </is>
      </c>
      <c r="C8" s="7" t="n">
        <v>7.98</v>
      </c>
      <c r="D8" s="8">
        <f>ROUND(PI()*10^-6*(C8*1000), 7)</f>
        <v/>
      </c>
      <c r="E8" s="6" t="inlineStr">
        <is>
          <t>(OD_mm - WT_mm) * WT_mm * D8</t>
        </is>
      </c>
    </row>
    <row r="10">
      <c r="A10" s="3" t="inlineStr">
        <is>
          <t>MASTER PIPE SCHEDULE CHART — WALL THICKNESS IN MILLIMETERS (MM)</t>
        </is>
      </c>
    </row>
    <row r="11" ht="26" customHeight="1">
      <c r="A11" s="9" t="inlineStr">
        <is>
          <t>NPS (in)</t>
        </is>
      </c>
      <c r="B11" s="9" t="inlineStr">
        <is>
          <t>DN (mm)</t>
        </is>
      </c>
      <c r="C11" s="9" t="inlineStr">
        <is>
          <t>OD (in)</t>
        </is>
      </c>
      <c r="D11" s="9" t="inlineStr">
        <is>
          <t>OD (mm)</t>
        </is>
      </c>
      <c r="E11" s="10" t="inlineStr">
        <is>
          <t>Sch 5S</t>
        </is>
      </c>
      <c r="F11" s="11" t="inlineStr">
        <is>
          <t>Sch 5</t>
        </is>
      </c>
      <c r="G11" s="10" t="inlineStr">
        <is>
          <t>Sch 10S</t>
        </is>
      </c>
      <c r="H11" s="11" t="inlineStr">
        <is>
          <t>Sch 10</t>
        </is>
      </c>
      <c r="I11" s="11" t="inlineStr">
        <is>
          <t>Sch 20</t>
        </is>
      </c>
      <c r="J11" s="11" t="inlineStr">
        <is>
          <t>Sch 30</t>
        </is>
      </c>
      <c r="K11" s="10" t="inlineStr">
        <is>
          <t>Sch 40S</t>
        </is>
      </c>
      <c r="L11" s="11" t="inlineStr">
        <is>
          <t>Sch STD</t>
        </is>
      </c>
      <c r="M11" s="11" t="inlineStr">
        <is>
          <t>Sch 40</t>
        </is>
      </c>
      <c r="N11" s="11" t="inlineStr">
        <is>
          <t>Sch 60</t>
        </is>
      </c>
      <c r="O11" s="10" t="inlineStr">
        <is>
          <t>Sch 80S</t>
        </is>
      </c>
      <c r="P11" s="10" t="inlineStr">
        <is>
          <t>Sch XS</t>
        </is>
      </c>
      <c r="Q11" s="11" t="inlineStr">
        <is>
          <t>Sch 80</t>
        </is>
      </c>
      <c r="R11" s="11" t="inlineStr">
        <is>
          <t>Sch 100</t>
        </is>
      </c>
      <c r="S11" s="11" t="inlineStr">
        <is>
          <t>Sch 120</t>
        </is>
      </c>
      <c r="T11" s="11" t="inlineStr">
        <is>
          <t>Sch 140</t>
        </is>
      </c>
      <c r="U11" s="11" t="inlineStr">
        <is>
          <t>Sch 160</t>
        </is>
      </c>
      <c r="V11" s="10" t="inlineStr">
        <is>
          <t>Sch XXS</t>
        </is>
      </c>
    </row>
    <row r="12" ht="19" customHeight="1">
      <c r="A12" s="12" t="inlineStr">
        <is>
          <t>1/8''</t>
        </is>
      </c>
      <c r="B12" s="13" t="n">
        <v>6</v>
      </c>
      <c r="C12" s="14" t="n">
        <v>0.405</v>
      </c>
      <c r="D12" s="15" t="n">
        <v>10.29</v>
      </c>
      <c r="E12" s="16" t="inlineStr">
        <is>
          <t>-</t>
        </is>
      </c>
      <c r="F12" s="16" t="inlineStr">
        <is>
          <t>-</t>
        </is>
      </c>
      <c r="G12" s="17" t="n">
        <v>1.24</v>
      </c>
      <c r="H12" s="17" t="n">
        <v>1.24</v>
      </c>
      <c r="I12" s="16" t="inlineStr">
        <is>
          <t>-</t>
        </is>
      </c>
      <c r="J12" s="17" t="n">
        <v>1.45</v>
      </c>
      <c r="K12" s="17" t="n">
        <v>1.73</v>
      </c>
      <c r="L12" s="17" t="n">
        <v>1.73</v>
      </c>
      <c r="M12" s="17" t="n">
        <v>1.73</v>
      </c>
      <c r="N12" s="16" t="inlineStr">
        <is>
          <t>-</t>
        </is>
      </c>
      <c r="O12" s="17" t="n">
        <v>2.41</v>
      </c>
      <c r="P12" s="17" t="n">
        <v>2.41</v>
      </c>
      <c r="Q12" s="17" t="n">
        <v>2.41</v>
      </c>
      <c r="R12" s="16" t="inlineStr">
        <is>
          <t>-</t>
        </is>
      </c>
      <c r="S12" s="16" t="inlineStr">
        <is>
          <t>-</t>
        </is>
      </c>
      <c r="T12" s="16" t="inlineStr">
        <is>
          <t>-</t>
        </is>
      </c>
      <c r="U12" s="16" t="inlineStr">
        <is>
          <t>-</t>
        </is>
      </c>
      <c r="V12" s="16" t="inlineStr">
        <is>
          <t>-</t>
        </is>
      </c>
    </row>
    <row r="13" ht="19" customHeight="1">
      <c r="A13" s="18" t="inlineStr">
        <is>
          <t>1/4''</t>
        </is>
      </c>
      <c r="B13" s="19" t="n">
        <v>8</v>
      </c>
      <c r="C13" s="20" t="n">
        <v>0.54</v>
      </c>
      <c r="D13" s="21" t="n">
        <v>13.72</v>
      </c>
      <c r="E13" s="16" t="inlineStr">
        <is>
          <t>-</t>
        </is>
      </c>
      <c r="F13" s="16" t="inlineStr">
        <is>
          <t>-</t>
        </is>
      </c>
      <c r="G13" s="22" t="n">
        <v>1.65</v>
      </c>
      <c r="H13" s="22" t="n">
        <v>1.65</v>
      </c>
      <c r="I13" s="16" t="inlineStr">
        <is>
          <t>-</t>
        </is>
      </c>
      <c r="J13" s="22" t="n">
        <v>1.85</v>
      </c>
      <c r="K13" s="22" t="n">
        <v>2.24</v>
      </c>
      <c r="L13" s="22" t="n">
        <v>2.24</v>
      </c>
      <c r="M13" s="22" t="n">
        <v>2.24</v>
      </c>
      <c r="N13" s="16" t="inlineStr">
        <is>
          <t>-</t>
        </is>
      </c>
      <c r="O13" s="22" t="n">
        <v>3.02</v>
      </c>
      <c r="P13" s="22" t="n">
        <v>3.02</v>
      </c>
      <c r="Q13" s="22" t="n">
        <v>3.02</v>
      </c>
      <c r="R13" s="16" t="inlineStr">
        <is>
          <t>-</t>
        </is>
      </c>
      <c r="S13" s="16" t="inlineStr">
        <is>
          <t>-</t>
        </is>
      </c>
      <c r="T13" s="16" t="inlineStr">
        <is>
          <t>-</t>
        </is>
      </c>
      <c r="U13" s="16" t="inlineStr">
        <is>
          <t>-</t>
        </is>
      </c>
      <c r="V13" s="16" t="inlineStr">
        <is>
          <t>-</t>
        </is>
      </c>
    </row>
    <row r="14" ht="19" customHeight="1">
      <c r="A14" s="12" t="inlineStr">
        <is>
          <t>3/8''</t>
        </is>
      </c>
      <c r="B14" s="13" t="n">
        <v>10</v>
      </c>
      <c r="C14" s="14" t="n">
        <v>0.675</v>
      </c>
      <c r="D14" s="15" t="n">
        <v>17.14</v>
      </c>
      <c r="E14" s="16" t="inlineStr">
        <is>
          <t>-</t>
        </is>
      </c>
      <c r="F14" s="16" t="inlineStr">
        <is>
          <t>-</t>
        </is>
      </c>
      <c r="G14" s="17" t="n">
        <v>1.65</v>
      </c>
      <c r="H14" s="17" t="n">
        <v>1.65</v>
      </c>
      <c r="I14" s="16" t="inlineStr">
        <is>
          <t>-</t>
        </is>
      </c>
      <c r="J14" s="17" t="n">
        <v>1.85</v>
      </c>
      <c r="K14" s="17" t="n">
        <v>2.31</v>
      </c>
      <c r="L14" s="17" t="n">
        <v>2.31</v>
      </c>
      <c r="M14" s="17" t="n">
        <v>2.31</v>
      </c>
      <c r="N14" s="16" t="inlineStr">
        <is>
          <t>-</t>
        </is>
      </c>
      <c r="O14" s="17" t="n">
        <v>3.2</v>
      </c>
      <c r="P14" s="17" t="n">
        <v>3.2</v>
      </c>
      <c r="Q14" s="17" t="n">
        <v>3.2</v>
      </c>
      <c r="R14" s="16" t="inlineStr">
        <is>
          <t>-</t>
        </is>
      </c>
      <c r="S14" s="16" t="inlineStr">
        <is>
          <t>-</t>
        </is>
      </c>
      <c r="T14" s="16" t="inlineStr">
        <is>
          <t>-</t>
        </is>
      </c>
      <c r="U14" s="16" t="inlineStr">
        <is>
          <t>-</t>
        </is>
      </c>
      <c r="V14" s="16" t="inlineStr">
        <is>
          <t>-</t>
        </is>
      </c>
    </row>
    <row r="15" ht="19" customHeight="1">
      <c r="A15" s="18" t="inlineStr">
        <is>
          <t>1/2''</t>
        </is>
      </c>
      <c r="B15" s="19" t="n">
        <v>15</v>
      </c>
      <c r="C15" s="20" t="n">
        <v>0.84</v>
      </c>
      <c r="D15" s="21" t="n">
        <v>21.34</v>
      </c>
      <c r="E15" s="22" t="n">
        <v>1.65</v>
      </c>
      <c r="F15" s="22" t="n">
        <v>1.65</v>
      </c>
      <c r="G15" s="22" t="n">
        <v>2.11</v>
      </c>
      <c r="H15" s="22" t="n">
        <v>2.11</v>
      </c>
      <c r="I15" s="16" t="inlineStr">
        <is>
          <t>-</t>
        </is>
      </c>
      <c r="J15" s="22" t="n">
        <v>2.41</v>
      </c>
      <c r="K15" s="22" t="n">
        <v>2.77</v>
      </c>
      <c r="L15" s="22" t="n">
        <v>2.77</v>
      </c>
      <c r="M15" s="22" t="n">
        <v>2.77</v>
      </c>
      <c r="N15" s="16" t="inlineStr">
        <is>
          <t>-</t>
        </is>
      </c>
      <c r="O15" s="22" t="n">
        <v>3.73</v>
      </c>
      <c r="P15" s="22" t="n">
        <v>3.73</v>
      </c>
      <c r="Q15" s="22" t="n">
        <v>3.73</v>
      </c>
      <c r="R15" s="16" t="inlineStr">
        <is>
          <t>-</t>
        </is>
      </c>
      <c r="S15" s="16" t="inlineStr">
        <is>
          <t>-</t>
        </is>
      </c>
      <c r="T15" s="16" t="inlineStr">
        <is>
          <t>-</t>
        </is>
      </c>
      <c r="U15" s="22" t="n">
        <v>4.78</v>
      </c>
      <c r="V15" s="22" t="n">
        <v>7.47</v>
      </c>
    </row>
    <row r="16" ht="19" customHeight="1">
      <c r="A16" s="12" t="inlineStr">
        <is>
          <t>3/4''</t>
        </is>
      </c>
      <c r="B16" s="13" t="n">
        <v>20</v>
      </c>
      <c r="C16" s="14" t="n">
        <v>1.05</v>
      </c>
      <c r="D16" s="15" t="n">
        <v>26.67</v>
      </c>
      <c r="E16" s="17" t="n">
        <v>1.65</v>
      </c>
      <c r="F16" s="17" t="n">
        <v>1.65</v>
      </c>
      <c r="G16" s="17" t="n">
        <v>2.11</v>
      </c>
      <c r="H16" s="17" t="n">
        <v>2.11</v>
      </c>
      <c r="I16" s="16" t="inlineStr">
        <is>
          <t>-</t>
        </is>
      </c>
      <c r="J16" s="17" t="n">
        <v>2.41</v>
      </c>
      <c r="K16" s="17" t="n">
        <v>2.87</v>
      </c>
      <c r="L16" s="17" t="n">
        <v>2.87</v>
      </c>
      <c r="M16" s="17" t="n">
        <v>2.87</v>
      </c>
      <c r="N16" s="16" t="inlineStr">
        <is>
          <t>-</t>
        </is>
      </c>
      <c r="O16" s="17" t="n">
        <v>3.91</v>
      </c>
      <c r="P16" s="17" t="n">
        <v>3.91</v>
      </c>
      <c r="Q16" s="17" t="n">
        <v>3.91</v>
      </c>
      <c r="R16" s="16" t="inlineStr">
        <is>
          <t>-</t>
        </is>
      </c>
      <c r="S16" s="16" t="inlineStr">
        <is>
          <t>-</t>
        </is>
      </c>
      <c r="T16" s="16" t="inlineStr">
        <is>
          <t>-</t>
        </is>
      </c>
      <c r="U16" s="17" t="n">
        <v>5.56</v>
      </c>
      <c r="V16" s="17" t="n">
        <v>7.82</v>
      </c>
    </row>
    <row r="17" ht="19" customHeight="1">
      <c r="A17" s="18" t="inlineStr">
        <is>
          <t>1''</t>
        </is>
      </c>
      <c r="B17" s="19" t="n">
        <v>25</v>
      </c>
      <c r="C17" s="20" t="n">
        <v>1.315</v>
      </c>
      <c r="D17" s="21" t="n">
        <v>33.4</v>
      </c>
      <c r="E17" s="22" t="n">
        <v>1.65</v>
      </c>
      <c r="F17" s="22" t="n">
        <v>1.65</v>
      </c>
      <c r="G17" s="22" t="n">
        <v>2.77</v>
      </c>
      <c r="H17" s="22" t="n">
        <v>2.77</v>
      </c>
      <c r="I17" s="16" t="inlineStr">
        <is>
          <t>-</t>
        </is>
      </c>
      <c r="J17" s="22" t="n">
        <v>2.9</v>
      </c>
      <c r="K17" s="22" t="n">
        <v>3.38</v>
      </c>
      <c r="L17" s="22" t="n">
        <v>3.38</v>
      </c>
      <c r="M17" s="22" t="n">
        <v>3.38</v>
      </c>
      <c r="N17" s="16" t="inlineStr">
        <is>
          <t>-</t>
        </is>
      </c>
      <c r="O17" s="22" t="n">
        <v>4.55</v>
      </c>
      <c r="P17" s="22" t="n">
        <v>4.55</v>
      </c>
      <c r="Q17" s="22" t="n">
        <v>4.55</v>
      </c>
      <c r="R17" s="16" t="inlineStr">
        <is>
          <t>-</t>
        </is>
      </c>
      <c r="S17" s="16" t="inlineStr">
        <is>
          <t>-</t>
        </is>
      </c>
      <c r="T17" s="16" t="inlineStr">
        <is>
          <t>-</t>
        </is>
      </c>
      <c r="U17" s="22" t="n">
        <v>6.35</v>
      </c>
      <c r="V17" s="22" t="n">
        <v>9.09</v>
      </c>
    </row>
    <row r="18" ht="19" customHeight="1">
      <c r="A18" s="12" t="inlineStr">
        <is>
          <t>1-1/4''</t>
        </is>
      </c>
      <c r="B18" s="13" t="n">
        <v>32</v>
      </c>
      <c r="C18" s="14" t="n">
        <v>1.66</v>
      </c>
      <c r="D18" s="15" t="n">
        <v>42.16</v>
      </c>
      <c r="E18" s="17" t="n">
        <v>1.65</v>
      </c>
      <c r="F18" s="17" t="n">
        <v>1.65</v>
      </c>
      <c r="G18" s="17" t="n">
        <v>2.77</v>
      </c>
      <c r="H18" s="17" t="n">
        <v>2.77</v>
      </c>
      <c r="I18" s="16" t="inlineStr">
        <is>
          <t>-</t>
        </is>
      </c>
      <c r="J18" s="17" t="n">
        <v>2.97</v>
      </c>
      <c r="K18" s="17" t="n">
        <v>3.56</v>
      </c>
      <c r="L18" s="17" t="n">
        <v>3.56</v>
      </c>
      <c r="M18" s="17" t="n">
        <v>3.56</v>
      </c>
      <c r="N18" s="16" t="inlineStr">
        <is>
          <t>-</t>
        </is>
      </c>
      <c r="O18" s="17" t="n">
        <v>4.85</v>
      </c>
      <c r="P18" s="17" t="n">
        <v>4.85</v>
      </c>
      <c r="Q18" s="17" t="n">
        <v>4.85</v>
      </c>
      <c r="R18" s="16" t="inlineStr">
        <is>
          <t>-</t>
        </is>
      </c>
      <c r="S18" s="16" t="inlineStr">
        <is>
          <t>-</t>
        </is>
      </c>
      <c r="T18" s="16" t="inlineStr">
        <is>
          <t>-</t>
        </is>
      </c>
      <c r="U18" s="17" t="n">
        <v>6.35</v>
      </c>
      <c r="V18" s="17" t="n">
        <v>9.699999999999999</v>
      </c>
    </row>
    <row r="19" ht="19" customHeight="1">
      <c r="A19" s="18" t="inlineStr">
        <is>
          <t>1-1/2''</t>
        </is>
      </c>
      <c r="B19" s="19" t="n">
        <v>40</v>
      </c>
      <c r="C19" s="20" t="n">
        <v>1.9</v>
      </c>
      <c r="D19" s="21" t="n">
        <v>48.26</v>
      </c>
      <c r="E19" s="22" t="n">
        <v>1.65</v>
      </c>
      <c r="F19" s="22" t="n">
        <v>1.65</v>
      </c>
      <c r="G19" s="22" t="n">
        <v>2.77</v>
      </c>
      <c r="H19" s="22" t="n">
        <v>2.77</v>
      </c>
      <c r="I19" s="16" t="inlineStr">
        <is>
          <t>-</t>
        </is>
      </c>
      <c r="J19" s="22" t="n">
        <v>3.17</v>
      </c>
      <c r="K19" s="22" t="n">
        <v>3.68</v>
      </c>
      <c r="L19" s="22" t="n">
        <v>3.68</v>
      </c>
      <c r="M19" s="22" t="n">
        <v>3.68</v>
      </c>
      <c r="N19" s="16" t="inlineStr">
        <is>
          <t>-</t>
        </is>
      </c>
      <c r="O19" s="22" t="n">
        <v>5.08</v>
      </c>
      <c r="P19" s="22" t="n">
        <v>5.08</v>
      </c>
      <c r="Q19" s="22" t="n">
        <v>5.08</v>
      </c>
      <c r="R19" s="16" t="inlineStr">
        <is>
          <t>-</t>
        </is>
      </c>
      <c r="S19" s="16" t="inlineStr">
        <is>
          <t>-</t>
        </is>
      </c>
      <c r="T19" s="16" t="inlineStr">
        <is>
          <t>-</t>
        </is>
      </c>
      <c r="U19" s="22" t="n">
        <v>7.14</v>
      </c>
      <c r="V19" s="22" t="n">
        <v>10.16</v>
      </c>
    </row>
    <row r="20" ht="19" customHeight="1">
      <c r="A20" s="12" t="inlineStr">
        <is>
          <t>2''</t>
        </is>
      </c>
      <c r="B20" s="13" t="n">
        <v>50</v>
      </c>
      <c r="C20" s="14" t="n">
        <v>2.375</v>
      </c>
      <c r="D20" s="15" t="n">
        <v>60.32</v>
      </c>
      <c r="E20" s="17" t="n">
        <v>1.65</v>
      </c>
      <c r="F20" s="17" t="n">
        <v>1.65</v>
      </c>
      <c r="G20" s="17" t="n">
        <v>2.77</v>
      </c>
      <c r="H20" s="17" t="n">
        <v>2.77</v>
      </c>
      <c r="I20" s="16" t="inlineStr">
        <is>
          <t>-</t>
        </is>
      </c>
      <c r="J20" s="17" t="n">
        <v>3.17</v>
      </c>
      <c r="K20" s="17" t="n">
        <v>3.91</v>
      </c>
      <c r="L20" s="17" t="n">
        <v>3.91</v>
      </c>
      <c r="M20" s="17" t="n">
        <v>3.91</v>
      </c>
      <c r="N20" s="16" t="inlineStr">
        <is>
          <t>-</t>
        </is>
      </c>
      <c r="O20" s="17" t="n">
        <v>5.54</v>
      </c>
      <c r="P20" s="17" t="n">
        <v>5.54</v>
      </c>
      <c r="Q20" s="17" t="n">
        <v>5.54</v>
      </c>
      <c r="R20" s="16" t="inlineStr">
        <is>
          <t>-</t>
        </is>
      </c>
      <c r="S20" s="16" t="inlineStr">
        <is>
          <t>-</t>
        </is>
      </c>
      <c r="T20" s="16" t="inlineStr">
        <is>
          <t>-</t>
        </is>
      </c>
      <c r="U20" s="17" t="n">
        <v>8.74</v>
      </c>
      <c r="V20" s="17" t="n">
        <v>11.07</v>
      </c>
    </row>
    <row r="21" ht="19" customHeight="1">
      <c r="A21" s="18" t="inlineStr">
        <is>
          <t>2-1/2''</t>
        </is>
      </c>
      <c r="B21" s="19" t="n">
        <v>65</v>
      </c>
      <c r="C21" s="20" t="n">
        <v>2.875</v>
      </c>
      <c r="D21" s="21" t="n">
        <v>73.02</v>
      </c>
      <c r="E21" s="22" t="n">
        <v>2.11</v>
      </c>
      <c r="F21" s="22" t="n">
        <v>2.11</v>
      </c>
      <c r="G21" s="22" t="n">
        <v>3.05</v>
      </c>
      <c r="H21" s="22" t="n">
        <v>3.05</v>
      </c>
      <c r="I21" s="16" t="inlineStr">
        <is>
          <t>-</t>
        </is>
      </c>
      <c r="J21" s="22" t="n">
        <v>4.78</v>
      </c>
      <c r="K21" s="22" t="n">
        <v>5.16</v>
      </c>
      <c r="L21" s="22" t="n">
        <v>5.16</v>
      </c>
      <c r="M21" s="22" t="n">
        <v>5.16</v>
      </c>
      <c r="N21" s="16" t="inlineStr">
        <is>
          <t>-</t>
        </is>
      </c>
      <c r="O21" s="22" t="n">
        <v>7.01</v>
      </c>
      <c r="P21" s="22" t="n">
        <v>7.01</v>
      </c>
      <c r="Q21" s="22" t="n">
        <v>7.01</v>
      </c>
      <c r="R21" s="16" t="inlineStr">
        <is>
          <t>-</t>
        </is>
      </c>
      <c r="S21" s="16" t="inlineStr">
        <is>
          <t>-</t>
        </is>
      </c>
      <c r="T21" s="16" t="inlineStr">
        <is>
          <t>-</t>
        </is>
      </c>
      <c r="U21" s="22" t="n">
        <v>9.52</v>
      </c>
      <c r="V21" s="22" t="n">
        <v>14.02</v>
      </c>
    </row>
    <row r="22" ht="19" customHeight="1">
      <c r="A22" s="12" t="inlineStr">
        <is>
          <t>3''</t>
        </is>
      </c>
      <c r="B22" s="13" t="n">
        <v>80</v>
      </c>
      <c r="C22" s="14" t="n">
        <v>3.5</v>
      </c>
      <c r="D22" s="15" t="n">
        <v>88.90000000000001</v>
      </c>
      <c r="E22" s="17" t="n">
        <v>2.11</v>
      </c>
      <c r="F22" s="17" t="n">
        <v>2.11</v>
      </c>
      <c r="G22" s="17" t="n">
        <v>3.05</v>
      </c>
      <c r="H22" s="17" t="n">
        <v>3.05</v>
      </c>
      <c r="I22" s="16" t="inlineStr">
        <is>
          <t>-</t>
        </is>
      </c>
      <c r="J22" s="17" t="n">
        <v>4.78</v>
      </c>
      <c r="K22" s="17" t="n">
        <v>5.49</v>
      </c>
      <c r="L22" s="17" t="n">
        <v>5.49</v>
      </c>
      <c r="M22" s="17" t="n">
        <v>5.49</v>
      </c>
      <c r="N22" s="16" t="inlineStr">
        <is>
          <t>-</t>
        </is>
      </c>
      <c r="O22" s="17" t="n">
        <v>7.62</v>
      </c>
      <c r="P22" s="17" t="n">
        <v>7.62</v>
      </c>
      <c r="Q22" s="17" t="n">
        <v>7.62</v>
      </c>
      <c r="R22" s="16" t="inlineStr">
        <is>
          <t>-</t>
        </is>
      </c>
      <c r="S22" s="16" t="inlineStr">
        <is>
          <t>-</t>
        </is>
      </c>
      <c r="T22" s="16" t="inlineStr">
        <is>
          <t>-</t>
        </is>
      </c>
      <c r="U22" s="17" t="n">
        <v>11.13</v>
      </c>
      <c r="V22" s="17" t="n">
        <v>15.24</v>
      </c>
    </row>
    <row r="23" ht="19" customHeight="1">
      <c r="A23" s="18" t="inlineStr">
        <is>
          <t>3-1/2''</t>
        </is>
      </c>
      <c r="B23" s="19" t="n">
        <v>90</v>
      </c>
      <c r="C23" s="20" t="n">
        <v>4</v>
      </c>
      <c r="D23" s="21" t="n">
        <v>101.6</v>
      </c>
      <c r="E23" s="22" t="n">
        <v>2.11</v>
      </c>
      <c r="F23" s="22" t="n">
        <v>2.11</v>
      </c>
      <c r="G23" s="22" t="n">
        <v>3.05</v>
      </c>
      <c r="H23" s="22" t="n">
        <v>3.05</v>
      </c>
      <c r="I23" s="16" t="inlineStr">
        <is>
          <t>-</t>
        </is>
      </c>
      <c r="J23" s="22" t="n">
        <v>4.78</v>
      </c>
      <c r="K23" s="22" t="n">
        <v>5.74</v>
      </c>
      <c r="L23" s="22" t="n">
        <v>5.74</v>
      </c>
      <c r="M23" s="22" t="n">
        <v>5.74</v>
      </c>
      <c r="N23" s="16" t="inlineStr">
        <is>
          <t>-</t>
        </is>
      </c>
      <c r="O23" s="22" t="n">
        <v>8.08</v>
      </c>
      <c r="P23" s="22" t="n">
        <v>8.08</v>
      </c>
      <c r="Q23" s="22" t="n">
        <v>8.08</v>
      </c>
      <c r="R23" s="16" t="inlineStr">
        <is>
          <t>-</t>
        </is>
      </c>
      <c r="S23" s="16" t="inlineStr">
        <is>
          <t>-</t>
        </is>
      </c>
      <c r="T23" s="16" t="inlineStr">
        <is>
          <t>-</t>
        </is>
      </c>
      <c r="U23" s="16" t="inlineStr">
        <is>
          <t>-</t>
        </is>
      </c>
      <c r="V23" s="22" t="n">
        <v>16.15</v>
      </c>
    </row>
    <row r="24" ht="19" customHeight="1">
      <c r="A24" s="12" t="inlineStr">
        <is>
          <t>4''</t>
        </is>
      </c>
      <c r="B24" s="13" t="n">
        <v>100</v>
      </c>
      <c r="C24" s="14" t="n">
        <v>4.5</v>
      </c>
      <c r="D24" s="15" t="n">
        <v>114.3</v>
      </c>
      <c r="E24" s="17" t="n">
        <v>2.11</v>
      </c>
      <c r="F24" s="17" t="n">
        <v>2.11</v>
      </c>
      <c r="G24" s="17" t="n">
        <v>3.05</v>
      </c>
      <c r="H24" s="17" t="n">
        <v>3.05</v>
      </c>
      <c r="I24" s="16" t="inlineStr">
        <is>
          <t>-</t>
        </is>
      </c>
      <c r="J24" s="17" t="n">
        <v>4.78</v>
      </c>
      <c r="K24" s="17" t="n">
        <v>6.02</v>
      </c>
      <c r="L24" s="17" t="n">
        <v>6.02</v>
      </c>
      <c r="M24" s="17" t="n">
        <v>6.02</v>
      </c>
      <c r="N24" s="17" t="n">
        <v>7.14</v>
      </c>
      <c r="O24" s="17" t="n">
        <v>8.56</v>
      </c>
      <c r="P24" s="17" t="n">
        <v>8.56</v>
      </c>
      <c r="Q24" s="17" t="n">
        <v>8.56</v>
      </c>
      <c r="R24" s="16" t="inlineStr">
        <is>
          <t>-</t>
        </is>
      </c>
      <c r="S24" s="17" t="n">
        <v>11.13</v>
      </c>
      <c r="T24" s="16" t="inlineStr">
        <is>
          <t>-</t>
        </is>
      </c>
      <c r="U24" s="17" t="n">
        <v>13.49</v>
      </c>
      <c r="V24" s="17" t="n">
        <v>17.12</v>
      </c>
    </row>
    <row r="25" ht="19" customHeight="1">
      <c r="A25" s="18" t="inlineStr">
        <is>
          <t>5''</t>
        </is>
      </c>
      <c r="B25" s="19" t="n">
        <v>125</v>
      </c>
      <c r="C25" s="20" t="n">
        <v>5.563</v>
      </c>
      <c r="D25" s="21" t="n">
        <v>141.3</v>
      </c>
      <c r="E25" s="22" t="n">
        <v>2.77</v>
      </c>
      <c r="F25" s="22" t="n">
        <v>2.77</v>
      </c>
      <c r="G25" s="22" t="n">
        <v>3.4</v>
      </c>
      <c r="H25" s="22" t="n">
        <v>3.4</v>
      </c>
      <c r="I25" s="16" t="inlineStr">
        <is>
          <t>-</t>
        </is>
      </c>
      <c r="J25" s="16" t="inlineStr">
        <is>
          <t>-</t>
        </is>
      </c>
      <c r="K25" s="22" t="n">
        <v>6.55</v>
      </c>
      <c r="L25" s="22" t="n">
        <v>6.55</v>
      </c>
      <c r="M25" s="22" t="n">
        <v>6.55</v>
      </c>
      <c r="N25" s="16" t="inlineStr">
        <is>
          <t>-</t>
        </is>
      </c>
      <c r="O25" s="22" t="n">
        <v>9.52</v>
      </c>
      <c r="P25" s="22" t="n">
        <v>9.52</v>
      </c>
      <c r="Q25" s="22" t="n">
        <v>9.52</v>
      </c>
      <c r="R25" s="16" t="inlineStr">
        <is>
          <t>-</t>
        </is>
      </c>
      <c r="S25" s="22" t="n">
        <v>12.7</v>
      </c>
      <c r="T25" s="16" t="inlineStr">
        <is>
          <t>-</t>
        </is>
      </c>
      <c r="U25" s="22" t="n">
        <v>15.88</v>
      </c>
      <c r="V25" s="22" t="n">
        <v>19.05</v>
      </c>
    </row>
    <row r="26" ht="19" customHeight="1">
      <c r="A26" s="12" t="inlineStr">
        <is>
          <t>6''</t>
        </is>
      </c>
      <c r="B26" s="13" t="n">
        <v>150</v>
      </c>
      <c r="C26" s="14" t="n">
        <v>6.625</v>
      </c>
      <c r="D26" s="15" t="n">
        <v>168.27</v>
      </c>
      <c r="E26" s="17" t="n">
        <v>2.77</v>
      </c>
      <c r="F26" s="17" t="n">
        <v>2.77</v>
      </c>
      <c r="G26" s="17" t="n">
        <v>3.4</v>
      </c>
      <c r="H26" s="17" t="n">
        <v>3.4</v>
      </c>
      <c r="I26" s="16" t="inlineStr">
        <is>
          <t>-</t>
        </is>
      </c>
      <c r="J26" s="16" t="inlineStr">
        <is>
          <t>-</t>
        </is>
      </c>
      <c r="K26" s="17" t="n">
        <v>7.11</v>
      </c>
      <c r="L26" s="17" t="n">
        <v>7.11</v>
      </c>
      <c r="M26" s="17" t="n">
        <v>7.11</v>
      </c>
      <c r="N26" s="16" t="inlineStr">
        <is>
          <t>-</t>
        </is>
      </c>
      <c r="O26" s="17" t="n">
        <v>10.97</v>
      </c>
      <c r="P26" s="17" t="n">
        <v>10.97</v>
      </c>
      <c r="Q26" s="17" t="n">
        <v>10.97</v>
      </c>
      <c r="R26" s="16" t="inlineStr">
        <is>
          <t>-</t>
        </is>
      </c>
      <c r="S26" s="17" t="n">
        <v>14.27</v>
      </c>
      <c r="T26" s="16" t="inlineStr">
        <is>
          <t>-</t>
        </is>
      </c>
      <c r="U26" s="17" t="n">
        <v>18.26</v>
      </c>
      <c r="V26" s="17" t="n">
        <v>21.95</v>
      </c>
    </row>
    <row r="27" ht="19" customHeight="1">
      <c r="A27" s="18" t="inlineStr">
        <is>
          <t>8''</t>
        </is>
      </c>
      <c r="B27" s="19" t="n">
        <v>200</v>
      </c>
      <c r="C27" s="20" t="n">
        <v>8.625</v>
      </c>
      <c r="D27" s="21" t="n">
        <v>219.07</v>
      </c>
      <c r="E27" s="22" t="n">
        <v>2.77</v>
      </c>
      <c r="F27" s="22" t="n">
        <v>2.77</v>
      </c>
      <c r="G27" s="22" t="n">
        <v>3.76</v>
      </c>
      <c r="H27" s="22" t="n">
        <v>3.76</v>
      </c>
      <c r="I27" s="22" t="n">
        <v>6.35</v>
      </c>
      <c r="J27" s="22" t="n">
        <v>7.04</v>
      </c>
      <c r="K27" s="22" t="n">
        <v>8.18</v>
      </c>
      <c r="L27" s="22" t="n">
        <v>8.18</v>
      </c>
      <c r="M27" s="22" t="n">
        <v>8.18</v>
      </c>
      <c r="N27" s="22" t="n">
        <v>10.31</v>
      </c>
      <c r="O27" s="22" t="n">
        <v>12.7</v>
      </c>
      <c r="P27" s="22" t="n">
        <v>12.7</v>
      </c>
      <c r="Q27" s="22" t="n">
        <v>12.7</v>
      </c>
      <c r="R27" s="22" t="n">
        <v>15.09</v>
      </c>
      <c r="S27" s="22" t="n">
        <v>18.26</v>
      </c>
      <c r="T27" s="22" t="n">
        <v>20.62</v>
      </c>
      <c r="U27" s="22" t="n">
        <v>23.01</v>
      </c>
      <c r="V27" s="22" t="n">
        <v>22.22</v>
      </c>
    </row>
    <row r="28" ht="19" customHeight="1">
      <c r="A28" s="12" t="inlineStr">
        <is>
          <t>10''</t>
        </is>
      </c>
      <c r="B28" s="13" t="n">
        <v>250</v>
      </c>
      <c r="C28" s="14" t="n">
        <v>10.75</v>
      </c>
      <c r="D28" s="15" t="n">
        <v>273.05</v>
      </c>
      <c r="E28" s="17" t="n">
        <v>3.4</v>
      </c>
      <c r="F28" s="17" t="n">
        <v>3.4</v>
      </c>
      <c r="G28" s="17" t="n">
        <v>4.19</v>
      </c>
      <c r="H28" s="17" t="n">
        <v>4.19</v>
      </c>
      <c r="I28" s="17" t="n">
        <v>6.35</v>
      </c>
      <c r="J28" s="17" t="n">
        <v>7.8</v>
      </c>
      <c r="K28" s="17" t="n">
        <v>9.27</v>
      </c>
      <c r="L28" s="17" t="n">
        <v>9.27</v>
      </c>
      <c r="M28" s="17" t="n">
        <v>9.27</v>
      </c>
      <c r="N28" s="17" t="n">
        <v>12.7</v>
      </c>
      <c r="O28" s="17" t="n">
        <v>12.7</v>
      </c>
      <c r="P28" s="17" t="n">
        <v>12.7</v>
      </c>
      <c r="Q28" s="17" t="n">
        <v>15.09</v>
      </c>
      <c r="R28" s="17" t="n">
        <v>18.26</v>
      </c>
      <c r="S28" s="17" t="n">
        <v>21.44</v>
      </c>
      <c r="T28" s="17" t="n">
        <v>25.4</v>
      </c>
      <c r="U28" s="17" t="n">
        <v>28.57</v>
      </c>
      <c r="V28" s="17" t="n">
        <v>25.4</v>
      </c>
    </row>
    <row r="29" ht="19" customHeight="1">
      <c r="A29" s="18" t="inlineStr">
        <is>
          <t>12''</t>
        </is>
      </c>
      <c r="B29" s="19" t="n">
        <v>300</v>
      </c>
      <c r="C29" s="20" t="n">
        <v>12.75</v>
      </c>
      <c r="D29" s="21" t="n">
        <v>323.85</v>
      </c>
      <c r="E29" s="22" t="n">
        <v>3.96</v>
      </c>
      <c r="F29" s="22" t="n">
        <v>3.96</v>
      </c>
      <c r="G29" s="22" t="n">
        <v>4.57</v>
      </c>
      <c r="H29" s="22" t="n">
        <v>4.57</v>
      </c>
      <c r="I29" s="22" t="n">
        <v>6.35</v>
      </c>
      <c r="J29" s="22" t="n">
        <v>8.380000000000001</v>
      </c>
      <c r="K29" s="22" t="n">
        <v>9.52</v>
      </c>
      <c r="L29" s="22" t="n">
        <v>9.52</v>
      </c>
      <c r="M29" s="22" t="n">
        <v>10.31</v>
      </c>
      <c r="N29" s="22" t="n">
        <v>14.27</v>
      </c>
      <c r="O29" s="22" t="n">
        <v>12.7</v>
      </c>
      <c r="P29" s="22" t="n">
        <v>12.7</v>
      </c>
      <c r="Q29" s="22" t="n">
        <v>17.48</v>
      </c>
      <c r="R29" s="22" t="n">
        <v>21.44</v>
      </c>
      <c r="S29" s="22" t="n">
        <v>25.4</v>
      </c>
      <c r="T29" s="22" t="n">
        <v>28.57</v>
      </c>
      <c r="U29" s="22" t="n">
        <v>33.32</v>
      </c>
      <c r="V29" s="22" t="n">
        <v>25.4</v>
      </c>
    </row>
    <row r="30" ht="19" customHeight="1">
      <c r="A30" s="12" t="inlineStr">
        <is>
          <t>14''</t>
        </is>
      </c>
      <c r="B30" s="13" t="n">
        <v>350</v>
      </c>
      <c r="C30" s="14" t="n">
        <v>14</v>
      </c>
      <c r="D30" s="15" t="n">
        <v>355.6</v>
      </c>
      <c r="E30" s="17" t="n">
        <v>3.96</v>
      </c>
      <c r="F30" s="17" t="n">
        <v>3.96</v>
      </c>
      <c r="G30" s="17" t="n">
        <v>4.78</v>
      </c>
      <c r="H30" s="17" t="n">
        <v>6.35</v>
      </c>
      <c r="I30" s="17" t="n">
        <v>7.92</v>
      </c>
      <c r="J30" s="17" t="n">
        <v>9.52</v>
      </c>
      <c r="K30" s="17" t="n">
        <v>9.52</v>
      </c>
      <c r="L30" s="17" t="n">
        <v>9.52</v>
      </c>
      <c r="M30" s="17" t="n">
        <v>11.13</v>
      </c>
      <c r="N30" s="17" t="n">
        <v>15.09</v>
      </c>
      <c r="O30" s="17" t="n">
        <v>12.7</v>
      </c>
      <c r="P30" s="17" t="n">
        <v>12.7</v>
      </c>
      <c r="Q30" s="17" t="n">
        <v>19.05</v>
      </c>
      <c r="R30" s="17" t="n">
        <v>23.83</v>
      </c>
      <c r="S30" s="17" t="n">
        <v>27.79</v>
      </c>
      <c r="T30" s="17" t="n">
        <v>31.75</v>
      </c>
      <c r="U30" s="17" t="n">
        <v>35.71</v>
      </c>
      <c r="V30" s="16" t="inlineStr">
        <is>
          <t>-</t>
        </is>
      </c>
    </row>
    <row r="31" ht="19" customHeight="1">
      <c r="A31" s="18" t="inlineStr">
        <is>
          <t>16''</t>
        </is>
      </c>
      <c r="B31" s="19" t="n">
        <v>400</v>
      </c>
      <c r="C31" s="20" t="n">
        <v>16</v>
      </c>
      <c r="D31" s="21" t="n">
        <v>406.4</v>
      </c>
      <c r="E31" s="22" t="n">
        <v>4.19</v>
      </c>
      <c r="F31" s="22" t="n">
        <v>4.19</v>
      </c>
      <c r="G31" s="22" t="n">
        <v>4.78</v>
      </c>
      <c r="H31" s="22" t="n">
        <v>6.35</v>
      </c>
      <c r="I31" s="22" t="n">
        <v>7.92</v>
      </c>
      <c r="J31" s="22" t="n">
        <v>9.52</v>
      </c>
      <c r="K31" s="22" t="n">
        <v>9.52</v>
      </c>
      <c r="L31" s="22" t="n">
        <v>9.52</v>
      </c>
      <c r="M31" s="22" t="n">
        <v>12.7</v>
      </c>
      <c r="N31" s="22" t="n">
        <v>16.66</v>
      </c>
      <c r="O31" s="22" t="n">
        <v>12.7</v>
      </c>
      <c r="P31" s="22" t="n">
        <v>12.7</v>
      </c>
      <c r="Q31" s="22" t="n">
        <v>21.44</v>
      </c>
      <c r="R31" s="22" t="n">
        <v>26.19</v>
      </c>
      <c r="S31" s="22" t="n">
        <v>30.96</v>
      </c>
      <c r="T31" s="22" t="n">
        <v>36.53</v>
      </c>
      <c r="U31" s="22" t="n">
        <v>40.49</v>
      </c>
      <c r="V31" s="16" t="inlineStr">
        <is>
          <t>-</t>
        </is>
      </c>
    </row>
    <row r="32" ht="19" customHeight="1">
      <c r="A32" s="12" t="inlineStr">
        <is>
          <t>18''</t>
        </is>
      </c>
      <c r="B32" s="13" t="n">
        <v>450</v>
      </c>
      <c r="C32" s="14" t="n">
        <v>18</v>
      </c>
      <c r="D32" s="15" t="n">
        <v>457.2</v>
      </c>
      <c r="E32" s="17" t="n">
        <v>4.19</v>
      </c>
      <c r="F32" s="17" t="n">
        <v>4.19</v>
      </c>
      <c r="G32" s="17" t="n">
        <v>4.78</v>
      </c>
      <c r="H32" s="17" t="n">
        <v>6.35</v>
      </c>
      <c r="I32" s="17" t="n">
        <v>7.92</v>
      </c>
      <c r="J32" s="17" t="n">
        <v>11.13</v>
      </c>
      <c r="K32" s="17" t="n">
        <v>9.52</v>
      </c>
      <c r="L32" s="17" t="n">
        <v>9.52</v>
      </c>
      <c r="M32" s="17" t="n">
        <v>14.27</v>
      </c>
      <c r="N32" s="17" t="n">
        <v>19.05</v>
      </c>
      <c r="O32" s="17" t="n">
        <v>12.7</v>
      </c>
      <c r="P32" s="17" t="n">
        <v>12.7</v>
      </c>
      <c r="Q32" s="17" t="n">
        <v>23.83</v>
      </c>
      <c r="R32" s="17" t="n">
        <v>29.36</v>
      </c>
      <c r="S32" s="17" t="n">
        <v>34.92</v>
      </c>
      <c r="T32" s="17" t="n">
        <v>39.67</v>
      </c>
      <c r="U32" s="17" t="n">
        <v>45.24</v>
      </c>
      <c r="V32" s="16" t="inlineStr">
        <is>
          <t>-</t>
        </is>
      </c>
    </row>
    <row r="33" ht="19" customHeight="1">
      <c r="A33" s="18" t="inlineStr">
        <is>
          <t>20''</t>
        </is>
      </c>
      <c r="B33" s="19" t="n">
        <v>500</v>
      </c>
      <c r="C33" s="20" t="n">
        <v>20</v>
      </c>
      <c r="D33" s="21" t="n">
        <v>508</v>
      </c>
      <c r="E33" s="22" t="n">
        <v>4.78</v>
      </c>
      <c r="F33" s="22" t="n">
        <v>4.78</v>
      </c>
      <c r="G33" s="22" t="n">
        <v>5.54</v>
      </c>
      <c r="H33" s="22" t="n">
        <v>6.35</v>
      </c>
      <c r="I33" s="22" t="n">
        <v>9.52</v>
      </c>
      <c r="J33" s="22" t="n">
        <v>12.7</v>
      </c>
      <c r="K33" s="22" t="n">
        <v>9.52</v>
      </c>
      <c r="L33" s="22" t="n">
        <v>9.52</v>
      </c>
      <c r="M33" s="22" t="n">
        <v>15.09</v>
      </c>
      <c r="N33" s="22" t="n">
        <v>20.62</v>
      </c>
      <c r="O33" s="22" t="n">
        <v>12.7</v>
      </c>
      <c r="P33" s="22" t="n">
        <v>12.7</v>
      </c>
      <c r="Q33" s="22" t="n">
        <v>26.19</v>
      </c>
      <c r="R33" s="22" t="n">
        <v>32.54</v>
      </c>
      <c r="S33" s="22" t="n">
        <v>38.1</v>
      </c>
      <c r="T33" s="22" t="n">
        <v>44.45</v>
      </c>
      <c r="U33" s="22" t="n">
        <v>50.01</v>
      </c>
      <c r="V33" s="16" t="inlineStr">
        <is>
          <t>-</t>
        </is>
      </c>
    </row>
    <row r="34" ht="19" customHeight="1">
      <c r="A34" s="12" t="inlineStr">
        <is>
          <t>22''</t>
        </is>
      </c>
      <c r="B34" s="13" t="n">
        <v>550</v>
      </c>
      <c r="C34" s="14" t="n">
        <v>22</v>
      </c>
      <c r="D34" s="15" t="n">
        <v>558.8</v>
      </c>
      <c r="E34" s="17" t="n">
        <v>4.78</v>
      </c>
      <c r="F34" s="17" t="n">
        <v>4.78</v>
      </c>
      <c r="G34" s="17" t="n">
        <v>5.54</v>
      </c>
      <c r="H34" s="17" t="n">
        <v>6.35</v>
      </c>
      <c r="I34" s="17" t="n">
        <v>9.52</v>
      </c>
      <c r="J34" s="17" t="n">
        <v>12.7</v>
      </c>
      <c r="K34" s="17" t="n">
        <v>9.52</v>
      </c>
      <c r="L34" s="17" t="n">
        <v>9.52</v>
      </c>
      <c r="M34" s="16" t="inlineStr">
        <is>
          <t>-</t>
        </is>
      </c>
      <c r="N34" s="17" t="n">
        <v>22.22</v>
      </c>
      <c r="O34" s="17" t="n">
        <v>12.7</v>
      </c>
      <c r="P34" s="17" t="n">
        <v>12.7</v>
      </c>
      <c r="Q34" s="17" t="n">
        <v>28.57</v>
      </c>
      <c r="R34" s="17" t="n">
        <v>34.92</v>
      </c>
      <c r="S34" s="17" t="n">
        <v>41.27</v>
      </c>
      <c r="T34" s="17" t="n">
        <v>47.62</v>
      </c>
      <c r="U34" s="17" t="n">
        <v>53.97</v>
      </c>
      <c r="V34" s="16" t="inlineStr">
        <is>
          <t>-</t>
        </is>
      </c>
    </row>
    <row r="35" ht="19" customHeight="1">
      <c r="A35" s="18" t="inlineStr">
        <is>
          <t>24''</t>
        </is>
      </c>
      <c r="B35" s="19" t="n">
        <v>600</v>
      </c>
      <c r="C35" s="20" t="n">
        <v>24</v>
      </c>
      <c r="D35" s="21" t="n">
        <v>609.6</v>
      </c>
      <c r="E35" s="22" t="n">
        <v>5.54</v>
      </c>
      <c r="F35" s="22" t="n">
        <v>5.54</v>
      </c>
      <c r="G35" s="22" t="n">
        <v>6.35</v>
      </c>
      <c r="H35" s="22" t="n">
        <v>6.35</v>
      </c>
      <c r="I35" s="22" t="n">
        <v>9.52</v>
      </c>
      <c r="J35" s="22" t="n">
        <v>14.27</v>
      </c>
      <c r="K35" s="22" t="n">
        <v>9.52</v>
      </c>
      <c r="L35" s="22" t="n">
        <v>9.52</v>
      </c>
      <c r="M35" s="22" t="n">
        <v>17.48</v>
      </c>
      <c r="N35" s="22" t="n">
        <v>24.61</v>
      </c>
      <c r="O35" s="22" t="n">
        <v>12.7</v>
      </c>
      <c r="P35" s="22" t="n">
        <v>12.7</v>
      </c>
      <c r="Q35" s="22" t="n">
        <v>30.96</v>
      </c>
      <c r="R35" s="22" t="n">
        <v>38.89</v>
      </c>
      <c r="S35" s="22" t="n">
        <v>46.02</v>
      </c>
      <c r="T35" s="22" t="n">
        <v>52.37</v>
      </c>
      <c r="U35" s="22" t="n">
        <v>59.54</v>
      </c>
      <c r="V35" s="16" t="inlineStr">
        <is>
          <t>-</t>
        </is>
      </c>
    </row>
    <row r="36" ht="19" customHeight="1">
      <c r="A36" s="12" t="inlineStr">
        <is>
          <t>26''</t>
        </is>
      </c>
      <c r="B36" s="13" t="n">
        <v>650</v>
      </c>
      <c r="C36" s="14" t="n">
        <v>26</v>
      </c>
      <c r="D36" s="15" t="n">
        <v>660.4</v>
      </c>
      <c r="E36" s="16" t="inlineStr">
        <is>
          <t>-</t>
        </is>
      </c>
      <c r="F36" s="16" t="inlineStr">
        <is>
          <t>-</t>
        </is>
      </c>
      <c r="G36" s="16" t="inlineStr">
        <is>
          <t>-</t>
        </is>
      </c>
      <c r="H36" s="17" t="n">
        <v>7.92</v>
      </c>
      <c r="I36" s="17" t="n">
        <v>12.7</v>
      </c>
      <c r="J36" s="16" t="inlineStr">
        <is>
          <t>-</t>
        </is>
      </c>
      <c r="K36" s="16" t="inlineStr">
        <is>
          <t>-</t>
        </is>
      </c>
      <c r="L36" s="17" t="n">
        <v>9.52</v>
      </c>
      <c r="M36" s="16" t="inlineStr">
        <is>
          <t>-</t>
        </is>
      </c>
      <c r="N36" s="16" t="inlineStr">
        <is>
          <t>-</t>
        </is>
      </c>
      <c r="O36" s="16" t="inlineStr">
        <is>
          <t>-</t>
        </is>
      </c>
      <c r="P36" s="17" t="n">
        <v>12.7</v>
      </c>
      <c r="Q36" s="16" t="inlineStr">
        <is>
          <t>-</t>
        </is>
      </c>
      <c r="R36" s="16" t="inlineStr">
        <is>
          <t>-</t>
        </is>
      </c>
      <c r="S36" s="16" t="inlineStr">
        <is>
          <t>-</t>
        </is>
      </c>
      <c r="T36" s="16" t="inlineStr">
        <is>
          <t>-</t>
        </is>
      </c>
      <c r="U36" s="16" t="inlineStr">
        <is>
          <t>-</t>
        </is>
      </c>
      <c r="V36" s="16" t="inlineStr">
        <is>
          <t>-</t>
        </is>
      </c>
    </row>
    <row r="37" ht="19" customHeight="1">
      <c r="A37" s="18" t="inlineStr">
        <is>
          <t>28''</t>
        </is>
      </c>
      <c r="B37" s="19" t="n">
        <v>700</v>
      </c>
      <c r="C37" s="20" t="n">
        <v>28</v>
      </c>
      <c r="D37" s="21" t="n">
        <v>711.2</v>
      </c>
      <c r="E37" s="16" t="inlineStr">
        <is>
          <t>-</t>
        </is>
      </c>
      <c r="F37" s="16" t="inlineStr">
        <is>
          <t>-</t>
        </is>
      </c>
      <c r="G37" s="16" t="inlineStr">
        <is>
          <t>-</t>
        </is>
      </c>
      <c r="H37" s="22" t="n">
        <v>7.92</v>
      </c>
      <c r="I37" s="22" t="n">
        <v>12.7</v>
      </c>
      <c r="J37" s="22" t="n">
        <v>15.88</v>
      </c>
      <c r="K37" s="16" t="inlineStr">
        <is>
          <t>-</t>
        </is>
      </c>
      <c r="L37" s="22" t="n">
        <v>9.52</v>
      </c>
      <c r="M37" s="16" t="inlineStr">
        <is>
          <t>-</t>
        </is>
      </c>
      <c r="N37" s="16" t="inlineStr">
        <is>
          <t>-</t>
        </is>
      </c>
      <c r="O37" s="16" t="inlineStr">
        <is>
          <t>-</t>
        </is>
      </c>
      <c r="P37" s="22" t="n">
        <v>12.7</v>
      </c>
      <c r="Q37" s="16" t="inlineStr">
        <is>
          <t>-</t>
        </is>
      </c>
      <c r="R37" s="16" t="inlineStr">
        <is>
          <t>-</t>
        </is>
      </c>
      <c r="S37" s="16" t="inlineStr">
        <is>
          <t>-</t>
        </is>
      </c>
      <c r="T37" s="16" t="inlineStr">
        <is>
          <t>-</t>
        </is>
      </c>
      <c r="U37" s="16" t="inlineStr">
        <is>
          <t>-</t>
        </is>
      </c>
      <c r="V37" s="16" t="inlineStr">
        <is>
          <t>-</t>
        </is>
      </c>
    </row>
    <row r="38" ht="19" customHeight="1">
      <c r="A38" s="12" t="inlineStr">
        <is>
          <t>30''</t>
        </is>
      </c>
      <c r="B38" s="13" t="n">
        <v>750</v>
      </c>
      <c r="C38" s="14" t="n">
        <v>30</v>
      </c>
      <c r="D38" s="15" t="n">
        <v>762</v>
      </c>
      <c r="E38" s="17" t="n">
        <v>6.35</v>
      </c>
      <c r="F38" s="17" t="n">
        <v>6.35</v>
      </c>
      <c r="G38" s="17" t="n">
        <v>7.92</v>
      </c>
      <c r="H38" s="17" t="n">
        <v>7.92</v>
      </c>
      <c r="I38" s="17" t="n">
        <v>12.7</v>
      </c>
      <c r="J38" s="17" t="n">
        <v>15.88</v>
      </c>
      <c r="K38" s="17" t="n">
        <v>9.52</v>
      </c>
      <c r="L38" s="17" t="n">
        <v>9.52</v>
      </c>
      <c r="M38" s="16" t="inlineStr">
        <is>
          <t>-</t>
        </is>
      </c>
      <c r="N38" s="16" t="inlineStr">
        <is>
          <t>-</t>
        </is>
      </c>
      <c r="O38" s="17" t="n">
        <v>12.7</v>
      </c>
      <c r="P38" s="17" t="n">
        <v>12.7</v>
      </c>
      <c r="Q38" s="16" t="inlineStr">
        <is>
          <t>-</t>
        </is>
      </c>
      <c r="R38" s="16" t="inlineStr">
        <is>
          <t>-</t>
        </is>
      </c>
      <c r="S38" s="16" t="inlineStr">
        <is>
          <t>-</t>
        </is>
      </c>
      <c r="T38" s="16" t="inlineStr">
        <is>
          <t>-</t>
        </is>
      </c>
      <c r="U38" s="16" t="inlineStr">
        <is>
          <t>-</t>
        </is>
      </c>
      <c r="V38" s="16" t="inlineStr">
        <is>
          <t>-</t>
        </is>
      </c>
    </row>
    <row r="39" ht="19" customHeight="1">
      <c r="A39" s="18" t="inlineStr">
        <is>
          <t>32''</t>
        </is>
      </c>
      <c r="B39" s="19" t="n">
        <v>800</v>
      </c>
      <c r="C39" s="20" t="n">
        <v>32</v>
      </c>
      <c r="D39" s="21" t="n">
        <v>812.8</v>
      </c>
      <c r="E39" s="16" t="inlineStr">
        <is>
          <t>-</t>
        </is>
      </c>
      <c r="F39" s="16" t="inlineStr">
        <is>
          <t>-</t>
        </is>
      </c>
      <c r="G39" s="16" t="inlineStr">
        <is>
          <t>-</t>
        </is>
      </c>
      <c r="H39" s="22" t="n">
        <v>7.92</v>
      </c>
      <c r="I39" s="22" t="n">
        <v>12.7</v>
      </c>
      <c r="J39" s="22" t="n">
        <v>15.88</v>
      </c>
      <c r="K39" s="16" t="inlineStr">
        <is>
          <t>-</t>
        </is>
      </c>
      <c r="L39" s="22" t="n">
        <v>9.52</v>
      </c>
      <c r="M39" s="22" t="n">
        <v>17.48</v>
      </c>
      <c r="N39" s="16" t="inlineStr">
        <is>
          <t>-</t>
        </is>
      </c>
      <c r="O39" s="16" t="inlineStr">
        <is>
          <t>-</t>
        </is>
      </c>
      <c r="P39" s="22" t="n">
        <v>12.7</v>
      </c>
      <c r="Q39" s="16" t="inlineStr">
        <is>
          <t>-</t>
        </is>
      </c>
      <c r="R39" s="16" t="inlineStr">
        <is>
          <t>-</t>
        </is>
      </c>
      <c r="S39" s="16" t="inlineStr">
        <is>
          <t>-</t>
        </is>
      </c>
      <c r="T39" s="16" t="inlineStr">
        <is>
          <t>-</t>
        </is>
      </c>
      <c r="U39" s="16" t="inlineStr">
        <is>
          <t>-</t>
        </is>
      </c>
      <c r="V39" s="16" t="inlineStr">
        <is>
          <t>-</t>
        </is>
      </c>
    </row>
    <row r="40" ht="19" customHeight="1">
      <c r="A40" s="12" t="inlineStr">
        <is>
          <t>34''</t>
        </is>
      </c>
      <c r="B40" s="13" t="n">
        <v>850</v>
      </c>
      <c r="C40" s="14" t="n">
        <v>34</v>
      </c>
      <c r="D40" s="15" t="n">
        <v>863.6</v>
      </c>
      <c r="E40" s="16" t="inlineStr">
        <is>
          <t>-</t>
        </is>
      </c>
      <c r="F40" s="16" t="inlineStr">
        <is>
          <t>-</t>
        </is>
      </c>
      <c r="G40" s="16" t="inlineStr">
        <is>
          <t>-</t>
        </is>
      </c>
      <c r="H40" s="17" t="n">
        <v>7.92</v>
      </c>
      <c r="I40" s="17" t="n">
        <v>12.7</v>
      </c>
      <c r="J40" s="17" t="n">
        <v>15.88</v>
      </c>
      <c r="K40" s="16" t="inlineStr">
        <is>
          <t>-</t>
        </is>
      </c>
      <c r="L40" s="17" t="n">
        <v>9.52</v>
      </c>
      <c r="M40" s="17" t="n">
        <v>17.48</v>
      </c>
      <c r="N40" s="16" t="inlineStr">
        <is>
          <t>-</t>
        </is>
      </c>
      <c r="O40" s="16" t="inlineStr">
        <is>
          <t>-</t>
        </is>
      </c>
      <c r="P40" s="17" t="n">
        <v>12.7</v>
      </c>
      <c r="Q40" s="16" t="inlineStr">
        <is>
          <t>-</t>
        </is>
      </c>
      <c r="R40" s="16" t="inlineStr">
        <is>
          <t>-</t>
        </is>
      </c>
      <c r="S40" s="16" t="inlineStr">
        <is>
          <t>-</t>
        </is>
      </c>
      <c r="T40" s="16" t="inlineStr">
        <is>
          <t>-</t>
        </is>
      </c>
      <c r="U40" s="16" t="inlineStr">
        <is>
          <t>-</t>
        </is>
      </c>
      <c r="V40" s="16" t="inlineStr">
        <is>
          <t>-</t>
        </is>
      </c>
    </row>
    <row r="41" ht="19" customHeight="1">
      <c r="A41" s="18" t="inlineStr">
        <is>
          <t>36''</t>
        </is>
      </c>
      <c r="B41" s="19" t="n">
        <v>900</v>
      </c>
      <c r="C41" s="20" t="n">
        <v>36</v>
      </c>
      <c r="D41" s="21" t="n">
        <v>914.4</v>
      </c>
      <c r="E41" s="16" t="inlineStr">
        <is>
          <t>-</t>
        </is>
      </c>
      <c r="F41" s="16" t="inlineStr">
        <is>
          <t>-</t>
        </is>
      </c>
      <c r="G41" s="16" t="inlineStr">
        <is>
          <t>-</t>
        </is>
      </c>
      <c r="H41" s="22" t="n">
        <v>7.92</v>
      </c>
      <c r="I41" s="22" t="n">
        <v>12.7</v>
      </c>
      <c r="J41" s="22" t="n">
        <v>15.88</v>
      </c>
      <c r="K41" s="22" t="n">
        <v>9.52</v>
      </c>
      <c r="L41" s="22" t="n">
        <v>9.52</v>
      </c>
      <c r="M41" s="22" t="n">
        <v>19.05</v>
      </c>
      <c r="N41" s="16" t="inlineStr">
        <is>
          <t>-</t>
        </is>
      </c>
      <c r="O41" s="22" t="n">
        <v>12.7</v>
      </c>
      <c r="P41" s="22" t="n">
        <v>12.7</v>
      </c>
      <c r="Q41" s="16" t="inlineStr">
        <is>
          <t>-</t>
        </is>
      </c>
      <c r="R41" s="16" t="inlineStr">
        <is>
          <t>-</t>
        </is>
      </c>
      <c r="S41" s="16" t="inlineStr">
        <is>
          <t>-</t>
        </is>
      </c>
      <c r="T41" s="16" t="inlineStr">
        <is>
          <t>-</t>
        </is>
      </c>
      <c r="U41" s="16" t="inlineStr">
        <is>
          <t>-</t>
        </is>
      </c>
      <c r="V41" s="16" t="inlineStr">
        <is>
          <t>-</t>
        </is>
      </c>
    </row>
    <row r="42" ht="19" customHeight="1">
      <c r="A42" s="12" t="inlineStr">
        <is>
          <t>38''</t>
        </is>
      </c>
      <c r="B42" s="13" t="n">
        <v>950</v>
      </c>
      <c r="C42" s="14" t="n">
        <v>38</v>
      </c>
      <c r="D42" s="15" t="n">
        <v>965.2</v>
      </c>
      <c r="E42" s="16" t="inlineStr">
        <is>
          <t>-</t>
        </is>
      </c>
      <c r="F42" s="16" t="inlineStr">
        <is>
          <t>-</t>
        </is>
      </c>
      <c r="G42" s="16" t="inlineStr">
        <is>
          <t>-</t>
        </is>
      </c>
      <c r="H42" s="16" t="inlineStr">
        <is>
          <t>-</t>
        </is>
      </c>
      <c r="I42" s="16" t="inlineStr">
        <is>
          <t>-</t>
        </is>
      </c>
      <c r="J42" s="16" t="inlineStr">
        <is>
          <t>-</t>
        </is>
      </c>
      <c r="K42" s="16" t="inlineStr">
        <is>
          <t>-</t>
        </is>
      </c>
      <c r="L42" s="17" t="n">
        <v>9.52</v>
      </c>
      <c r="M42" s="16" t="inlineStr">
        <is>
          <t>-</t>
        </is>
      </c>
      <c r="N42" s="16" t="inlineStr">
        <is>
          <t>-</t>
        </is>
      </c>
      <c r="O42" s="16" t="inlineStr">
        <is>
          <t>-</t>
        </is>
      </c>
      <c r="P42" s="17" t="n">
        <v>12.7</v>
      </c>
      <c r="Q42" s="16" t="inlineStr">
        <is>
          <t>-</t>
        </is>
      </c>
      <c r="R42" s="16" t="inlineStr">
        <is>
          <t>-</t>
        </is>
      </c>
      <c r="S42" s="16" t="inlineStr">
        <is>
          <t>-</t>
        </is>
      </c>
      <c r="T42" s="16" t="inlineStr">
        <is>
          <t>-</t>
        </is>
      </c>
      <c r="U42" s="16" t="inlineStr">
        <is>
          <t>-</t>
        </is>
      </c>
      <c r="V42" s="16" t="inlineStr">
        <is>
          <t>-</t>
        </is>
      </c>
    </row>
    <row r="43" ht="19" customHeight="1">
      <c r="A43" s="18" t="inlineStr">
        <is>
          <t>40''</t>
        </is>
      </c>
      <c r="B43" s="19" t="n">
        <v>1000</v>
      </c>
      <c r="C43" s="20" t="n">
        <v>40</v>
      </c>
      <c r="D43" s="21" t="n">
        <v>1016</v>
      </c>
      <c r="E43" s="16" t="inlineStr">
        <is>
          <t>-</t>
        </is>
      </c>
      <c r="F43" s="16" t="inlineStr">
        <is>
          <t>-</t>
        </is>
      </c>
      <c r="G43" s="16" t="inlineStr">
        <is>
          <t>-</t>
        </is>
      </c>
      <c r="H43" s="16" t="inlineStr">
        <is>
          <t>-</t>
        </is>
      </c>
      <c r="I43" s="16" t="inlineStr">
        <is>
          <t>-</t>
        </is>
      </c>
      <c r="J43" s="16" t="inlineStr">
        <is>
          <t>-</t>
        </is>
      </c>
      <c r="K43" s="16" t="inlineStr">
        <is>
          <t>-</t>
        </is>
      </c>
      <c r="L43" s="22" t="n">
        <v>9.52</v>
      </c>
      <c r="M43" s="16" t="inlineStr">
        <is>
          <t>-</t>
        </is>
      </c>
      <c r="N43" s="16" t="inlineStr">
        <is>
          <t>-</t>
        </is>
      </c>
      <c r="O43" s="16" t="inlineStr">
        <is>
          <t>-</t>
        </is>
      </c>
      <c r="P43" s="22" t="n">
        <v>12.7</v>
      </c>
      <c r="Q43" s="16" t="inlineStr">
        <is>
          <t>-</t>
        </is>
      </c>
      <c r="R43" s="16" t="inlineStr">
        <is>
          <t>-</t>
        </is>
      </c>
      <c r="S43" s="16" t="inlineStr">
        <is>
          <t>-</t>
        </is>
      </c>
      <c r="T43" s="16" t="inlineStr">
        <is>
          <t>-</t>
        </is>
      </c>
      <c r="U43" s="16" t="inlineStr">
        <is>
          <t>-</t>
        </is>
      </c>
      <c r="V43" s="16" t="inlineStr">
        <is>
          <t>-</t>
        </is>
      </c>
    </row>
    <row r="44" ht="19" customHeight="1">
      <c r="A44" s="12" t="inlineStr">
        <is>
          <t>42''</t>
        </is>
      </c>
      <c r="B44" s="13" t="n">
        <v>1050</v>
      </c>
      <c r="C44" s="14" t="n">
        <v>42</v>
      </c>
      <c r="D44" s="15" t="n">
        <v>1066.8</v>
      </c>
      <c r="E44" s="16" t="inlineStr">
        <is>
          <t>-</t>
        </is>
      </c>
      <c r="F44" s="16" t="inlineStr">
        <is>
          <t>-</t>
        </is>
      </c>
      <c r="G44" s="16" t="inlineStr">
        <is>
          <t>-</t>
        </is>
      </c>
      <c r="H44" s="16" t="inlineStr">
        <is>
          <t>-</t>
        </is>
      </c>
      <c r="I44" s="16" t="inlineStr">
        <is>
          <t>-</t>
        </is>
      </c>
      <c r="J44" s="16" t="inlineStr">
        <is>
          <t>-</t>
        </is>
      </c>
      <c r="K44" s="16" t="inlineStr">
        <is>
          <t>-</t>
        </is>
      </c>
      <c r="L44" s="17" t="n">
        <v>9.52</v>
      </c>
      <c r="M44" s="16" t="inlineStr">
        <is>
          <t>-</t>
        </is>
      </c>
      <c r="N44" s="16" t="inlineStr">
        <is>
          <t>-</t>
        </is>
      </c>
      <c r="O44" s="16" t="inlineStr">
        <is>
          <t>-</t>
        </is>
      </c>
      <c r="P44" s="17" t="n">
        <v>12.7</v>
      </c>
      <c r="Q44" s="16" t="inlineStr">
        <is>
          <t>-</t>
        </is>
      </c>
      <c r="R44" s="16" t="inlineStr">
        <is>
          <t>-</t>
        </is>
      </c>
      <c r="S44" s="16" t="inlineStr">
        <is>
          <t>-</t>
        </is>
      </c>
      <c r="T44" s="16" t="inlineStr">
        <is>
          <t>-</t>
        </is>
      </c>
      <c r="U44" s="16" t="inlineStr">
        <is>
          <t>-</t>
        </is>
      </c>
      <c r="V44" s="16" t="inlineStr">
        <is>
          <t>-</t>
        </is>
      </c>
    </row>
    <row r="45" ht="19" customHeight="1">
      <c r="A45" s="18" t="inlineStr">
        <is>
          <t>44''</t>
        </is>
      </c>
      <c r="B45" s="19" t="n">
        <v>1100</v>
      </c>
      <c r="C45" s="20" t="n">
        <v>44</v>
      </c>
      <c r="D45" s="21" t="n">
        <v>1117.6</v>
      </c>
      <c r="E45" s="16" t="inlineStr">
        <is>
          <t>-</t>
        </is>
      </c>
      <c r="F45" s="16" t="inlineStr">
        <is>
          <t>-</t>
        </is>
      </c>
      <c r="G45" s="16" t="inlineStr">
        <is>
          <t>-</t>
        </is>
      </c>
      <c r="H45" s="16" t="inlineStr">
        <is>
          <t>-</t>
        </is>
      </c>
      <c r="I45" s="16" t="inlineStr">
        <is>
          <t>-</t>
        </is>
      </c>
      <c r="J45" s="16" t="inlineStr">
        <is>
          <t>-</t>
        </is>
      </c>
      <c r="K45" s="16" t="inlineStr">
        <is>
          <t>-</t>
        </is>
      </c>
      <c r="L45" s="22" t="n">
        <v>9.52</v>
      </c>
      <c r="M45" s="16" t="inlineStr">
        <is>
          <t>-</t>
        </is>
      </c>
      <c r="N45" s="16" t="inlineStr">
        <is>
          <t>-</t>
        </is>
      </c>
      <c r="O45" s="16" t="inlineStr">
        <is>
          <t>-</t>
        </is>
      </c>
      <c r="P45" s="22" t="n">
        <v>12.7</v>
      </c>
      <c r="Q45" s="16" t="inlineStr">
        <is>
          <t>-</t>
        </is>
      </c>
      <c r="R45" s="16" t="inlineStr">
        <is>
          <t>-</t>
        </is>
      </c>
      <c r="S45" s="16" t="inlineStr">
        <is>
          <t>-</t>
        </is>
      </c>
      <c r="T45" s="16" t="inlineStr">
        <is>
          <t>-</t>
        </is>
      </c>
      <c r="U45" s="16" t="inlineStr">
        <is>
          <t>-</t>
        </is>
      </c>
      <c r="V45" s="16" t="inlineStr">
        <is>
          <t>-</t>
        </is>
      </c>
    </row>
    <row r="46" ht="19" customHeight="1">
      <c r="A46" s="12" t="inlineStr">
        <is>
          <t>46''</t>
        </is>
      </c>
      <c r="B46" s="13" t="n">
        <v>1150</v>
      </c>
      <c r="C46" s="14" t="n">
        <v>46</v>
      </c>
      <c r="D46" s="15" t="n">
        <v>1168.4</v>
      </c>
      <c r="E46" s="16" t="inlineStr">
        <is>
          <t>-</t>
        </is>
      </c>
      <c r="F46" s="16" t="inlineStr">
        <is>
          <t>-</t>
        </is>
      </c>
      <c r="G46" s="16" t="inlineStr">
        <is>
          <t>-</t>
        </is>
      </c>
      <c r="H46" s="16" t="inlineStr">
        <is>
          <t>-</t>
        </is>
      </c>
      <c r="I46" s="16" t="inlineStr">
        <is>
          <t>-</t>
        </is>
      </c>
      <c r="J46" s="16" t="inlineStr">
        <is>
          <t>-</t>
        </is>
      </c>
      <c r="K46" s="16" t="inlineStr">
        <is>
          <t>-</t>
        </is>
      </c>
      <c r="L46" s="17" t="n">
        <v>9.52</v>
      </c>
      <c r="M46" s="16" t="inlineStr">
        <is>
          <t>-</t>
        </is>
      </c>
      <c r="N46" s="16" t="inlineStr">
        <is>
          <t>-</t>
        </is>
      </c>
      <c r="O46" s="16" t="inlineStr">
        <is>
          <t>-</t>
        </is>
      </c>
      <c r="P46" s="17" t="n">
        <v>12.7</v>
      </c>
      <c r="Q46" s="16" t="inlineStr">
        <is>
          <t>-</t>
        </is>
      </c>
      <c r="R46" s="16" t="inlineStr">
        <is>
          <t>-</t>
        </is>
      </c>
      <c r="S46" s="16" t="inlineStr">
        <is>
          <t>-</t>
        </is>
      </c>
      <c r="T46" s="16" t="inlineStr">
        <is>
          <t>-</t>
        </is>
      </c>
      <c r="U46" s="16" t="inlineStr">
        <is>
          <t>-</t>
        </is>
      </c>
      <c r="V46" s="16" t="inlineStr">
        <is>
          <t>-</t>
        </is>
      </c>
    </row>
    <row r="47" ht="19" customHeight="1">
      <c r="A47" s="18" t="inlineStr">
        <is>
          <t>48''</t>
        </is>
      </c>
      <c r="B47" s="19" t="n">
        <v>1200</v>
      </c>
      <c r="C47" s="20" t="n">
        <v>48</v>
      </c>
      <c r="D47" s="21" t="n">
        <v>1219.2</v>
      </c>
      <c r="E47" s="16" t="inlineStr">
        <is>
          <t>-</t>
        </is>
      </c>
      <c r="F47" s="16" t="inlineStr">
        <is>
          <t>-</t>
        </is>
      </c>
      <c r="G47" s="16" t="inlineStr">
        <is>
          <t>-</t>
        </is>
      </c>
      <c r="H47" s="16" t="inlineStr">
        <is>
          <t>-</t>
        </is>
      </c>
      <c r="I47" s="16" t="inlineStr">
        <is>
          <t>-</t>
        </is>
      </c>
      <c r="J47" s="16" t="inlineStr">
        <is>
          <t>-</t>
        </is>
      </c>
      <c r="K47" s="22" t="n">
        <v>9.52</v>
      </c>
      <c r="L47" s="22" t="n">
        <v>9.52</v>
      </c>
      <c r="M47" s="16" t="inlineStr">
        <is>
          <t>-</t>
        </is>
      </c>
      <c r="N47" s="16" t="inlineStr">
        <is>
          <t>-</t>
        </is>
      </c>
      <c r="O47" s="22" t="n">
        <v>12.7</v>
      </c>
      <c r="P47" s="22" t="n">
        <v>12.7</v>
      </c>
      <c r="Q47" s="16" t="inlineStr">
        <is>
          <t>-</t>
        </is>
      </c>
      <c r="R47" s="16" t="inlineStr">
        <is>
          <t>-</t>
        </is>
      </c>
      <c r="S47" s="16" t="inlineStr">
        <is>
          <t>-</t>
        </is>
      </c>
      <c r="T47" s="16" t="inlineStr">
        <is>
          <t>-</t>
        </is>
      </c>
      <c r="U47" s="16" t="inlineStr">
        <is>
          <t>-</t>
        </is>
      </c>
      <c r="V47" s="16" t="inlineStr">
        <is>
          <t>-</t>
        </is>
      </c>
    </row>
    <row r="50">
      <c r="A50" s="3" t="inlineStr">
        <is>
          <t>MASTER PIPE SCHEDULE CHART — WALL THICKNESS IN INCHES (IN)</t>
        </is>
      </c>
    </row>
    <row r="51" ht="26" customHeight="1">
      <c r="A51" s="9" t="inlineStr">
        <is>
          <t>NPS (in)</t>
        </is>
      </c>
      <c r="B51" s="9" t="inlineStr">
        <is>
          <t>DN (mm)</t>
        </is>
      </c>
      <c r="C51" s="9" t="inlineStr">
        <is>
          <t>OD (in)</t>
        </is>
      </c>
      <c r="D51" s="9" t="inlineStr">
        <is>
          <t>OD (mm)</t>
        </is>
      </c>
      <c r="E51" s="10" t="inlineStr">
        <is>
          <t>Sch 5S</t>
        </is>
      </c>
      <c r="F51" s="11" t="inlineStr">
        <is>
          <t>Sch 5</t>
        </is>
      </c>
      <c r="G51" s="10" t="inlineStr">
        <is>
          <t>Sch 10S</t>
        </is>
      </c>
      <c r="H51" s="11" t="inlineStr">
        <is>
          <t>Sch 10</t>
        </is>
      </c>
      <c r="I51" s="11" t="inlineStr">
        <is>
          <t>Sch 20</t>
        </is>
      </c>
      <c r="J51" s="11" t="inlineStr">
        <is>
          <t>Sch 30</t>
        </is>
      </c>
      <c r="K51" s="10" t="inlineStr">
        <is>
          <t>Sch 40S</t>
        </is>
      </c>
      <c r="L51" s="11" t="inlineStr">
        <is>
          <t>Sch STD</t>
        </is>
      </c>
      <c r="M51" s="11" t="inlineStr">
        <is>
          <t>Sch 40</t>
        </is>
      </c>
      <c r="N51" s="11" t="inlineStr">
        <is>
          <t>Sch 60</t>
        </is>
      </c>
      <c r="O51" s="10" t="inlineStr">
        <is>
          <t>Sch 80S</t>
        </is>
      </c>
      <c r="P51" s="10" t="inlineStr">
        <is>
          <t>Sch XS</t>
        </is>
      </c>
      <c r="Q51" s="11" t="inlineStr">
        <is>
          <t>Sch 80</t>
        </is>
      </c>
      <c r="R51" s="11" t="inlineStr">
        <is>
          <t>Sch 100</t>
        </is>
      </c>
      <c r="S51" s="11" t="inlineStr">
        <is>
          <t>Sch 120</t>
        </is>
      </c>
      <c r="T51" s="11" t="inlineStr">
        <is>
          <t>Sch 140</t>
        </is>
      </c>
      <c r="U51" s="11" t="inlineStr">
        <is>
          <t>Sch 160</t>
        </is>
      </c>
      <c r="V51" s="10" t="inlineStr">
        <is>
          <t>Sch XXS</t>
        </is>
      </c>
    </row>
    <row r="52" ht="19" customHeight="1">
      <c r="A52" s="12" t="inlineStr">
        <is>
          <t>1/8''</t>
        </is>
      </c>
      <c r="B52" s="13" t="n">
        <v>6</v>
      </c>
      <c r="C52" s="23" t="n">
        <v>0.405</v>
      </c>
      <c r="D52" s="17" t="n">
        <v>10.29</v>
      </c>
      <c r="E52" s="16" t="inlineStr">
        <is>
          <t>-</t>
        </is>
      </c>
      <c r="F52" s="16" t="inlineStr">
        <is>
          <t>-</t>
        </is>
      </c>
      <c r="G52" s="14" t="n">
        <v>0.049</v>
      </c>
      <c r="H52" s="14" t="n">
        <v>0.049</v>
      </c>
      <c r="I52" s="16" t="inlineStr">
        <is>
          <t>-</t>
        </is>
      </c>
      <c r="J52" s="14" t="n">
        <v>0.057</v>
      </c>
      <c r="K52" s="14" t="n">
        <v>0.068</v>
      </c>
      <c r="L52" s="14" t="n">
        <v>0.068</v>
      </c>
      <c r="M52" s="14" t="n">
        <v>0.068</v>
      </c>
      <c r="N52" s="16" t="inlineStr">
        <is>
          <t>-</t>
        </is>
      </c>
      <c r="O52" s="14" t="n">
        <v>0.095</v>
      </c>
      <c r="P52" s="14" t="n">
        <v>0.095</v>
      </c>
      <c r="Q52" s="14" t="n">
        <v>0.095</v>
      </c>
      <c r="R52" s="16" t="inlineStr">
        <is>
          <t>-</t>
        </is>
      </c>
      <c r="S52" s="16" t="inlineStr">
        <is>
          <t>-</t>
        </is>
      </c>
      <c r="T52" s="16" t="inlineStr">
        <is>
          <t>-</t>
        </is>
      </c>
      <c r="U52" s="16" t="inlineStr">
        <is>
          <t>-</t>
        </is>
      </c>
      <c r="V52" s="16" t="inlineStr">
        <is>
          <t>-</t>
        </is>
      </c>
    </row>
    <row r="53" ht="19" customHeight="1">
      <c r="A53" s="18" t="inlineStr">
        <is>
          <t>1/4''</t>
        </is>
      </c>
      <c r="B53" s="19" t="n">
        <v>8</v>
      </c>
      <c r="C53" s="24" t="n">
        <v>0.54</v>
      </c>
      <c r="D53" s="22" t="n">
        <v>13.72</v>
      </c>
      <c r="E53" s="16" t="inlineStr">
        <is>
          <t>-</t>
        </is>
      </c>
      <c r="F53" s="16" t="inlineStr">
        <is>
          <t>-</t>
        </is>
      </c>
      <c r="G53" s="20" t="n">
        <v>0.065</v>
      </c>
      <c r="H53" s="20" t="n">
        <v>0.065</v>
      </c>
      <c r="I53" s="16" t="inlineStr">
        <is>
          <t>-</t>
        </is>
      </c>
      <c r="J53" s="20" t="n">
        <v>0.073</v>
      </c>
      <c r="K53" s="20" t="n">
        <v>0.08799999999999999</v>
      </c>
      <c r="L53" s="20" t="n">
        <v>0.08799999999999999</v>
      </c>
      <c r="M53" s="20" t="n">
        <v>0.08799999999999999</v>
      </c>
      <c r="N53" s="16" t="inlineStr">
        <is>
          <t>-</t>
        </is>
      </c>
      <c r="O53" s="20" t="n">
        <v>0.119</v>
      </c>
      <c r="P53" s="20" t="n">
        <v>0.119</v>
      </c>
      <c r="Q53" s="20" t="n">
        <v>0.119</v>
      </c>
      <c r="R53" s="16" t="inlineStr">
        <is>
          <t>-</t>
        </is>
      </c>
      <c r="S53" s="16" t="inlineStr">
        <is>
          <t>-</t>
        </is>
      </c>
      <c r="T53" s="16" t="inlineStr">
        <is>
          <t>-</t>
        </is>
      </c>
      <c r="U53" s="16" t="inlineStr">
        <is>
          <t>-</t>
        </is>
      </c>
      <c r="V53" s="16" t="inlineStr">
        <is>
          <t>-</t>
        </is>
      </c>
    </row>
    <row r="54" ht="19" customHeight="1">
      <c r="A54" s="12" t="inlineStr">
        <is>
          <t>3/8''</t>
        </is>
      </c>
      <c r="B54" s="13" t="n">
        <v>10</v>
      </c>
      <c r="C54" s="23" t="n">
        <v>0.675</v>
      </c>
      <c r="D54" s="17" t="n">
        <v>17.14</v>
      </c>
      <c r="E54" s="16" t="inlineStr">
        <is>
          <t>-</t>
        </is>
      </c>
      <c r="F54" s="16" t="inlineStr">
        <is>
          <t>-</t>
        </is>
      </c>
      <c r="G54" s="14" t="n">
        <v>0.065</v>
      </c>
      <c r="H54" s="14" t="n">
        <v>0.065</v>
      </c>
      <c r="I54" s="16" t="inlineStr">
        <is>
          <t>-</t>
        </is>
      </c>
      <c r="J54" s="14" t="n">
        <v>0.073</v>
      </c>
      <c r="K54" s="14" t="n">
        <v>0.091</v>
      </c>
      <c r="L54" s="14" t="n">
        <v>0.091</v>
      </c>
      <c r="M54" s="14" t="n">
        <v>0.091</v>
      </c>
      <c r="N54" s="16" t="inlineStr">
        <is>
          <t>-</t>
        </is>
      </c>
      <c r="O54" s="14" t="n">
        <v>0.126</v>
      </c>
      <c r="P54" s="14" t="n">
        <v>0.126</v>
      </c>
      <c r="Q54" s="14" t="n">
        <v>0.126</v>
      </c>
      <c r="R54" s="16" t="inlineStr">
        <is>
          <t>-</t>
        </is>
      </c>
      <c r="S54" s="16" t="inlineStr">
        <is>
          <t>-</t>
        </is>
      </c>
      <c r="T54" s="16" t="inlineStr">
        <is>
          <t>-</t>
        </is>
      </c>
      <c r="U54" s="16" t="inlineStr">
        <is>
          <t>-</t>
        </is>
      </c>
      <c r="V54" s="16" t="inlineStr">
        <is>
          <t>-</t>
        </is>
      </c>
    </row>
    <row r="55" ht="19" customHeight="1">
      <c r="A55" s="18" t="inlineStr">
        <is>
          <t>1/2''</t>
        </is>
      </c>
      <c r="B55" s="19" t="n">
        <v>15</v>
      </c>
      <c r="C55" s="24" t="n">
        <v>0.84</v>
      </c>
      <c r="D55" s="22" t="n">
        <v>21.34</v>
      </c>
      <c r="E55" s="20" t="n">
        <v>0.065</v>
      </c>
      <c r="F55" s="20" t="n">
        <v>0.065</v>
      </c>
      <c r="G55" s="20" t="n">
        <v>0.083</v>
      </c>
      <c r="H55" s="20" t="n">
        <v>0.083</v>
      </c>
      <c r="I55" s="16" t="inlineStr">
        <is>
          <t>-</t>
        </is>
      </c>
      <c r="J55" s="20" t="n">
        <v>0.095</v>
      </c>
      <c r="K55" s="20" t="n">
        <v>0.109</v>
      </c>
      <c r="L55" s="20" t="n">
        <v>0.109</v>
      </c>
      <c r="M55" s="20" t="n">
        <v>0.109</v>
      </c>
      <c r="N55" s="16" t="inlineStr">
        <is>
          <t>-</t>
        </is>
      </c>
      <c r="O55" s="20" t="n">
        <v>0.147</v>
      </c>
      <c r="P55" s="20" t="n">
        <v>0.147</v>
      </c>
      <c r="Q55" s="20" t="n">
        <v>0.147</v>
      </c>
      <c r="R55" s="16" t="inlineStr">
        <is>
          <t>-</t>
        </is>
      </c>
      <c r="S55" s="16" t="inlineStr">
        <is>
          <t>-</t>
        </is>
      </c>
      <c r="T55" s="16" t="inlineStr">
        <is>
          <t>-</t>
        </is>
      </c>
      <c r="U55" s="20" t="n">
        <v>0.188</v>
      </c>
      <c r="V55" s="20" t="n">
        <v>0.294</v>
      </c>
    </row>
    <row r="56" ht="19" customHeight="1">
      <c r="A56" s="12" t="inlineStr">
        <is>
          <t>3/4''</t>
        </is>
      </c>
      <c r="B56" s="13" t="n">
        <v>20</v>
      </c>
      <c r="C56" s="23" t="n">
        <v>1.05</v>
      </c>
      <c r="D56" s="17" t="n">
        <v>26.67</v>
      </c>
      <c r="E56" s="14" t="n">
        <v>0.065</v>
      </c>
      <c r="F56" s="14" t="n">
        <v>0.065</v>
      </c>
      <c r="G56" s="14" t="n">
        <v>0.083</v>
      </c>
      <c r="H56" s="14" t="n">
        <v>0.083</v>
      </c>
      <c r="I56" s="16" t="inlineStr">
        <is>
          <t>-</t>
        </is>
      </c>
      <c r="J56" s="14" t="n">
        <v>0.095</v>
      </c>
      <c r="K56" s="14" t="n">
        <v>0.113</v>
      </c>
      <c r="L56" s="14" t="n">
        <v>0.113</v>
      </c>
      <c r="M56" s="14" t="n">
        <v>0.113</v>
      </c>
      <c r="N56" s="16" t="inlineStr">
        <is>
          <t>-</t>
        </is>
      </c>
      <c r="O56" s="14" t="n">
        <v>0.154</v>
      </c>
      <c r="P56" s="14" t="n">
        <v>0.154</v>
      </c>
      <c r="Q56" s="14" t="n">
        <v>0.154</v>
      </c>
      <c r="R56" s="16" t="inlineStr">
        <is>
          <t>-</t>
        </is>
      </c>
      <c r="S56" s="16" t="inlineStr">
        <is>
          <t>-</t>
        </is>
      </c>
      <c r="T56" s="16" t="inlineStr">
        <is>
          <t>-</t>
        </is>
      </c>
      <c r="U56" s="14" t="n">
        <v>0.219</v>
      </c>
      <c r="V56" s="14" t="n">
        <v>0.308</v>
      </c>
    </row>
    <row r="57" ht="19" customHeight="1">
      <c r="A57" s="18" t="inlineStr">
        <is>
          <t>1''</t>
        </is>
      </c>
      <c r="B57" s="19" t="n">
        <v>25</v>
      </c>
      <c r="C57" s="24" t="n">
        <v>1.315</v>
      </c>
      <c r="D57" s="22" t="n">
        <v>33.4</v>
      </c>
      <c r="E57" s="20" t="n">
        <v>0.065</v>
      </c>
      <c r="F57" s="20" t="n">
        <v>0.065</v>
      </c>
      <c r="G57" s="20" t="n">
        <v>0.109</v>
      </c>
      <c r="H57" s="20" t="n">
        <v>0.109</v>
      </c>
      <c r="I57" s="16" t="inlineStr">
        <is>
          <t>-</t>
        </is>
      </c>
      <c r="J57" s="20" t="n">
        <v>0.114</v>
      </c>
      <c r="K57" s="20" t="n">
        <v>0.133</v>
      </c>
      <c r="L57" s="20" t="n">
        <v>0.133</v>
      </c>
      <c r="M57" s="20" t="n">
        <v>0.133</v>
      </c>
      <c r="N57" s="16" t="inlineStr">
        <is>
          <t>-</t>
        </is>
      </c>
      <c r="O57" s="20" t="n">
        <v>0.179</v>
      </c>
      <c r="P57" s="20" t="n">
        <v>0.179</v>
      </c>
      <c r="Q57" s="20" t="n">
        <v>0.179</v>
      </c>
      <c r="R57" s="16" t="inlineStr">
        <is>
          <t>-</t>
        </is>
      </c>
      <c r="S57" s="16" t="inlineStr">
        <is>
          <t>-</t>
        </is>
      </c>
      <c r="T57" s="16" t="inlineStr">
        <is>
          <t>-</t>
        </is>
      </c>
      <c r="U57" s="20" t="n">
        <v>0.25</v>
      </c>
      <c r="V57" s="20" t="n">
        <v>0.358</v>
      </c>
    </row>
    <row r="58" ht="19" customHeight="1">
      <c r="A58" s="12" t="inlineStr">
        <is>
          <t>1-1/4''</t>
        </is>
      </c>
      <c r="B58" s="13" t="n">
        <v>32</v>
      </c>
      <c r="C58" s="23" t="n">
        <v>1.66</v>
      </c>
      <c r="D58" s="17" t="n">
        <v>42.16</v>
      </c>
      <c r="E58" s="14" t="n">
        <v>0.065</v>
      </c>
      <c r="F58" s="14" t="n">
        <v>0.065</v>
      </c>
      <c r="G58" s="14" t="n">
        <v>0.109</v>
      </c>
      <c r="H58" s="14" t="n">
        <v>0.109</v>
      </c>
      <c r="I58" s="16" t="inlineStr">
        <is>
          <t>-</t>
        </is>
      </c>
      <c r="J58" s="14" t="n">
        <v>0.117</v>
      </c>
      <c r="K58" s="14" t="n">
        <v>0.14</v>
      </c>
      <c r="L58" s="14" t="n">
        <v>0.14</v>
      </c>
      <c r="M58" s="14" t="n">
        <v>0.14</v>
      </c>
      <c r="N58" s="16" t="inlineStr">
        <is>
          <t>-</t>
        </is>
      </c>
      <c r="O58" s="14" t="n">
        <v>0.191</v>
      </c>
      <c r="P58" s="14" t="n">
        <v>0.191</v>
      </c>
      <c r="Q58" s="14" t="n">
        <v>0.191</v>
      </c>
      <c r="R58" s="16" t="inlineStr">
        <is>
          <t>-</t>
        </is>
      </c>
      <c r="S58" s="16" t="inlineStr">
        <is>
          <t>-</t>
        </is>
      </c>
      <c r="T58" s="16" t="inlineStr">
        <is>
          <t>-</t>
        </is>
      </c>
      <c r="U58" s="14" t="n">
        <v>0.25</v>
      </c>
      <c r="V58" s="14" t="n">
        <v>0.382</v>
      </c>
    </row>
    <row r="59" ht="19" customHeight="1">
      <c r="A59" s="18" t="inlineStr">
        <is>
          <t>1-1/2''</t>
        </is>
      </c>
      <c r="B59" s="19" t="n">
        <v>40</v>
      </c>
      <c r="C59" s="24" t="n">
        <v>1.9</v>
      </c>
      <c r="D59" s="22" t="n">
        <v>48.26</v>
      </c>
      <c r="E59" s="20" t="n">
        <v>0.065</v>
      </c>
      <c r="F59" s="20" t="n">
        <v>0.065</v>
      </c>
      <c r="G59" s="20" t="n">
        <v>0.109</v>
      </c>
      <c r="H59" s="20" t="n">
        <v>0.109</v>
      </c>
      <c r="I59" s="16" t="inlineStr">
        <is>
          <t>-</t>
        </is>
      </c>
      <c r="J59" s="20" t="n">
        <v>0.125</v>
      </c>
      <c r="K59" s="20" t="n">
        <v>0.145</v>
      </c>
      <c r="L59" s="20" t="n">
        <v>0.145</v>
      </c>
      <c r="M59" s="20" t="n">
        <v>0.145</v>
      </c>
      <c r="N59" s="16" t="inlineStr">
        <is>
          <t>-</t>
        </is>
      </c>
      <c r="O59" s="20" t="n">
        <v>0.2</v>
      </c>
      <c r="P59" s="20" t="n">
        <v>0.2</v>
      </c>
      <c r="Q59" s="20" t="n">
        <v>0.2</v>
      </c>
      <c r="R59" s="16" t="inlineStr">
        <is>
          <t>-</t>
        </is>
      </c>
      <c r="S59" s="16" t="inlineStr">
        <is>
          <t>-</t>
        </is>
      </c>
      <c r="T59" s="16" t="inlineStr">
        <is>
          <t>-</t>
        </is>
      </c>
      <c r="U59" s="20" t="n">
        <v>0.281</v>
      </c>
      <c r="V59" s="20" t="n">
        <v>0.4</v>
      </c>
    </row>
    <row r="60" ht="19" customHeight="1">
      <c r="A60" s="12" t="inlineStr">
        <is>
          <t>2''</t>
        </is>
      </c>
      <c r="B60" s="13" t="n">
        <v>50</v>
      </c>
      <c r="C60" s="23" t="n">
        <v>2.375</v>
      </c>
      <c r="D60" s="17" t="n">
        <v>60.32</v>
      </c>
      <c r="E60" s="14" t="n">
        <v>0.065</v>
      </c>
      <c r="F60" s="14" t="n">
        <v>0.065</v>
      </c>
      <c r="G60" s="14" t="n">
        <v>0.109</v>
      </c>
      <c r="H60" s="14" t="n">
        <v>0.109</v>
      </c>
      <c r="I60" s="16" t="inlineStr">
        <is>
          <t>-</t>
        </is>
      </c>
      <c r="J60" s="14" t="n">
        <v>0.125</v>
      </c>
      <c r="K60" s="14" t="n">
        <v>0.154</v>
      </c>
      <c r="L60" s="14" t="n">
        <v>0.154</v>
      </c>
      <c r="M60" s="14" t="n">
        <v>0.154</v>
      </c>
      <c r="N60" s="16" t="inlineStr">
        <is>
          <t>-</t>
        </is>
      </c>
      <c r="O60" s="14" t="n">
        <v>0.218</v>
      </c>
      <c r="P60" s="14" t="n">
        <v>0.218</v>
      </c>
      <c r="Q60" s="14" t="n">
        <v>0.218</v>
      </c>
      <c r="R60" s="16" t="inlineStr">
        <is>
          <t>-</t>
        </is>
      </c>
      <c r="S60" s="16" t="inlineStr">
        <is>
          <t>-</t>
        </is>
      </c>
      <c r="T60" s="16" t="inlineStr">
        <is>
          <t>-</t>
        </is>
      </c>
      <c r="U60" s="14" t="n">
        <v>0.344</v>
      </c>
      <c r="V60" s="14" t="n">
        <v>0.436</v>
      </c>
    </row>
    <row r="61" ht="19" customHeight="1">
      <c r="A61" s="18" t="inlineStr">
        <is>
          <t>2-1/2''</t>
        </is>
      </c>
      <c r="B61" s="19" t="n">
        <v>65</v>
      </c>
      <c r="C61" s="24" t="n">
        <v>2.875</v>
      </c>
      <c r="D61" s="22" t="n">
        <v>73.02</v>
      </c>
      <c r="E61" s="20" t="n">
        <v>0.083</v>
      </c>
      <c r="F61" s="20" t="n">
        <v>0.083</v>
      </c>
      <c r="G61" s="20" t="n">
        <v>0.12</v>
      </c>
      <c r="H61" s="20" t="n">
        <v>0.12</v>
      </c>
      <c r="I61" s="16" t="inlineStr">
        <is>
          <t>-</t>
        </is>
      </c>
      <c r="J61" s="20" t="n">
        <v>0.188</v>
      </c>
      <c r="K61" s="20" t="n">
        <v>0.203</v>
      </c>
      <c r="L61" s="20" t="n">
        <v>0.203</v>
      </c>
      <c r="M61" s="20" t="n">
        <v>0.203</v>
      </c>
      <c r="N61" s="16" t="inlineStr">
        <is>
          <t>-</t>
        </is>
      </c>
      <c r="O61" s="20" t="n">
        <v>0.276</v>
      </c>
      <c r="P61" s="20" t="n">
        <v>0.276</v>
      </c>
      <c r="Q61" s="20" t="n">
        <v>0.276</v>
      </c>
      <c r="R61" s="16" t="inlineStr">
        <is>
          <t>-</t>
        </is>
      </c>
      <c r="S61" s="16" t="inlineStr">
        <is>
          <t>-</t>
        </is>
      </c>
      <c r="T61" s="16" t="inlineStr">
        <is>
          <t>-</t>
        </is>
      </c>
      <c r="U61" s="20" t="n">
        <v>0.375</v>
      </c>
      <c r="V61" s="20" t="n">
        <v>0.552</v>
      </c>
    </row>
    <row r="62" ht="19" customHeight="1">
      <c r="A62" s="12" t="inlineStr">
        <is>
          <t>3''</t>
        </is>
      </c>
      <c r="B62" s="13" t="n">
        <v>80</v>
      </c>
      <c r="C62" s="23" t="n">
        <v>3.5</v>
      </c>
      <c r="D62" s="17" t="n">
        <v>88.90000000000001</v>
      </c>
      <c r="E62" s="14" t="n">
        <v>0.083</v>
      </c>
      <c r="F62" s="14" t="n">
        <v>0.083</v>
      </c>
      <c r="G62" s="14" t="n">
        <v>0.12</v>
      </c>
      <c r="H62" s="14" t="n">
        <v>0.12</v>
      </c>
      <c r="I62" s="16" t="inlineStr">
        <is>
          <t>-</t>
        </is>
      </c>
      <c r="J62" s="14" t="n">
        <v>0.188</v>
      </c>
      <c r="K62" s="14" t="n">
        <v>0.216</v>
      </c>
      <c r="L62" s="14" t="n">
        <v>0.216</v>
      </c>
      <c r="M62" s="14" t="n">
        <v>0.216</v>
      </c>
      <c r="N62" s="16" t="inlineStr">
        <is>
          <t>-</t>
        </is>
      </c>
      <c r="O62" s="14" t="n">
        <v>0.3</v>
      </c>
      <c r="P62" s="14" t="n">
        <v>0.3</v>
      </c>
      <c r="Q62" s="14" t="n">
        <v>0.3</v>
      </c>
      <c r="R62" s="16" t="inlineStr">
        <is>
          <t>-</t>
        </is>
      </c>
      <c r="S62" s="16" t="inlineStr">
        <is>
          <t>-</t>
        </is>
      </c>
      <c r="T62" s="16" t="inlineStr">
        <is>
          <t>-</t>
        </is>
      </c>
      <c r="U62" s="14" t="n">
        <v>0.438</v>
      </c>
      <c r="V62" s="14" t="n">
        <v>0.6</v>
      </c>
    </row>
    <row r="63" ht="19" customHeight="1">
      <c r="A63" s="18" t="inlineStr">
        <is>
          <t>3-1/2''</t>
        </is>
      </c>
      <c r="B63" s="19" t="n">
        <v>90</v>
      </c>
      <c r="C63" s="24" t="n">
        <v>4</v>
      </c>
      <c r="D63" s="22" t="n">
        <v>101.6</v>
      </c>
      <c r="E63" s="20" t="n">
        <v>0.083</v>
      </c>
      <c r="F63" s="20" t="n">
        <v>0.083</v>
      </c>
      <c r="G63" s="20" t="n">
        <v>0.12</v>
      </c>
      <c r="H63" s="20" t="n">
        <v>0.12</v>
      </c>
      <c r="I63" s="16" t="inlineStr">
        <is>
          <t>-</t>
        </is>
      </c>
      <c r="J63" s="20" t="n">
        <v>0.188</v>
      </c>
      <c r="K63" s="20" t="n">
        <v>0.226</v>
      </c>
      <c r="L63" s="20" t="n">
        <v>0.226</v>
      </c>
      <c r="M63" s="20" t="n">
        <v>0.226</v>
      </c>
      <c r="N63" s="16" t="inlineStr">
        <is>
          <t>-</t>
        </is>
      </c>
      <c r="O63" s="20" t="n">
        <v>0.318</v>
      </c>
      <c r="P63" s="20" t="n">
        <v>0.318</v>
      </c>
      <c r="Q63" s="20" t="n">
        <v>0.318</v>
      </c>
      <c r="R63" s="16" t="inlineStr">
        <is>
          <t>-</t>
        </is>
      </c>
      <c r="S63" s="16" t="inlineStr">
        <is>
          <t>-</t>
        </is>
      </c>
      <c r="T63" s="16" t="inlineStr">
        <is>
          <t>-</t>
        </is>
      </c>
      <c r="U63" s="16" t="inlineStr">
        <is>
          <t>-</t>
        </is>
      </c>
      <c r="V63" s="20" t="n">
        <v>0.636</v>
      </c>
    </row>
    <row r="64" ht="19" customHeight="1">
      <c r="A64" s="12" t="inlineStr">
        <is>
          <t>4''</t>
        </is>
      </c>
      <c r="B64" s="13" t="n">
        <v>100</v>
      </c>
      <c r="C64" s="23" t="n">
        <v>4.5</v>
      </c>
      <c r="D64" s="17" t="n">
        <v>114.3</v>
      </c>
      <c r="E64" s="14" t="n">
        <v>0.083</v>
      </c>
      <c r="F64" s="14" t="n">
        <v>0.083</v>
      </c>
      <c r="G64" s="14" t="n">
        <v>0.12</v>
      </c>
      <c r="H64" s="14" t="n">
        <v>0.12</v>
      </c>
      <c r="I64" s="16" t="inlineStr">
        <is>
          <t>-</t>
        </is>
      </c>
      <c r="J64" s="14" t="n">
        <v>0.188</v>
      </c>
      <c r="K64" s="14" t="n">
        <v>0.237</v>
      </c>
      <c r="L64" s="14" t="n">
        <v>0.237</v>
      </c>
      <c r="M64" s="14" t="n">
        <v>0.237</v>
      </c>
      <c r="N64" s="14" t="n">
        <v>0.281</v>
      </c>
      <c r="O64" s="14" t="n">
        <v>0.337</v>
      </c>
      <c r="P64" s="14" t="n">
        <v>0.337</v>
      </c>
      <c r="Q64" s="14" t="n">
        <v>0.337</v>
      </c>
      <c r="R64" s="16" t="inlineStr">
        <is>
          <t>-</t>
        </is>
      </c>
      <c r="S64" s="14" t="n">
        <v>0.438</v>
      </c>
      <c r="T64" s="16" t="inlineStr">
        <is>
          <t>-</t>
        </is>
      </c>
      <c r="U64" s="14" t="n">
        <v>0.531</v>
      </c>
      <c r="V64" s="14" t="n">
        <v>0.674</v>
      </c>
    </row>
    <row r="65" ht="19" customHeight="1">
      <c r="A65" s="18" t="inlineStr">
        <is>
          <t>5''</t>
        </is>
      </c>
      <c r="B65" s="19" t="n">
        <v>125</v>
      </c>
      <c r="C65" s="24" t="n">
        <v>5.563</v>
      </c>
      <c r="D65" s="22" t="n">
        <v>141.3</v>
      </c>
      <c r="E65" s="20" t="n">
        <v>0.109</v>
      </c>
      <c r="F65" s="20" t="n">
        <v>0.109</v>
      </c>
      <c r="G65" s="20" t="n">
        <v>0.134</v>
      </c>
      <c r="H65" s="20" t="n">
        <v>0.134</v>
      </c>
      <c r="I65" s="16" t="inlineStr">
        <is>
          <t>-</t>
        </is>
      </c>
      <c r="J65" s="16" t="inlineStr">
        <is>
          <t>-</t>
        </is>
      </c>
      <c r="K65" s="20" t="n">
        <v>0.258</v>
      </c>
      <c r="L65" s="20" t="n">
        <v>0.258</v>
      </c>
      <c r="M65" s="20" t="n">
        <v>0.258</v>
      </c>
      <c r="N65" s="16" t="inlineStr">
        <is>
          <t>-</t>
        </is>
      </c>
      <c r="O65" s="20" t="n">
        <v>0.375</v>
      </c>
      <c r="P65" s="20" t="n">
        <v>0.375</v>
      </c>
      <c r="Q65" s="20" t="n">
        <v>0.375</v>
      </c>
      <c r="R65" s="16" t="inlineStr">
        <is>
          <t>-</t>
        </is>
      </c>
      <c r="S65" s="20" t="n">
        <v>0.5</v>
      </c>
      <c r="T65" s="16" t="inlineStr">
        <is>
          <t>-</t>
        </is>
      </c>
      <c r="U65" s="20" t="n">
        <v>0.625</v>
      </c>
      <c r="V65" s="20" t="n">
        <v>0.75</v>
      </c>
    </row>
    <row r="66" ht="19" customHeight="1">
      <c r="A66" s="12" t="inlineStr">
        <is>
          <t>6''</t>
        </is>
      </c>
      <c r="B66" s="13" t="n">
        <v>150</v>
      </c>
      <c r="C66" s="23" t="n">
        <v>6.625</v>
      </c>
      <c r="D66" s="17" t="n">
        <v>168.27</v>
      </c>
      <c r="E66" s="14" t="n">
        <v>0.109</v>
      </c>
      <c r="F66" s="14" t="n">
        <v>0.109</v>
      </c>
      <c r="G66" s="14" t="n">
        <v>0.134</v>
      </c>
      <c r="H66" s="14" t="n">
        <v>0.134</v>
      </c>
      <c r="I66" s="16" t="inlineStr">
        <is>
          <t>-</t>
        </is>
      </c>
      <c r="J66" s="16" t="inlineStr">
        <is>
          <t>-</t>
        </is>
      </c>
      <c r="K66" s="14" t="n">
        <v>0.28</v>
      </c>
      <c r="L66" s="14" t="n">
        <v>0.28</v>
      </c>
      <c r="M66" s="14" t="n">
        <v>0.28</v>
      </c>
      <c r="N66" s="16" t="inlineStr">
        <is>
          <t>-</t>
        </is>
      </c>
      <c r="O66" s="14" t="n">
        <v>0.432</v>
      </c>
      <c r="P66" s="14" t="n">
        <v>0.432</v>
      </c>
      <c r="Q66" s="14" t="n">
        <v>0.432</v>
      </c>
      <c r="R66" s="16" t="inlineStr">
        <is>
          <t>-</t>
        </is>
      </c>
      <c r="S66" s="14" t="n">
        <v>0.5620000000000001</v>
      </c>
      <c r="T66" s="16" t="inlineStr">
        <is>
          <t>-</t>
        </is>
      </c>
      <c r="U66" s="14" t="n">
        <v>0.719</v>
      </c>
      <c r="V66" s="14" t="n">
        <v>0.864</v>
      </c>
    </row>
    <row r="67" ht="19" customHeight="1">
      <c r="A67" s="18" t="inlineStr">
        <is>
          <t>8''</t>
        </is>
      </c>
      <c r="B67" s="19" t="n">
        <v>200</v>
      </c>
      <c r="C67" s="24" t="n">
        <v>8.625</v>
      </c>
      <c r="D67" s="22" t="n">
        <v>219.07</v>
      </c>
      <c r="E67" s="20" t="n">
        <v>0.109</v>
      </c>
      <c r="F67" s="20" t="n">
        <v>0.109</v>
      </c>
      <c r="G67" s="20" t="n">
        <v>0.148</v>
      </c>
      <c r="H67" s="20" t="n">
        <v>0.148</v>
      </c>
      <c r="I67" s="20" t="n">
        <v>0.25</v>
      </c>
      <c r="J67" s="20" t="n">
        <v>0.277</v>
      </c>
      <c r="K67" s="20" t="n">
        <v>0.322</v>
      </c>
      <c r="L67" s="20" t="n">
        <v>0.322</v>
      </c>
      <c r="M67" s="20" t="n">
        <v>0.322</v>
      </c>
      <c r="N67" s="20" t="n">
        <v>0.406</v>
      </c>
      <c r="O67" s="20" t="n">
        <v>0.5</v>
      </c>
      <c r="P67" s="20" t="n">
        <v>0.5</v>
      </c>
      <c r="Q67" s="20" t="n">
        <v>0.5</v>
      </c>
      <c r="R67" s="20" t="n">
        <v>0.594</v>
      </c>
      <c r="S67" s="20" t="n">
        <v>0.719</v>
      </c>
      <c r="T67" s="20" t="n">
        <v>0.8120000000000001</v>
      </c>
      <c r="U67" s="20" t="n">
        <v>0.906</v>
      </c>
      <c r="V67" s="20" t="n">
        <v>0.875</v>
      </c>
    </row>
    <row r="68" ht="19" customHeight="1">
      <c r="A68" s="12" t="inlineStr">
        <is>
          <t>10''</t>
        </is>
      </c>
      <c r="B68" s="13" t="n">
        <v>250</v>
      </c>
      <c r="C68" s="23" t="n">
        <v>10.75</v>
      </c>
      <c r="D68" s="17" t="n">
        <v>273.05</v>
      </c>
      <c r="E68" s="14" t="n">
        <v>0.134</v>
      </c>
      <c r="F68" s="14" t="n">
        <v>0.134</v>
      </c>
      <c r="G68" s="14" t="n">
        <v>0.165</v>
      </c>
      <c r="H68" s="14" t="n">
        <v>0.165</v>
      </c>
      <c r="I68" s="14" t="n">
        <v>0.25</v>
      </c>
      <c r="J68" s="14" t="n">
        <v>0.307</v>
      </c>
      <c r="K68" s="14" t="n">
        <v>0.365</v>
      </c>
      <c r="L68" s="14" t="n">
        <v>0.365</v>
      </c>
      <c r="M68" s="14" t="n">
        <v>0.365</v>
      </c>
      <c r="N68" s="14" t="n">
        <v>0.5</v>
      </c>
      <c r="O68" s="14" t="n">
        <v>0.5</v>
      </c>
      <c r="P68" s="14" t="n">
        <v>0.5</v>
      </c>
      <c r="Q68" s="14" t="n">
        <v>0.594</v>
      </c>
      <c r="R68" s="14" t="n">
        <v>0.719</v>
      </c>
      <c r="S68" s="14" t="n">
        <v>0.844</v>
      </c>
      <c r="T68" s="14" t="n">
        <v>1</v>
      </c>
      <c r="U68" s="14" t="n">
        <v>1.125</v>
      </c>
      <c r="V68" s="14" t="n">
        <v>1</v>
      </c>
    </row>
    <row r="69" ht="19" customHeight="1">
      <c r="A69" s="18" t="inlineStr">
        <is>
          <t>12''</t>
        </is>
      </c>
      <c r="B69" s="19" t="n">
        <v>300</v>
      </c>
      <c r="C69" s="24" t="n">
        <v>12.75</v>
      </c>
      <c r="D69" s="22" t="n">
        <v>323.85</v>
      </c>
      <c r="E69" s="20" t="n">
        <v>0.156</v>
      </c>
      <c r="F69" s="20" t="n">
        <v>0.156</v>
      </c>
      <c r="G69" s="20" t="n">
        <v>0.18</v>
      </c>
      <c r="H69" s="20" t="n">
        <v>0.18</v>
      </c>
      <c r="I69" s="20" t="n">
        <v>0.25</v>
      </c>
      <c r="J69" s="20" t="n">
        <v>0.33</v>
      </c>
      <c r="K69" s="20" t="n">
        <v>0.375</v>
      </c>
      <c r="L69" s="20" t="n">
        <v>0.375</v>
      </c>
      <c r="M69" s="20" t="n">
        <v>0.406</v>
      </c>
      <c r="N69" s="20" t="n">
        <v>0.5620000000000001</v>
      </c>
      <c r="O69" s="20" t="n">
        <v>0.5</v>
      </c>
      <c r="P69" s="20" t="n">
        <v>0.5</v>
      </c>
      <c r="Q69" s="20" t="n">
        <v>0.6879999999999999</v>
      </c>
      <c r="R69" s="20" t="n">
        <v>0.844</v>
      </c>
      <c r="S69" s="20" t="n">
        <v>1</v>
      </c>
      <c r="T69" s="20" t="n">
        <v>1.125</v>
      </c>
      <c r="U69" s="20" t="n">
        <v>1.312</v>
      </c>
      <c r="V69" s="20" t="n">
        <v>1</v>
      </c>
    </row>
    <row r="70" ht="19" customHeight="1">
      <c r="A70" s="12" t="inlineStr">
        <is>
          <t>14''</t>
        </is>
      </c>
      <c r="B70" s="13" t="n">
        <v>350</v>
      </c>
      <c r="C70" s="23" t="n">
        <v>14</v>
      </c>
      <c r="D70" s="17" t="n">
        <v>355.6</v>
      </c>
      <c r="E70" s="14" t="n">
        <v>0.156</v>
      </c>
      <c r="F70" s="14" t="n">
        <v>0.156</v>
      </c>
      <c r="G70" s="14" t="n">
        <v>0.188</v>
      </c>
      <c r="H70" s="14" t="n">
        <v>0.25</v>
      </c>
      <c r="I70" s="14" t="n">
        <v>0.312</v>
      </c>
      <c r="J70" s="14" t="n">
        <v>0.375</v>
      </c>
      <c r="K70" s="14" t="n">
        <v>0.375</v>
      </c>
      <c r="L70" s="14" t="n">
        <v>0.375</v>
      </c>
      <c r="M70" s="14" t="n">
        <v>0.438</v>
      </c>
      <c r="N70" s="14" t="n">
        <v>0.594</v>
      </c>
      <c r="O70" s="14" t="n">
        <v>0.5</v>
      </c>
      <c r="P70" s="14" t="n">
        <v>0.5</v>
      </c>
      <c r="Q70" s="14" t="n">
        <v>0.75</v>
      </c>
      <c r="R70" s="14" t="n">
        <v>0.9379999999999999</v>
      </c>
      <c r="S70" s="14" t="n">
        <v>1.094</v>
      </c>
      <c r="T70" s="14" t="n">
        <v>1.25</v>
      </c>
      <c r="U70" s="14" t="n">
        <v>1.406</v>
      </c>
      <c r="V70" s="16" t="inlineStr">
        <is>
          <t>-</t>
        </is>
      </c>
    </row>
    <row r="71" ht="19" customHeight="1">
      <c r="A71" s="18" t="inlineStr">
        <is>
          <t>16''</t>
        </is>
      </c>
      <c r="B71" s="19" t="n">
        <v>400</v>
      </c>
      <c r="C71" s="24" t="n">
        <v>16</v>
      </c>
      <c r="D71" s="22" t="n">
        <v>406.4</v>
      </c>
      <c r="E71" s="20" t="n">
        <v>0.165</v>
      </c>
      <c r="F71" s="20" t="n">
        <v>0.165</v>
      </c>
      <c r="G71" s="20" t="n">
        <v>0.188</v>
      </c>
      <c r="H71" s="20" t="n">
        <v>0.25</v>
      </c>
      <c r="I71" s="20" t="n">
        <v>0.312</v>
      </c>
      <c r="J71" s="20" t="n">
        <v>0.375</v>
      </c>
      <c r="K71" s="20" t="n">
        <v>0.375</v>
      </c>
      <c r="L71" s="20" t="n">
        <v>0.375</v>
      </c>
      <c r="M71" s="20" t="n">
        <v>0.5</v>
      </c>
      <c r="N71" s="20" t="n">
        <v>0.656</v>
      </c>
      <c r="O71" s="20" t="n">
        <v>0.5</v>
      </c>
      <c r="P71" s="20" t="n">
        <v>0.5</v>
      </c>
      <c r="Q71" s="20" t="n">
        <v>0.844</v>
      </c>
      <c r="R71" s="20" t="n">
        <v>1.031</v>
      </c>
      <c r="S71" s="20" t="n">
        <v>1.219</v>
      </c>
      <c r="T71" s="20" t="n">
        <v>1.438</v>
      </c>
      <c r="U71" s="20" t="n">
        <v>1.594</v>
      </c>
      <c r="V71" s="16" t="inlineStr">
        <is>
          <t>-</t>
        </is>
      </c>
    </row>
    <row r="72" ht="19" customHeight="1">
      <c r="A72" s="12" t="inlineStr">
        <is>
          <t>18''</t>
        </is>
      </c>
      <c r="B72" s="13" t="n">
        <v>450</v>
      </c>
      <c r="C72" s="23" t="n">
        <v>18</v>
      </c>
      <c r="D72" s="17" t="n">
        <v>457.2</v>
      </c>
      <c r="E72" s="14" t="n">
        <v>0.165</v>
      </c>
      <c r="F72" s="14" t="n">
        <v>0.165</v>
      </c>
      <c r="G72" s="14" t="n">
        <v>0.188</v>
      </c>
      <c r="H72" s="14" t="n">
        <v>0.25</v>
      </c>
      <c r="I72" s="14" t="n">
        <v>0.312</v>
      </c>
      <c r="J72" s="14" t="n">
        <v>0.438</v>
      </c>
      <c r="K72" s="14" t="n">
        <v>0.375</v>
      </c>
      <c r="L72" s="14" t="n">
        <v>0.375</v>
      </c>
      <c r="M72" s="14" t="n">
        <v>0.5620000000000001</v>
      </c>
      <c r="N72" s="14" t="n">
        <v>0.75</v>
      </c>
      <c r="O72" s="14" t="n">
        <v>0.5</v>
      </c>
      <c r="P72" s="14" t="n">
        <v>0.5</v>
      </c>
      <c r="Q72" s="14" t="n">
        <v>0.9379999999999999</v>
      </c>
      <c r="R72" s="14" t="n">
        <v>1.156</v>
      </c>
      <c r="S72" s="14" t="n">
        <v>1.375</v>
      </c>
      <c r="T72" s="14" t="n">
        <v>1.562</v>
      </c>
      <c r="U72" s="14" t="n">
        <v>1.781</v>
      </c>
      <c r="V72" s="16" t="inlineStr">
        <is>
          <t>-</t>
        </is>
      </c>
    </row>
    <row r="73" ht="19" customHeight="1">
      <c r="A73" s="18" t="inlineStr">
        <is>
          <t>20''</t>
        </is>
      </c>
      <c r="B73" s="19" t="n">
        <v>500</v>
      </c>
      <c r="C73" s="24" t="n">
        <v>20</v>
      </c>
      <c r="D73" s="22" t="n">
        <v>508</v>
      </c>
      <c r="E73" s="20" t="n">
        <v>0.188</v>
      </c>
      <c r="F73" s="20" t="n">
        <v>0.188</v>
      </c>
      <c r="G73" s="20" t="n">
        <v>0.218</v>
      </c>
      <c r="H73" s="20" t="n">
        <v>0.25</v>
      </c>
      <c r="I73" s="20" t="n">
        <v>0.375</v>
      </c>
      <c r="J73" s="20" t="n">
        <v>0.5</v>
      </c>
      <c r="K73" s="20" t="n">
        <v>0.375</v>
      </c>
      <c r="L73" s="20" t="n">
        <v>0.375</v>
      </c>
      <c r="M73" s="20" t="n">
        <v>0.594</v>
      </c>
      <c r="N73" s="20" t="n">
        <v>0.8120000000000001</v>
      </c>
      <c r="O73" s="20" t="n">
        <v>0.5</v>
      </c>
      <c r="P73" s="20" t="n">
        <v>0.5</v>
      </c>
      <c r="Q73" s="20" t="n">
        <v>1.031</v>
      </c>
      <c r="R73" s="20" t="n">
        <v>1.281</v>
      </c>
      <c r="S73" s="20" t="n">
        <v>1.5</v>
      </c>
      <c r="T73" s="20" t="n">
        <v>1.75</v>
      </c>
      <c r="U73" s="20" t="n">
        <v>1.969</v>
      </c>
      <c r="V73" s="16" t="inlineStr">
        <is>
          <t>-</t>
        </is>
      </c>
    </row>
    <row r="74" ht="19" customHeight="1">
      <c r="A74" s="12" t="inlineStr">
        <is>
          <t>22''</t>
        </is>
      </c>
      <c r="B74" s="13" t="n">
        <v>550</v>
      </c>
      <c r="C74" s="23" t="n">
        <v>22</v>
      </c>
      <c r="D74" s="17" t="n">
        <v>558.8</v>
      </c>
      <c r="E74" s="14" t="n">
        <v>0.188</v>
      </c>
      <c r="F74" s="14" t="n">
        <v>0.188</v>
      </c>
      <c r="G74" s="14" t="n">
        <v>0.218</v>
      </c>
      <c r="H74" s="14" t="n">
        <v>0.25</v>
      </c>
      <c r="I74" s="14" t="n">
        <v>0.375</v>
      </c>
      <c r="J74" s="14" t="n">
        <v>0.5</v>
      </c>
      <c r="K74" s="14" t="n">
        <v>0.375</v>
      </c>
      <c r="L74" s="14" t="n">
        <v>0.375</v>
      </c>
      <c r="M74" s="16" t="inlineStr">
        <is>
          <t>-</t>
        </is>
      </c>
      <c r="N74" s="14" t="n">
        <v>0.875</v>
      </c>
      <c r="O74" s="14" t="n">
        <v>0.5</v>
      </c>
      <c r="P74" s="14" t="n">
        <v>0.5</v>
      </c>
      <c r="Q74" s="14" t="n">
        <v>1.125</v>
      </c>
      <c r="R74" s="14" t="n">
        <v>1.375</v>
      </c>
      <c r="S74" s="14" t="n">
        <v>1.625</v>
      </c>
      <c r="T74" s="14" t="n">
        <v>1.875</v>
      </c>
      <c r="U74" s="14" t="n">
        <v>2.125</v>
      </c>
      <c r="V74" s="16" t="inlineStr">
        <is>
          <t>-</t>
        </is>
      </c>
    </row>
    <row r="75" ht="19" customHeight="1">
      <c r="A75" s="18" t="inlineStr">
        <is>
          <t>24''</t>
        </is>
      </c>
      <c r="B75" s="19" t="n">
        <v>600</v>
      </c>
      <c r="C75" s="24" t="n">
        <v>24</v>
      </c>
      <c r="D75" s="22" t="n">
        <v>609.6</v>
      </c>
      <c r="E75" s="20" t="n">
        <v>0.218</v>
      </c>
      <c r="F75" s="20" t="n">
        <v>0.218</v>
      </c>
      <c r="G75" s="20" t="n">
        <v>0.25</v>
      </c>
      <c r="H75" s="20" t="n">
        <v>0.25</v>
      </c>
      <c r="I75" s="20" t="n">
        <v>0.375</v>
      </c>
      <c r="J75" s="20" t="n">
        <v>0.5620000000000001</v>
      </c>
      <c r="K75" s="20" t="n">
        <v>0.375</v>
      </c>
      <c r="L75" s="20" t="n">
        <v>0.375</v>
      </c>
      <c r="M75" s="20" t="n">
        <v>0.6879999999999999</v>
      </c>
      <c r="N75" s="20" t="n">
        <v>0.969</v>
      </c>
      <c r="O75" s="20" t="n">
        <v>0.5</v>
      </c>
      <c r="P75" s="20" t="n">
        <v>0.5</v>
      </c>
      <c r="Q75" s="20" t="n">
        <v>1.219</v>
      </c>
      <c r="R75" s="20" t="n">
        <v>1.531</v>
      </c>
      <c r="S75" s="20" t="n">
        <v>1.812</v>
      </c>
      <c r="T75" s="20" t="n">
        <v>2.062</v>
      </c>
      <c r="U75" s="20" t="n">
        <v>2.344</v>
      </c>
      <c r="V75" s="16" t="inlineStr">
        <is>
          <t>-</t>
        </is>
      </c>
    </row>
    <row r="76" ht="19" customHeight="1">
      <c r="A76" s="12" t="inlineStr">
        <is>
          <t>26''</t>
        </is>
      </c>
      <c r="B76" s="13" t="n">
        <v>650</v>
      </c>
      <c r="C76" s="23" t="n">
        <v>26</v>
      </c>
      <c r="D76" s="17" t="n">
        <v>660.4</v>
      </c>
      <c r="E76" s="16" t="inlineStr">
        <is>
          <t>-</t>
        </is>
      </c>
      <c r="F76" s="16" t="inlineStr">
        <is>
          <t>-</t>
        </is>
      </c>
      <c r="G76" s="16" t="inlineStr">
        <is>
          <t>-</t>
        </is>
      </c>
      <c r="H76" s="14" t="n">
        <v>0.312</v>
      </c>
      <c r="I76" s="14" t="n">
        <v>0.5</v>
      </c>
      <c r="J76" s="16" t="inlineStr">
        <is>
          <t>-</t>
        </is>
      </c>
      <c r="K76" s="16" t="inlineStr">
        <is>
          <t>-</t>
        </is>
      </c>
      <c r="L76" s="14" t="n">
        <v>0.375</v>
      </c>
      <c r="M76" s="16" t="inlineStr">
        <is>
          <t>-</t>
        </is>
      </c>
      <c r="N76" s="16" t="inlineStr">
        <is>
          <t>-</t>
        </is>
      </c>
      <c r="O76" s="16" t="inlineStr">
        <is>
          <t>-</t>
        </is>
      </c>
      <c r="P76" s="14" t="n">
        <v>0.5</v>
      </c>
      <c r="Q76" s="16" t="inlineStr">
        <is>
          <t>-</t>
        </is>
      </c>
      <c r="R76" s="16" t="inlineStr">
        <is>
          <t>-</t>
        </is>
      </c>
      <c r="S76" s="16" t="inlineStr">
        <is>
          <t>-</t>
        </is>
      </c>
      <c r="T76" s="16" t="inlineStr">
        <is>
          <t>-</t>
        </is>
      </c>
      <c r="U76" s="16" t="inlineStr">
        <is>
          <t>-</t>
        </is>
      </c>
      <c r="V76" s="16" t="inlineStr">
        <is>
          <t>-</t>
        </is>
      </c>
    </row>
    <row r="77" ht="19" customHeight="1">
      <c r="A77" s="18" t="inlineStr">
        <is>
          <t>28''</t>
        </is>
      </c>
      <c r="B77" s="19" t="n">
        <v>700</v>
      </c>
      <c r="C77" s="24" t="n">
        <v>28</v>
      </c>
      <c r="D77" s="22" t="n">
        <v>711.2</v>
      </c>
      <c r="E77" s="16" t="inlineStr">
        <is>
          <t>-</t>
        </is>
      </c>
      <c r="F77" s="16" t="inlineStr">
        <is>
          <t>-</t>
        </is>
      </c>
      <c r="G77" s="16" t="inlineStr">
        <is>
          <t>-</t>
        </is>
      </c>
      <c r="H77" s="20" t="n">
        <v>0.312</v>
      </c>
      <c r="I77" s="20" t="n">
        <v>0.5</v>
      </c>
      <c r="J77" s="20" t="n">
        <v>0.625</v>
      </c>
      <c r="K77" s="16" t="inlineStr">
        <is>
          <t>-</t>
        </is>
      </c>
      <c r="L77" s="20" t="n">
        <v>0.375</v>
      </c>
      <c r="M77" s="16" t="inlineStr">
        <is>
          <t>-</t>
        </is>
      </c>
      <c r="N77" s="16" t="inlineStr">
        <is>
          <t>-</t>
        </is>
      </c>
      <c r="O77" s="16" t="inlineStr">
        <is>
          <t>-</t>
        </is>
      </c>
      <c r="P77" s="20" t="n">
        <v>0.5</v>
      </c>
      <c r="Q77" s="16" t="inlineStr">
        <is>
          <t>-</t>
        </is>
      </c>
      <c r="R77" s="16" t="inlineStr">
        <is>
          <t>-</t>
        </is>
      </c>
      <c r="S77" s="16" t="inlineStr">
        <is>
          <t>-</t>
        </is>
      </c>
      <c r="T77" s="16" t="inlineStr">
        <is>
          <t>-</t>
        </is>
      </c>
      <c r="U77" s="16" t="inlineStr">
        <is>
          <t>-</t>
        </is>
      </c>
      <c r="V77" s="16" t="inlineStr">
        <is>
          <t>-</t>
        </is>
      </c>
    </row>
    <row r="78" ht="19" customHeight="1">
      <c r="A78" s="12" t="inlineStr">
        <is>
          <t>30''</t>
        </is>
      </c>
      <c r="B78" s="13" t="n">
        <v>750</v>
      </c>
      <c r="C78" s="23" t="n">
        <v>30</v>
      </c>
      <c r="D78" s="17" t="n">
        <v>762</v>
      </c>
      <c r="E78" s="14" t="n">
        <v>0.25</v>
      </c>
      <c r="F78" s="14" t="n">
        <v>0.25</v>
      </c>
      <c r="G78" s="14" t="n">
        <v>0.312</v>
      </c>
      <c r="H78" s="14" t="n">
        <v>0.312</v>
      </c>
      <c r="I78" s="14" t="n">
        <v>0.5</v>
      </c>
      <c r="J78" s="14" t="n">
        <v>0.625</v>
      </c>
      <c r="K78" s="14" t="n">
        <v>0.375</v>
      </c>
      <c r="L78" s="14" t="n">
        <v>0.375</v>
      </c>
      <c r="M78" s="16" t="inlineStr">
        <is>
          <t>-</t>
        </is>
      </c>
      <c r="N78" s="16" t="inlineStr">
        <is>
          <t>-</t>
        </is>
      </c>
      <c r="O78" s="14" t="n">
        <v>0.5</v>
      </c>
      <c r="P78" s="14" t="n">
        <v>0.5</v>
      </c>
      <c r="Q78" s="16" t="inlineStr">
        <is>
          <t>-</t>
        </is>
      </c>
      <c r="R78" s="16" t="inlineStr">
        <is>
          <t>-</t>
        </is>
      </c>
      <c r="S78" s="16" t="inlineStr">
        <is>
          <t>-</t>
        </is>
      </c>
      <c r="T78" s="16" t="inlineStr">
        <is>
          <t>-</t>
        </is>
      </c>
      <c r="U78" s="16" t="inlineStr">
        <is>
          <t>-</t>
        </is>
      </c>
      <c r="V78" s="16" t="inlineStr">
        <is>
          <t>-</t>
        </is>
      </c>
    </row>
    <row r="79" ht="19" customHeight="1">
      <c r="A79" s="18" t="inlineStr">
        <is>
          <t>32''</t>
        </is>
      </c>
      <c r="B79" s="19" t="n">
        <v>800</v>
      </c>
      <c r="C79" s="24" t="n">
        <v>32</v>
      </c>
      <c r="D79" s="22" t="n">
        <v>812.8</v>
      </c>
      <c r="E79" s="16" t="inlineStr">
        <is>
          <t>-</t>
        </is>
      </c>
      <c r="F79" s="16" t="inlineStr">
        <is>
          <t>-</t>
        </is>
      </c>
      <c r="G79" s="16" t="inlineStr">
        <is>
          <t>-</t>
        </is>
      </c>
      <c r="H79" s="20" t="n">
        <v>0.312</v>
      </c>
      <c r="I79" s="20" t="n">
        <v>0.5</v>
      </c>
      <c r="J79" s="20" t="n">
        <v>0.625</v>
      </c>
      <c r="K79" s="16" t="inlineStr">
        <is>
          <t>-</t>
        </is>
      </c>
      <c r="L79" s="20" t="n">
        <v>0.375</v>
      </c>
      <c r="M79" s="20" t="n">
        <v>0.6879999999999999</v>
      </c>
      <c r="N79" s="16" t="inlineStr">
        <is>
          <t>-</t>
        </is>
      </c>
      <c r="O79" s="16" t="inlineStr">
        <is>
          <t>-</t>
        </is>
      </c>
      <c r="P79" s="20" t="n">
        <v>0.5</v>
      </c>
      <c r="Q79" s="16" t="inlineStr">
        <is>
          <t>-</t>
        </is>
      </c>
      <c r="R79" s="16" t="inlineStr">
        <is>
          <t>-</t>
        </is>
      </c>
      <c r="S79" s="16" t="inlineStr">
        <is>
          <t>-</t>
        </is>
      </c>
      <c r="T79" s="16" t="inlineStr">
        <is>
          <t>-</t>
        </is>
      </c>
      <c r="U79" s="16" t="inlineStr">
        <is>
          <t>-</t>
        </is>
      </c>
      <c r="V79" s="16" t="inlineStr">
        <is>
          <t>-</t>
        </is>
      </c>
    </row>
    <row r="80" ht="19" customHeight="1">
      <c r="A80" s="12" t="inlineStr">
        <is>
          <t>34''</t>
        </is>
      </c>
      <c r="B80" s="13" t="n">
        <v>850</v>
      </c>
      <c r="C80" s="23" t="n">
        <v>34</v>
      </c>
      <c r="D80" s="17" t="n">
        <v>863.6</v>
      </c>
      <c r="E80" s="16" t="inlineStr">
        <is>
          <t>-</t>
        </is>
      </c>
      <c r="F80" s="16" t="inlineStr">
        <is>
          <t>-</t>
        </is>
      </c>
      <c r="G80" s="16" t="inlineStr">
        <is>
          <t>-</t>
        </is>
      </c>
      <c r="H80" s="14" t="n">
        <v>0.312</v>
      </c>
      <c r="I80" s="14" t="n">
        <v>0.5</v>
      </c>
      <c r="J80" s="14" t="n">
        <v>0.625</v>
      </c>
      <c r="K80" s="16" t="inlineStr">
        <is>
          <t>-</t>
        </is>
      </c>
      <c r="L80" s="14" t="n">
        <v>0.375</v>
      </c>
      <c r="M80" s="14" t="n">
        <v>0.6879999999999999</v>
      </c>
      <c r="N80" s="16" t="inlineStr">
        <is>
          <t>-</t>
        </is>
      </c>
      <c r="O80" s="16" t="inlineStr">
        <is>
          <t>-</t>
        </is>
      </c>
      <c r="P80" s="14" t="n">
        <v>0.5</v>
      </c>
      <c r="Q80" s="16" t="inlineStr">
        <is>
          <t>-</t>
        </is>
      </c>
      <c r="R80" s="16" t="inlineStr">
        <is>
          <t>-</t>
        </is>
      </c>
      <c r="S80" s="16" t="inlineStr">
        <is>
          <t>-</t>
        </is>
      </c>
      <c r="T80" s="16" t="inlineStr">
        <is>
          <t>-</t>
        </is>
      </c>
      <c r="U80" s="16" t="inlineStr">
        <is>
          <t>-</t>
        </is>
      </c>
      <c r="V80" s="16" t="inlineStr">
        <is>
          <t>-</t>
        </is>
      </c>
    </row>
    <row r="81" ht="19" customHeight="1">
      <c r="A81" s="18" t="inlineStr">
        <is>
          <t>36''</t>
        </is>
      </c>
      <c r="B81" s="19" t="n">
        <v>900</v>
      </c>
      <c r="C81" s="24" t="n">
        <v>36</v>
      </c>
      <c r="D81" s="22" t="n">
        <v>914.4</v>
      </c>
      <c r="E81" s="16" t="inlineStr">
        <is>
          <t>-</t>
        </is>
      </c>
      <c r="F81" s="16" t="inlineStr">
        <is>
          <t>-</t>
        </is>
      </c>
      <c r="G81" s="16" t="inlineStr">
        <is>
          <t>-</t>
        </is>
      </c>
      <c r="H81" s="20" t="n">
        <v>0.312</v>
      </c>
      <c r="I81" s="20" t="n">
        <v>0.5</v>
      </c>
      <c r="J81" s="20" t="n">
        <v>0.625</v>
      </c>
      <c r="K81" s="20" t="n">
        <v>0.375</v>
      </c>
      <c r="L81" s="20" t="n">
        <v>0.375</v>
      </c>
      <c r="M81" s="20" t="n">
        <v>0.75</v>
      </c>
      <c r="N81" s="16" t="inlineStr">
        <is>
          <t>-</t>
        </is>
      </c>
      <c r="O81" s="20" t="n">
        <v>0.5</v>
      </c>
      <c r="P81" s="20" t="n">
        <v>0.5</v>
      </c>
      <c r="Q81" s="16" t="inlineStr">
        <is>
          <t>-</t>
        </is>
      </c>
      <c r="R81" s="16" t="inlineStr">
        <is>
          <t>-</t>
        </is>
      </c>
      <c r="S81" s="16" t="inlineStr">
        <is>
          <t>-</t>
        </is>
      </c>
      <c r="T81" s="16" t="inlineStr">
        <is>
          <t>-</t>
        </is>
      </c>
      <c r="U81" s="16" t="inlineStr">
        <is>
          <t>-</t>
        </is>
      </c>
      <c r="V81" s="16" t="inlineStr">
        <is>
          <t>-</t>
        </is>
      </c>
    </row>
    <row r="82" ht="19" customHeight="1">
      <c r="A82" s="12" t="inlineStr">
        <is>
          <t>38''</t>
        </is>
      </c>
      <c r="B82" s="13" t="n">
        <v>950</v>
      </c>
      <c r="C82" s="23" t="n">
        <v>38</v>
      </c>
      <c r="D82" s="17" t="n">
        <v>965.2</v>
      </c>
      <c r="E82" s="16" t="inlineStr">
        <is>
          <t>-</t>
        </is>
      </c>
      <c r="F82" s="16" t="inlineStr">
        <is>
          <t>-</t>
        </is>
      </c>
      <c r="G82" s="16" t="inlineStr">
        <is>
          <t>-</t>
        </is>
      </c>
      <c r="H82" s="16" t="inlineStr">
        <is>
          <t>-</t>
        </is>
      </c>
      <c r="I82" s="16" t="inlineStr">
        <is>
          <t>-</t>
        </is>
      </c>
      <c r="J82" s="16" t="inlineStr">
        <is>
          <t>-</t>
        </is>
      </c>
      <c r="K82" s="16" t="inlineStr">
        <is>
          <t>-</t>
        </is>
      </c>
      <c r="L82" s="14" t="n">
        <v>0.375</v>
      </c>
      <c r="M82" s="16" t="inlineStr">
        <is>
          <t>-</t>
        </is>
      </c>
      <c r="N82" s="16" t="inlineStr">
        <is>
          <t>-</t>
        </is>
      </c>
      <c r="O82" s="16" t="inlineStr">
        <is>
          <t>-</t>
        </is>
      </c>
      <c r="P82" s="14" t="n">
        <v>0.5</v>
      </c>
      <c r="Q82" s="16" t="inlineStr">
        <is>
          <t>-</t>
        </is>
      </c>
      <c r="R82" s="16" t="inlineStr">
        <is>
          <t>-</t>
        </is>
      </c>
      <c r="S82" s="16" t="inlineStr">
        <is>
          <t>-</t>
        </is>
      </c>
      <c r="T82" s="16" t="inlineStr">
        <is>
          <t>-</t>
        </is>
      </c>
      <c r="U82" s="16" t="inlineStr">
        <is>
          <t>-</t>
        </is>
      </c>
      <c r="V82" s="16" t="inlineStr">
        <is>
          <t>-</t>
        </is>
      </c>
    </row>
    <row r="83" ht="19" customHeight="1">
      <c r="A83" s="18" t="inlineStr">
        <is>
          <t>40''</t>
        </is>
      </c>
      <c r="B83" s="19" t="n">
        <v>1000</v>
      </c>
      <c r="C83" s="24" t="n">
        <v>40</v>
      </c>
      <c r="D83" s="22" t="n">
        <v>1016</v>
      </c>
      <c r="E83" s="16" t="inlineStr">
        <is>
          <t>-</t>
        </is>
      </c>
      <c r="F83" s="16" t="inlineStr">
        <is>
          <t>-</t>
        </is>
      </c>
      <c r="G83" s="16" t="inlineStr">
        <is>
          <t>-</t>
        </is>
      </c>
      <c r="H83" s="16" t="inlineStr">
        <is>
          <t>-</t>
        </is>
      </c>
      <c r="I83" s="16" t="inlineStr">
        <is>
          <t>-</t>
        </is>
      </c>
      <c r="J83" s="16" t="inlineStr">
        <is>
          <t>-</t>
        </is>
      </c>
      <c r="K83" s="16" t="inlineStr">
        <is>
          <t>-</t>
        </is>
      </c>
      <c r="L83" s="20" t="n">
        <v>0.375</v>
      </c>
      <c r="M83" s="16" t="inlineStr">
        <is>
          <t>-</t>
        </is>
      </c>
      <c r="N83" s="16" t="inlineStr">
        <is>
          <t>-</t>
        </is>
      </c>
      <c r="O83" s="16" t="inlineStr">
        <is>
          <t>-</t>
        </is>
      </c>
      <c r="P83" s="20" t="n">
        <v>0.5</v>
      </c>
      <c r="Q83" s="16" t="inlineStr">
        <is>
          <t>-</t>
        </is>
      </c>
      <c r="R83" s="16" t="inlineStr">
        <is>
          <t>-</t>
        </is>
      </c>
      <c r="S83" s="16" t="inlineStr">
        <is>
          <t>-</t>
        </is>
      </c>
      <c r="T83" s="16" t="inlineStr">
        <is>
          <t>-</t>
        </is>
      </c>
      <c r="U83" s="16" t="inlineStr">
        <is>
          <t>-</t>
        </is>
      </c>
      <c r="V83" s="16" t="inlineStr">
        <is>
          <t>-</t>
        </is>
      </c>
    </row>
    <row r="84" ht="19" customHeight="1">
      <c r="A84" s="12" t="inlineStr">
        <is>
          <t>42''</t>
        </is>
      </c>
      <c r="B84" s="13" t="n">
        <v>1050</v>
      </c>
      <c r="C84" s="23" t="n">
        <v>42</v>
      </c>
      <c r="D84" s="17" t="n">
        <v>1066.8</v>
      </c>
      <c r="E84" s="16" t="inlineStr">
        <is>
          <t>-</t>
        </is>
      </c>
      <c r="F84" s="16" t="inlineStr">
        <is>
          <t>-</t>
        </is>
      </c>
      <c r="G84" s="16" t="inlineStr">
        <is>
          <t>-</t>
        </is>
      </c>
      <c r="H84" s="16" t="inlineStr">
        <is>
          <t>-</t>
        </is>
      </c>
      <c r="I84" s="16" t="inlineStr">
        <is>
          <t>-</t>
        </is>
      </c>
      <c r="J84" s="16" t="inlineStr">
        <is>
          <t>-</t>
        </is>
      </c>
      <c r="K84" s="16" t="inlineStr">
        <is>
          <t>-</t>
        </is>
      </c>
      <c r="L84" s="14" t="n">
        <v>0.375</v>
      </c>
      <c r="M84" s="16" t="inlineStr">
        <is>
          <t>-</t>
        </is>
      </c>
      <c r="N84" s="16" t="inlineStr">
        <is>
          <t>-</t>
        </is>
      </c>
      <c r="O84" s="16" t="inlineStr">
        <is>
          <t>-</t>
        </is>
      </c>
      <c r="P84" s="14" t="n">
        <v>0.5</v>
      </c>
      <c r="Q84" s="16" t="inlineStr">
        <is>
          <t>-</t>
        </is>
      </c>
      <c r="R84" s="16" t="inlineStr">
        <is>
          <t>-</t>
        </is>
      </c>
      <c r="S84" s="16" t="inlineStr">
        <is>
          <t>-</t>
        </is>
      </c>
      <c r="T84" s="16" t="inlineStr">
        <is>
          <t>-</t>
        </is>
      </c>
      <c r="U84" s="16" t="inlineStr">
        <is>
          <t>-</t>
        </is>
      </c>
      <c r="V84" s="16" t="inlineStr">
        <is>
          <t>-</t>
        </is>
      </c>
    </row>
    <row r="85" ht="19" customHeight="1">
      <c r="A85" s="18" t="inlineStr">
        <is>
          <t>44''</t>
        </is>
      </c>
      <c r="B85" s="19" t="n">
        <v>1100</v>
      </c>
      <c r="C85" s="24" t="n">
        <v>44</v>
      </c>
      <c r="D85" s="22" t="n">
        <v>1117.6</v>
      </c>
      <c r="E85" s="16" t="inlineStr">
        <is>
          <t>-</t>
        </is>
      </c>
      <c r="F85" s="16" t="inlineStr">
        <is>
          <t>-</t>
        </is>
      </c>
      <c r="G85" s="16" t="inlineStr">
        <is>
          <t>-</t>
        </is>
      </c>
      <c r="H85" s="16" t="inlineStr">
        <is>
          <t>-</t>
        </is>
      </c>
      <c r="I85" s="16" t="inlineStr">
        <is>
          <t>-</t>
        </is>
      </c>
      <c r="J85" s="16" t="inlineStr">
        <is>
          <t>-</t>
        </is>
      </c>
      <c r="K85" s="16" t="inlineStr">
        <is>
          <t>-</t>
        </is>
      </c>
      <c r="L85" s="20" t="n">
        <v>0.375</v>
      </c>
      <c r="M85" s="16" t="inlineStr">
        <is>
          <t>-</t>
        </is>
      </c>
      <c r="N85" s="16" t="inlineStr">
        <is>
          <t>-</t>
        </is>
      </c>
      <c r="O85" s="16" t="inlineStr">
        <is>
          <t>-</t>
        </is>
      </c>
      <c r="P85" s="20" t="n">
        <v>0.5</v>
      </c>
      <c r="Q85" s="16" t="inlineStr">
        <is>
          <t>-</t>
        </is>
      </c>
      <c r="R85" s="16" t="inlineStr">
        <is>
          <t>-</t>
        </is>
      </c>
      <c r="S85" s="16" t="inlineStr">
        <is>
          <t>-</t>
        </is>
      </c>
      <c r="T85" s="16" t="inlineStr">
        <is>
          <t>-</t>
        </is>
      </c>
      <c r="U85" s="16" t="inlineStr">
        <is>
          <t>-</t>
        </is>
      </c>
      <c r="V85" s="16" t="inlineStr">
        <is>
          <t>-</t>
        </is>
      </c>
    </row>
    <row r="86" ht="19" customHeight="1">
      <c r="A86" s="12" t="inlineStr">
        <is>
          <t>46''</t>
        </is>
      </c>
      <c r="B86" s="13" t="n">
        <v>1150</v>
      </c>
      <c r="C86" s="23" t="n">
        <v>46</v>
      </c>
      <c r="D86" s="17" t="n">
        <v>1168.4</v>
      </c>
      <c r="E86" s="16" t="inlineStr">
        <is>
          <t>-</t>
        </is>
      </c>
      <c r="F86" s="16" t="inlineStr">
        <is>
          <t>-</t>
        </is>
      </c>
      <c r="G86" s="16" t="inlineStr">
        <is>
          <t>-</t>
        </is>
      </c>
      <c r="H86" s="16" t="inlineStr">
        <is>
          <t>-</t>
        </is>
      </c>
      <c r="I86" s="16" t="inlineStr">
        <is>
          <t>-</t>
        </is>
      </c>
      <c r="J86" s="16" t="inlineStr">
        <is>
          <t>-</t>
        </is>
      </c>
      <c r="K86" s="16" t="inlineStr">
        <is>
          <t>-</t>
        </is>
      </c>
      <c r="L86" s="14" t="n">
        <v>0.375</v>
      </c>
      <c r="M86" s="16" t="inlineStr">
        <is>
          <t>-</t>
        </is>
      </c>
      <c r="N86" s="16" t="inlineStr">
        <is>
          <t>-</t>
        </is>
      </c>
      <c r="O86" s="16" t="inlineStr">
        <is>
          <t>-</t>
        </is>
      </c>
      <c r="P86" s="14" t="n">
        <v>0.5</v>
      </c>
      <c r="Q86" s="16" t="inlineStr">
        <is>
          <t>-</t>
        </is>
      </c>
      <c r="R86" s="16" t="inlineStr">
        <is>
          <t>-</t>
        </is>
      </c>
      <c r="S86" s="16" t="inlineStr">
        <is>
          <t>-</t>
        </is>
      </c>
      <c r="T86" s="16" t="inlineStr">
        <is>
          <t>-</t>
        </is>
      </c>
      <c r="U86" s="16" t="inlineStr">
        <is>
          <t>-</t>
        </is>
      </c>
      <c r="V86" s="16" t="inlineStr">
        <is>
          <t>-</t>
        </is>
      </c>
    </row>
    <row r="87" ht="19" customHeight="1">
      <c r="A87" s="18" t="inlineStr">
        <is>
          <t>48''</t>
        </is>
      </c>
      <c r="B87" s="19" t="n">
        <v>1200</v>
      </c>
      <c r="C87" s="24" t="n">
        <v>48</v>
      </c>
      <c r="D87" s="22" t="n">
        <v>1219.2</v>
      </c>
      <c r="E87" s="16" t="inlineStr">
        <is>
          <t>-</t>
        </is>
      </c>
      <c r="F87" s="16" t="inlineStr">
        <is>
          <t>-</t>
        </is>
      </c>
      <c r="G87" s="16" t="inlineStr">
        <is>
          <t>-</t>
        </is>
      </c>
      <c r="H87" s="16" t="inlineStr">
        <is>
          <t>-</t>
        </is>
      </c>
      <c r="I87" s="16" t="inlineStr">
        <is>
          <t>-</t>
        </is>
      </c>
      <c r="J87" s="16" t="inlineStr">
        <is>
          <t>-</t>
        </is>
      </c>
      <c r="K87" s="20" t="n">
        <v>0.375</v>
      </c>
      <c r="L87" s="20" t="n">
        <v>0.375</v>
      </c>
      <c r="M87" s="16" t="inlineStr">
        <is>
          <t>-</t>
        </is>
      </c>
      <c r="N87" s="16" t="inlineStr">
        <is>
          <t>-</t>
        </is>
      </c>
      <c r="O87" s="20" t="n">
        <v>0.5</v>
      </c>
      <c r="P87" s="20" t="n">
        <v>0.5</v>
      </c>
      <c r="Q87" s="16" t="inlineStr">
        <is>
          <t>-</t>
        </is>
      </c>
      <c r="R87" s="16" t="inlineStr">
        <is>
          <t>-</t>
        </is>
      </c>
      <c r="S87" s="16" t="inlineStr">
        <is>
          <t>-</t>
        </is>
      </c>
      <c r="T87" s="16" t="inlineStr">
        <is>
          <t>-</t>
        </is>
      </c>
      <c r="U87" s="16" t="inlineStr">
        <is>
          <t>-</t>
        </is>
      </c>
      <c r="V87" s="16" t="inlineStr">
        <is>
          <t>-</t>
        </is>
      </c>
    </row>
  </sheetData>
  <mergeCells count="2">
    <mergeCell ref="A2:V2"/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2026-10-25T00:18:39Z</dcterms:created>
  <dcterms:modified xsi:type="dcterms:W3CDTF">2026-10-25T00:18:40Z</dcterms:modified>
</cp:coreProperties>
</file>