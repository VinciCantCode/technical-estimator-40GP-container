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ntainer_Calculator" sheetId="1" state="visible" r:id="rId1"/>
    <sheet name="2_Selectable_Master_Table" sheetId="2" state="visible" r:id="rId2"/>
    <sheet name="3_ASME_Spec_DB" sheetId="3" state="visible" r:id="rId3"/>
  </sheets>
  <definedNames>
    <definedName name="_xlnm._FilterDatabase" localSheetId="1" hidden="1">'2_Selectable_Master_Table'!$A$10:$V$1186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0000"/>
    <numFmt numFmtId="165" formatCode="0.000"/>
    <numFmt numFmtId="166" formatCode="0.0%"/>
    <numFmt numFmtId="167" formatCode="$#,##0"/>
    <numFmt numFmtId="168" formatCode="#,##0&quot; pcs&quot;"/>
    <numFmt numFmtId="169" formatCode="#,##0.00&quot; MT&quot;"/>
    <numFmt numFmtId="170" formatCode="#,##0.000"/>
    <numFmt numFmtId="171" formatCode="&quot;Row #&quot;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F2C59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i val="1"/>
      <color rgb="0094A3B8"/>
      <sz val="9"/>
    </font>
    <font>
      <name val="Calibri"/>
      <b val="1"/>
      <color rgb="001E293B"/>
      <sz val="10"/>
    </font>
    <font>
      <name val="Calibri"/>
      <b val="1"/>
      <color rgb="000F2C59"/>
      <sz val="10"/>
    </font>
    <font>
      <name val="Calibri"/>
      <b val="1"/>
      <color rgb="001E3A8A"/>
      <sz val="10"/>
    </font>
    <font>
      <name val="Calibri"/>
      <b val="1"/>
      <color rgb="00065F46"/>
      <sz val="10"/>
    </font>
    <font>
      <name val="Calibri"/>
      <i val="1"/>
      <color rgb="0064748B"/>
      <sz val="9"/>
    </font>
    <font>
      <name val="Calibri"/>
      <b val="1"/>
      <color rgb="000F766E"/>
      <sz val="10"/>
    </font>
    <font>
      <name val="Calibri"/>
      <b val="1"/>
      <color rgb="00FFFFFF"/>
      <sz val="16"/>
    </font>
    <font>
      <name val="Calibri"/>
      <b val="1"/>
      <color rgb="00B45309"/>
      <sz val="11"/>
    </font>
    <font>
      <name val="Calibri"/>
      <b val="1"/>
      <color rgb="00047857"/>
      <sz val="22"/>
    </font>
    <font>
      <name val="Calibri"/>
      <i val="1"/>
      <color rgb="00475569"/>
      <sz val="9"/>
    </font>
    <font>
      <name val="Calibri"/>
      <b val="1"/>
      <color rgb="001D4ED8"/>
      <sz val="22"/>
    </font>
    <font>
      <name val="Calibri"/>
      <b val="1"/>
      <color rgb="00B45309"/>
      <sz val="15"/>
    </font>
  </fonts>
  <fills count="17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0D9488"/>
        <bgColor rgb="000D9488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3730A3"/>
        <bgColor rgb="003730A3"/>
      </patternFill>
    </fill>
    <fill>
      <patternFill patternType="solid">
        <fgColor rgb="00F0FDFA"/>
        <bgColor rgb="00F0FDFA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2C59"/>
      </top>
      <bottom style="medium">
        <color rgb="000F2C5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medium">
        <color rgb="00047857"/>
      </left>
      <right style="medium">
        <color rgb="00047857"/>
      </right>
      <top style="medium">
        <color rgb="00047857"/>
      </top>
      <bottom style="medium">
        <color rgb="00047857"/>
      </bottom>
    </border>
    <border>
      <left style="medium">
        <color rgb="000F2C59"/>
      </left>
      <right style="medium">
        <color rgb="000F2C59"/>
      </right>
      <top style="medium">
        <color rgb="000F2C59"/>
      </top>
      <bottom style="medium">
        <color rgb="000F2C59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2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65" fontId="6" fillId="7" borderId="2" applyAlignment="1" pivotButton="0" quotePrefix="0" xfId="0">
      <alignment horizontal="right" vertical="center"/>
    </xf>
    <xf numFmtId="2" fontId="5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165" fontId="6" fillId="9" borderId="2" applyAlignment="1" pivotButton="0" quotePrefix="0" xfId="0">
      <alignment horizontal="right" vertical="center"/>
    </xf>
    <xf numFmtId="2" fontId="5" fillId="9" borderId="2" applyAlignment="1" pivotButton="0" quotePrefix="0" xfId="0">
      <alignment horizontal="right" vertical="center"/>
    </xf>
    <xf numFmtId="2" fontId="6" fillId="9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165" fontId="5" fillId="9" borderId="2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0" fillId="3" borderId="0" pivotButton="0" quotePrefix="0" xfId="0"/>
    <xf numFmtId="0" fontId="4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8" fillId="8" borderId="2" applyAlignment="1" pivotButton="0" quotePrefix="0" xfId="0">
      <alignment horizontal="left" vertical="center" indent="1"/>
    </xf>
    <xf numFmtId="0" fontId="0" fillId="8" borderId="2" pivotButton="0" quotePrefix="0" xfId="0"/>
    <xf numFmtId="49" fontId="15" fillId="14" borderId="3" applyAlignment="1" pivotButton="0" quotePrefix="0" xfId="0">
      <alignment horizontal="center" vertical="center"/>
    </xf>
    <xf numFmtId="0" fontId="0" fillId="14" borderId="3" pivotButton="0" quotePrefix="0" xfId="0"/>
    <xf numFmtId="168" fontId="16" fillId="13" borderId="4" applyAlignment="1" pivotButton="0" quotePrefix="0" xfId="0">
      <alignment horizontal="center" vertical="center"/>
    </xf>
    <xf numFmtId="0" fontId="0" fillId="13" borderId="4" pivotButton="0" quotePrefix="0" xfId="0"/>
    <xf numFmtId="169" fontId="18" fillId="5" borderId="5" applyAlignment="1" pivotButton="0" quotePrefix="0" xfId="0">
      <alignment horizontal="center" vertical="center"/>
    </xf>
    <xf numFmtId="0" fontId="0" fillId="5" borderId="5" pivotButton="0" quotePrefix="0" xfId="0"/>
    <xf numFmtId="0" fontId="19" fillId="14" borderId="6" applyAlignment="1" pivotButton="0" quotePrefix="0" xfId="0">
      <alignment horizontal="center" vertical="center"/>
    </xf>
    <xf numFmtId="0" fontId="0" fillId="14" borderId="6" pivotButton="0" quotePrefix="0" xfId="0"/>
    <xf numFmtId="0" fontId="9" fillId="14" borderId="2" applyAlignment="1" pivotButton="0" quotePrefix="0" xfId="0">
      <alignment horizontal="center" vertical="center"/>
    </xf>
    <xf numFmtId="0" fontId="0" fillId="14" borderId="2" pivotButton="0" quotePrefix="0" xfId="0"/>
    <xf numFmtId="2" fontId="15" fillId="14" borderId="3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0" fillId="13" borderId="2" pivotButton="0" quotePrefix="0" xfId="0"/>
    <xf numFmtId="0" fontId="17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17" fillId="14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2" fontId="9" fillId="7" borderId="2" applyAlignment="1" pivotButton="0" quotePrefix="0" xfId="0">
      <alignment horizontal="right" vertical="center"/>
    </xf>
    <xf numFmtId="0" fontId="0" fillId="7" borderId="2" pivotButton="0" quotePrefix="0" xfId="0"/>
    <xf numFmtId="3" fontId="6" fillId="7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center" vertical="center"/>
    </xf>
    <xf numFmtId="3" fontId="15" fillId="14" borderId="3" applyAlignment="1" pivotButton="0" quotePrefix="0" xfId="0">
      <alignment horizontal="center" vertical="center"/>
    </xf>
    <xf numFmtId="164" fontId="6" fillId="7" borderId="2" applyAlignment="1" pivotButton="0" quotePrefix="0" xfId="0">
      <alignment horizontal="right" vertical="center"/>
    </xf>
    <xf numFmtId="0" fontId="15" fillId="14" borderId="3" applyAlignment="1" pivotButton="0" quotePrefix="0" xfId="0">
      <alignment horizontal="center" vertical="center"/>
    </xf>
    <xf numFmtId="170" fontId="9" fillId="7" borderId="2" applyAlignment="1" pivotButton="0" quotePrefix="0" xfId="0">
      <alignment horizontal="right" vertical="center"/>
    </xf>
    <xf numFmtId="3" fontId="9" fillId="13" borderId="2" applyAlignment="1" pivotButton="0" quotePrefix="0" xfId="0">
      <alignment horizontal="right" vertical="center"/>
    </xf>
    <xf numFmtId="167" fontId="15" fillId="14" borderId="3" applyAlignment="1" pivotButton="0" quotePrefix="0" xfId="0">
      <alignment horizontal="center" vertical="center"/>
    </xf>
    <xf numFmtId="170" fontId="6" fillId="7" borderId="2" applyAlignment="1" pivotButton="0" quotePrefix="0" xfId="0">
      <alignment horizontal="right" vertical="center"/>
    </xf>
    <xf numFmtId="4" fontId="9" fillId="13" borderId="2" applyAlignment="1" pivotButton="0" quotePrefix="0" xfId="0">
      <alignment horizontal="right" vertical="center"/>
    </xf>
    <xf numFmtId="4" fontId="9" fillId="7" borderId="2" applyAlignment="1" pivotButton="0" quotePrefix="0" xfId="0">
      <alignment horizontal="right" vertical="center"/>
    </xf>
    <xf numFmtId="0" fontId="13" fillId="16" borderId="4" applyAlignment="1" pivotButton="0" quotePrefix="0" xfId="0">
      <alignment horizontal="left" vertical="center" indent="1"/>
    </xf>
    <xf numFmtId="0" fontId="0" fillId="16" borderId="4" pivotButton="0" quotePrefix="0" xfId="0"/>
    <xf numFmtId="0" fontId="4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171" fontId="9" fillId="7" borderId="2" applyAlignment="1" pivotButton="0" quotePrefix="0" xfId="0">
      <alignment horizontal="center" vertical="center"/>
    </xf>
    <xf numFmtId="4" fontId="6" fillId="7" borderId="2" applyAlignment="1" pivotButton="0" quotePrefix="0" xfId="0">
      <alignment horizontal="right" vertical="center"/>
    </xf>
    <xf numFmtId="166" fontId="6" fillId="7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171" fontId="9" fillId="9" borderId="2" applyAlignment="1" pivotButton="0" quotePrefix="0" xfId="0">
      <alignment horizontal="center" vertical="center"/>
    </xf>
    <xf numFmtId="4" fontId="6" fillId="9" borderId="2" applyAlignment="1" pivotButton="0" quotePrefix="0" xfId="0">
      <alignment horizontal="right" vertical="center"/>
    </xf>
    <xf numFmtId="170" fontId="6" fillId="9" borderId="2" applyAlignment="1" pivotButton="0" quotePrefix="0" xfId="0">
      <alignment horizontal="right" vertical="center"/>
    </xf>
    <xf numFmtId="3" fontId="6" fillId="9" borderId="2" applyAlignment="1" pivotButton="0" quotePrefix="0" xfId="0">
      <alignment horizontal="right" vertical="center"/>
    </xf>
    <xf numFmtId="166" fontId="6" fillId="9" borderId="2" applyAlignment="1" pivotButton="0" quotePrefix="0" xfId="0">
      <alignment horizontal="right" vertical="center"/>
    </xf>
    <xf numFmtId="0" fontId="4" fillId="1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2" fontId="9" fillId="5" borderId="2" applyAlignment="1" pivotButton="0" quotePrefix="0" xfId="0">
      <alignment horizontal="center" vertical="center"/>
    </xf>
    <xf numFmtId="1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3" fontId="6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indent="1"/>
    </xf>
    <xf numFmtId="3" fontId="11" fillId="13" borderId="2" applyAlignment="1" pivotButton="0" quotePrefix="0" xfId="0">
      <alignment horizontal="right" vertical="center"/>
    </xf>
    <xf numFmtId="4" fontId="11" fillId="13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left" vertical="center" indent="1"/>
    </xf>
    <xf numFmtId="3" fontId="6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indent="1"/>
    </xf>
    <xf numFmtId="0" fontId="12" fillId="9" borderId="2" applyAlignment="1" pivotButton="0" quotePrefix="0" xfId="0">
      <alignment horizontal="left" vertical="center" indent="1"/>
    </xf>
    <xf numFmtId="0" fontId="13" fillId="7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</cellXfs>
  <cellStyles count="1">
    <cellStyle name="Normal" xfId="0" builtinId="0" hidden="0"/>
  </cellStyles>
  <dxfs count="4">
    <dxf>
      <font>
        <name val="Calibri"/>
        <i val="1"/>
        <color rgb="0094A3B8"/>
        <sz val="9"/>
      </font>
      <fill>
        <patternFill patternType="solid">
          <fgColor rgb="00F1F5F9"/>
          <bgColor rgb="00F1F5F9"/>
        </patternFill>
      </fill>
    </dxf>
    <dxf>
      <font>
        <name val="Calibri"/>
        <b val="1"/>
        <color rgb="0015803D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B45309"/>
        <sz val="10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1D4ED8"/>
        <sz val="10"/>
      </font>
      <fill>
        <patternFill patternType="solid">
          <fgColor rgb="00DBEAFE"/>
          <b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3" customWidth="1" min="5" max="5"/>
    <col width="11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  <col width="16" customWidth="1" min="12" max="12"/>
    <col width="13" customWidth="1" min="13" max="13"/>
    <col width="16" customWidth="1" min="14" max="14"/>
  </cols>
  <sheetData>
    <row r="1" ht="32" customHeight="1">
      <c r="A1" s="25" t="inlineStr">
        <is>
          <t>PRECISE PIPE — 40GP CONTAINER LOADING &amp; COMMERCIAL ESTIMATOR MODEL (V2 LINKED)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20" customHeight="1">
      <c r="A2" s="2" t="inlineStr">
        <is>
          <t>Front-End Lookup Dashboard | Directly retrieves pre-calculated results from Tab 2 (2_Selectable_Master_Table) based on your dropdown selections (Col D).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</row>
    <row r="3" ht="10" customHeight="1"/>
    <row r="4" ht="24" customHeight="1">
      <c r="A4" s="28" t="inlineStr">
        <is>
          <t>1. PIPE SPECIFICATION INPUTS (SELECT DROPDOWNS)</t>
        </is>
      </c>
      <c r="B4" s="29" t="n"/>
      <c r="C4" s="29" t="n"/>
      <c r="D4" s="29" t="n"/>
      <c r="E4" s="29" t="n"/>
      <c r="G4" s="30" t="inlineStr">
        <is>
          <t>OUTPUT 1: 40GP TOTAL PIECES</t>
        </is>
      </c>
      <c r="H4" s="31" t="n"/>
      <c r="I4" s="31" t="n"/>
      <c r="J4" s="32" t="inlineStr">
        <is>
          <t>OUTPUT 2: 40GP METRIC TONS (MT)</t>
        </is>
      </c>
      <c r="K4" s="33" t="n"/>
      <c r="L4" s="33" t="n"/>
      <c r="M4" s="34" t="inlineStr">
        <is>
          <t>BOTTLENECK &amp; FREIGHT</t>
        </is>
      </c>
      <c r="N4" s="35" t="n"/>
    </row>
    <row r="5" ht="22" customHeight="1">
      <c r="A5" s="36" t="inlineStr">
        <is>
          <t>Material Grade [Select]</t>
        </is>
      </c>
      <c r="B5" s="37" t="n"/>
      <c r="C5" s="37" t="n"/>
      <c r="D5" s="38" t="inlineStr">
        <is>
          <t>Carbon Steel</t>
        </is>
      </c>
      <c r="E5" s="39" t="n"/>
      <c r="G5" s="40">
        <f>M16</f>
        <v/>
      </c>
      <c r="H5" s="41" t="n"/>
      <c r="I5" s="41" t="n"/>
      <c r="J5" s="42">
        <f>M17</f>
        <v/>
      </c>
      <c r="K5" s="43" t="n"/>
      <c r="L5" s="43" t="n"/>
      <c r="M5" s="44">
        <f>IF(ISNUMBER(D9), UPPER(INDEX('2_Selectable_Master_Table'!$U$11:$U$1186, D9)), "N/A")</f>
        <v/>
      </c>
      <c r="N5" s="45" t="n"/>
    </row>
    <row r="6" ht="22" customHeight="1">
      <c r="A6" s="36" t="inlineStr">
        <is>
          <t>Nominal Pipe Size - NPS [Select]</t>
        </is>
      </c>
      <c r="B6" s="37" t="n"/>
      <c r="C6" s="37" t="n"/>
      <c r="D6" s="38" t="inlineStr">
        <is>
          <t>6''</t>
        </is>
      </c>
      <c r="E6" s="39" t="n"/>
      <c r="G6" s="41" t="n"/>
      <c r="H6" s="41" t="n"/>
      <c r="I6" s="41" t="n"/>
      <c r="J6" s="43" t="n"/>
      <c r="K6" s="43" t="n"/>
      <c r="L6" s="43" t="n"/>
      <c r="M6" s="45" t="n"/>
      <c r="N6" s="45" t="n"/>
    </row>
    <row r="7" ht="22" customHeight="1">
      <c r="A7" s="36" t="inlineStr">
        <is>
          <t>Pipe Schedule [Select]</t>
        </is>
      </c>
      <c r="B7" s="37" t="n"/>
      <c r="C7" s="37" t="n"/>
      <c r="D7" s="38" t="inlineStr">
        <is>
          <t>40</t>
        </is>
      </c>
      <c r="E7" s="39" t="n"/>
      <c r="G7" s="41" t="n"/>
      <c r="H7" s="41" t="n"/>
      <c r="I7" s="41" t="n"/>
      <c r="J7" s="43" t="n"/>
      <c r="K7" s="43" t="n"/>
      <c r="L7" s="43" t="n"/>
      <c r="M7" s="46">
        <f>IF(J5&gt;0, "Freight: $" &amp; TEXT(D17/J5, "#,##0.00") &amp; " / MT", "Freight: N/A")</f>
        <v/>
      </c>
      <c r="N7" s="47" t="n"/>
    </row>
    <row r="8" ht="22" customHeight="1">
      <c r="A8" s="36" t="inlineStr">
        <is>
          <t>Single Pipe Length (m) [Select]</t>
        </is>
      </c>
      <c r="B8" s="37" t="n"/>
      <c r="C8" s="37" t="n"/>
      <c r="D8" s="48" t="n">
        <v>11.8</v>
      </c>
      <c r="E8" s="39" t="n"/>
      <c r="G8" s="49">
        <f>"Total Length: " &amp; TEXT(G5*D8, "#,##0.0") &amp; " m (" &amp; TEXT(G5*D8*3.28084, "#,##0") &amp; " ft)"</f>
        <v/>
      </c>
      <c r="H8" s="50" t="n"/>
      <c r="I8" s="50" t="n"/>
      <c r="J8" s="51">
        <f>"Net Weight: " &amp; TEXT(J5*1000, "#,##0") &amp; " kg (" &amp; TEXT(J5*2204.62, "#,##0") &amp; " lbs)"</f>
        <v/>
      </c>
      <c r="K8" s="52" t="n"/>
      <c r="L8" s="52" t="n"/>
      <c r="M8" s="53">
        <f>IF(G5&gt;0, "Unit Freight: $" &amp; TEXT(D17/(G5*D8), "0.00") &amp; " / m", "Unit Freight: N/A")</f>
        <v/>
      </c>
      <c r="N8" s="47" t="n"/>
    </row>
    <row r="9" ht="22" customHeight="1">
      <c r="A9" s="36" t="inlineStr">
        <is>
          <t>Matched ID in Tab 2 (Master Table)</t>
        </is>
      </c>
      <c r="B9" s="37" t="n"/>
      <c r="C9" s="37" t="n"/>
      <c r="D9" s="54">
        <f>IFERROR(MATCH(D5&amp;"|"&amp;D6&amp;"|"&amp;D7, '2_Selectable_Master_Table'!$V$11:$V$1186, 0), "SPEC N/A (SEE TABLE BELOW)")</f>
        <v/>
      </c>
      <c r="E9" s="52" t="n"/>
    </row>
    <row r="10" ht="22" customHeight="1">
      <c r="G10" s="55" t="inlineStr">
        <is>
          <t>3. PIPE SPECS (LOOKED UP FROM TAB 2)</t>
        </is>
      </c>
      <c r="H10" s="56" t="n"/>
      <c r="I10" s="56" t="n"/>
      <c r="J10" s="56" t="n"/>
      <c r="K10" s="55" t="inlineStr">
        <is>
          <t>4. 40GP PACKING RESULTS (LOOKED UP FROM TAB 2)</t>
        </is>
      </c>
      <c r="L10" s="56" t="n"/>
      <c r="M10" s="56" t="n"/>
      <c r="N10" s="56" t="n"/>
    </row>
    <row r="11" ht="21" customHeight="1">
      <c r="A11" s="28" t="inlineStr">
        <is>
          <t>2. 40GP CONTAINER &amp; COMMERCIAL PARAMETERS</t>
        </is>
      </c>
      <c r="B11" s="29" t="n"/>
      <c r="C11" s="29" t="n"/>
      <c r="D11" s="29" t="n"/>
      <c r="E11" s="29" t="n"/>
      <c r="G11" s="36" t="inlineStr">
        <is>
          <t>Outer Diameter - OD (mm) [Tab2 Col H]</t>
        </is>
      </c>
      <c r="H11" s="37" t="n"/>
      <c r="I11" s="57">
        <f>IF(ISNUMBER(D9), INDEX('2_Selectable_Master_Table'!$H$11:$H$1186, D9), 0)</f>
        <v/>
      </c>
      <c r="J11" s="58" t="n"/>
      <c r="K11" s="36" t="inlineStr">
        <is>
          <t>Lengthwise Tiers [Tab2 Cell K5]</t>
        </is>
      </c>
      <c r="L11" s="37" t="n"/>
      <c r="M11" s="59">
        <f>'2_Selectable_Master_Table'!K5</f>
        <v/>
      </c>
      <c r="N11" s="58" t="n"/>
    </row>
    <row r="12" ht="21" customHeight="1">
      <c r="A12" s="36" t="inlineStr">
        <is>
          <t>40GP Internal Length (m)</t>
        </is>
      </c>
      <c r="B12" s="37" t="n"/>
      <c r="C12" s="37" t="n"/>
      <c r="D12" s="60" t="n">
        <v>12.032</v>
      </c>
      <c r="E12" s="58" t="n"/>
      <c r="G12" s="36" t="inlineStr">
        <is>
          <t>Wall Thickness - WT (mm) [Tab2 Col J]</t>
        </is>
      </c>
      <c r="H12" s="37" t="n"/>
      <c r="I12" s="57">
        <f>IF(ISNUMBER(D9), INDEX('2_Selectable_Master_Table'!$J$11:$J$1186, D9), "N/A")</f>
        <v/>
      </c>
      <c r="J12" s="58" t="n"/>
      <c r="K12" s="36" t="inlineStr">
        <is>
          <t>Horiz. Fit (pcs/row) [Tab2 Col M]</t>
        </is>
      </c>
      <c r="L12" s="37" t="n"/>
      <c r="M12" s="59">
        <f>IF(ISNUMBER(D9), INDEX('2_Selectable_Master_Table'!$M$11:$M$1186, D9), 0)</f>
        <v/>
      </c>
      <c r="N12" s="58" t="n"/>
    </row>
    <row r="13" ht="21" customHeight="1">
      <c r="A13" s="36" t="inlineStr">
        <is>
          <t>Effective Loading Width (mm) [Input]</t>
        </is>
      </c>
      <c r="B13" s="37" t="n"/>
      <c r="C13" s="37" t="n"/>
      <c r="D13" s="61" t="n">
        <v>2300</v>
      </c>
      <c r="E13" s="39" t="n"/>
      <c r="G13" s="36" t="inlineStr">
        <is>
          <t>Outer / Wall (Inches) [Tab2 Col G,I]</t>
        </is>
      </c>
      <c r="H13" s="37" t="n"/>
      <c r="I13" s="13">
        <f>IF(ISNUMBER(D9), TEXT(INDEX('2_Selectable_Master_Table'!$G$11:$G$1186, D9),"0.000") &amp; " in OD x " &amp; TEXT(INDEX('2_Selectable_Master_Table'!$I$11:$I$1186, D9),"0.000") &amp; " in WT", "N/A")</f>
        <v/>
      </c>
      <c r="J13" s="58" t="n"/>
      <c r="K13" s="36" t="inlineStr">
        <is>
          <t>Vert. Layers (rows) [Tab2 Col N]</t>
        </is>
      </c>
      <c r="L13" s="37" t="n"/>
      <c r="M13" s="59">
        <f>IF(ISNUMBER(D9), INDEX('2_Selectable_Master_Table'!$N$11:$N$1186, D9), 0)</f>
        <v/>
      </c>
      <c r="N13" s="58" t="n"/>
    </row>
    <row r="14" ht="21" customHeight="1">
      <c r="A14" s="36" t="inlineStr">
        <is>
          <t>Effective Loading Height (mm) [Input]</t>
        </is>
      </c>
      <c r="B14" s="37" t="n"/>
      <c r="C14" s="37" t="n"/>
      <c r="D14" s="61" t="n">
        <v>2280</v>
      </c>
      <c r="E14" s="39" t="n"/>
      <c r="G14" s="36" t="inlineStr">
        <is>
          <t>Inner Diameter - ID (mm)</t>
        </is>
      </c>
      <c r="H14" s="37" t="n"/>
      <c r="I14" s="17">
        <f>IF(ISNUMBER(D9), ROUND(I11 - 2*I12, 2), "N/A")</f>
        <v/>
      </c>
      <c r="J14" s="58" t="n"/>
      <c r="K14" s="36" t="inlineStr">
        <is>
          <t>Max Pieces by Volume [Tab2 Col O]</t>
        </is>
      </c>
      <c r="L14" s="37" t="n"/>
      <c r="M14" s="59">
        <f>IF(ISNUMBER(D9), INDEX('2_Selectable_Master_Table'!$O$11:$O$1186, D9), 0)</f>
        <v/>
      </c>
      <c r="N14" s="58" t="n"/>
    </row>
    <row r="15" ht="21" customHeight="1">
      <c r="A15" s="36" t="inlineStr">
        <is>
          <t>Max Container Payload (MT) [Input]</t>
        </is>
      </c>
      <c r="B15" s="37" t="n"/>
      <c r="C15" s="37" t="n"/>
      <c r="D15" s="48" t="n">
        <v>26</v>
      </c>
      <c r="E15" s="39" t="n"/>
      <c r="G15" s="36" t="inlineStr">
        <is>
          <t>Material Weight Factor C [Tab2 Row 7/8]</t>
        </is>
      </c>
      <c r="H15" s="37" t="n"/>
      <c r="I15" s="62">
        <f>IF(D5="Carbon Steel", '2_Selectable_Master_Table'!K7, IF(D5="Stainless Steel 304", '2_Selectable_Master_Table'!K8, '2_Selectable_Master_Table'!L8))</f>
        <v/>
      </c>
      <c r="J15" s="58" t="n"/>
      <c r="K15" s="36" t="inlineStr">
        <is>
          <t>Max Pieces by Weight [Tab2 Col P]</t>
        </is>
      </c>
      <c r="L15" s="37" t="n"/>
      <c r="M15" s="59">
        <f>IF(ISNUMBER(D9), INDEX('2_Selectable_Master_Table'!$P$11:$P$1186, D9), 0)</f>
        <v/>
      </c>
      <c r="N15" s="58" t="n"/>
    </row>
    <row r="16" ht="21" customHeight="1">
      <c r="A16" s="36" t="inlineStr">
        <is>
          <t>Cross-Section Packing Mode [Select]</t>
        </is>
      </c>
      <c r="B16" s="37" t="n"/>
      <c r="C16" s="37" t="n"/>
      <c r="D16" s="63" t="inlineStr">
        <is>
          <t>Staggered (Hexagonal)</t>
        </is>
      </c>
      <c r="E16" s="39" t="n"/>
      <c r="G16" s="36" t="inlineStr">
        <is>
          <t>Unit Weight (kg/m) [Tab2 Col K]</t>
        </is>
      </c>
      <c r="H16" s="37" t="n"/>
      <c r="I16" s="64">
        <f>IF(ISNUMBER(D9), INDEX('2_Selectable_Master_Table'!$K$11:$K$1186, D9), 0)</f>
        <v/>
      </c>
      <c r="J16" s="58" t="n"/>
      <c r="K16" s="36" t="inlineStr">
        <is>
          <t>40GP Actual Pieces [Tab2 Col Q]</t>
        </is>
      </c>
      <c r="L16" s="37" t="n"/>
      <c r="M16" s="65">
        <f>IF(ISNUMBER(D9), INDEX('2_Selectable_Master_Table'!$Q$11:$Q$1186, D9), 0)</f>
        <v/>
      </c>
      <c r="N16" s="50" t="n"/>
    </row>
    <row r="17" ht="21" customHeight="1">
      <c r="A17" s="36" t="inlineStr">
        <is>
          <t>Est. Ocean Freight / 40GP (USD) [Input]</t>
        </is>
      </c>
      <c r="B17" s="37" t="n"/>
      <c r="C17" s="37" t="n"/>
      <c r="D17" s="66" t="n">
        <v>3500</v>
      </c>
      <c r="E17" s="39" t="n"/>
      <c r="G17" s="36" t="inlineStr">
        <is>
          <t>Unit Weight (lb/ft)</t>
        </is>
      </c>
      <c r="H17" s="37" t="n"/>
      <c r="I17" s="67">
        <f>IF(ISNUMBER(D9), ROUND(I16 * 0.671969, 3), 0)</f>
        <v/>
      </c>
      <c r="J17" s="58" t="n"/>
      <c r="K17" s="36" t="inlineStr">
        <is>
          <t>40GP Actual Net Weight [Tab2 Col R]</t>
        </is>
      </c>
      <c r="L17" s="37" t="n"/>
      <c r="M17" s="68">
        <f>IF(ISNUMBER(D9), INDEX('2_Selectable_Master_Table'!$R$11:$R$1186, D9), 0)</f>
        <v/>
      </c>
      <c r="N17" s="50" t="n"/>
    </row>
    <row r="18" ht="21" customHeight="1">
      <c r="A18" s="36" t="inlineStr">
        <is>
          <t>Nested Pipe Clearance Margin (mm)</t>
        </is>
      </c>
      <c r="B18" s="37" t="n"/>
      <c r="C18" s="37" t="n"/>
      <c r="D18" s="61" t="n">
        <v>25</v>
      </c>
      <c r="E18" s="39" t="n"/>
      <c r="G18" s="36" t="inlineStr">
        <is>
          <t>Piece Weight (kg/pc) [Tab2 Col L]</t>
        </is>
      </c>
      <c r="H18" s="37" t="n"/>
      <c r="I18" s="69">
        <f>IF(ISNUMBER(D9), INDEX('2_Selectable_Master_Table'!$L$11:$L$1186, D9), 0)</f>
        <v/>
      </c>
      <c r="J18" s="58" t="n"/>
      <c r="K18" s="36" t="inlineStr">
        <is>
          <t>Payload &amp; Space Util. [Tab2 Col S,T]</t>
        </is>
      </c>
      <c r="L18" s="37" t="n"/>
      <c r="M18" s="13">
        <f>IF(ISNUMBER(D9), TEXT(INDEX('2_Selectable_Master_Table'!$S$11:$S$1186, D9), "0.0%") &amp; " Wt  |  " &amp; TEXT(INDEX('2_Selectable_Master_Table'!$T$11:$T$1186, D9), "0.0%") &amp; " Space", "N/A")</f>
        <v/>
      </c>
      <c r="N18" s="58" t="n"/>
    </row>
    <row r="19" ht="8" customHeight="1"/>
    <row r="20" ht="26" customHeight="1">
      <c r="A20" s="70">
        <f>IF(NOT(ISNUMBER(D9)), "COMMERCIAL ADVISOR: Schedule " &amp; D7 &amp; " is not applicable to " &amp; D5 &amp; " NPS " &amp; D6 &amp; " in Tab 2. See the live lookup table below for all valid schedules.", IF(M15&lt;=M14, "COMMERCIAL ADVISOR [WEIGHT LIMITED]: Container reaches Max Payload (" &amp; TEXT(M17,"0.00") &amp; " MT) at " &amp; TEXT(M16/M14,"0.0%") &amp; " space occupancy.", IF(I14&gt;80, "COMMERCIAL ADVISOR [VOLUME LIMITED — PIPE NESTING OPPORTUNITY]: Space is 100% full at " &amp; TEXT(M17,"0.00") &amp; " MT (" &amp; TEXT(D15-M17,"0.00") &amp; " MT unused payload!). Inner Diameter is " &amp; TEXT(I14,"0.0") &amp; " mm -&gt; Telescope smaller pipes (OD &lt;= " &amp; TEXT(I14-D18,"0") &amp; " mm) inside to ship extra tonnage for FREE ocean freight!", "COMMERCIAL ADVISOR [VOLUME LIMITED]: Container space is 100% utilized (" &amp; TEXT(M16,"#,##0") &amp; " pcs / " &amp; TEXT(M17,"0.00") &amp; " MT).")))</f>
        <v/>
      </c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</row>
    <row r="21" ht="8" customHeight="1"/>
    <row r="22" ht="24" customHeight="1">
      <c r="A22" s="72">
        <f>"5. ALL SCHEDULES LOOKUP MATRIX FROM TAB 2 FOR: " &amp; D5 &amp; " | NPS " &amp; D6 &amp; " (Pipe Length: " &amp; TEXT(D8,"0.00") &amp; "m)"</f>
        <v/>
      </c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</row>
    <row r="23" ht="28" customHeight="1">
      <c r="A23" s="9" t="inlineStr">
        <is>
          <t>Schedule</t>
        </is>
      </c>
      <c r="B23" s="9" t="inlineStr">
        <is>
          <t>Tab 2 Row ID</t>
        </is>
      </c>
      <c r="C23" s="11" t="inlineStr">
        <is>
          <t>OD (mm)
[Tab2 Col H]</t>
        </is>
      </c>
      <c r="D23" s="11" t="inlineStr">
        <is>
          <t>WT (in)
[Tab2 Col I]</t>
        </is>
      </c>
      <c r="E23" s="11" t="inlineStr">
        <is>
          <t>WT (mm)
[Tab2 Col J]</t>
        </is>
      </c>
      <c r="F23" s="11" t="inlineStr">
        <is>
          <t>ID (mm)</t>
        </is>
      </c>
      <c r="G23" s="11" t="inlineStr">
        <is>
          <t>Unit Wt
[Tab2 Col K]</t>
        </is>
      </c>
      <c r="H23" s="11" t="inlineStr">
        <is>
          <t>Piece Wt
[Tab2 Col L]</t>
        </is>
      </c>
      <c r="I23" s="11" t="inlineStr">
        <is>
          <t>Max Vol
[Tab2 Col O]</t>
        </is>
      </c>
      <c r="J23" s="11" t="inlineStr">
        <is>
          <t>Max Wt
[Tab2 Col P]</t>
        </is>
      </c>
      <c r="K23" s="74" t="inlineStr">
        <is>
          <t>40GP Pieces
[Tab2 Col Q]</t>
        </is>
      </c>
      <c r="L23" s="74" t="inlineStr">
        <is>
          <t>40GP Tons
[Tab2 Col R]</t>
        </is>
      </c>
      <c r="M23" s="75" t="inlineStr">
        <is>
          <t>Payload Util
[Tab2 Col S]</t>
        </is>
      </c>
      <c r="N23" s="75" t="inlineStr">
        <is>
          <t>Bottleneck
[Tab2 Col U]</t>
        </is>
      </c>
    </row>
    <row r="24" ht="19" customHeight="1">
      <c r="A24" s="76" t="inlineStr">
        <is>
          <t>5S</t>
        </is>
      </c>
      <c r="B24" s="77">
        <f>IFERROR(MATCH($D$5&amp;"|"&amp;$D$6&amp;"|"&amp;A24, '2_Selectable_Master_Table'!$V$11:$V$1186, 0), "N/A")</f>
        <v/>
      </c>
      <c r="C24" s="78">
        <f>IF(ISNUMBER(B24), INDEX('2_Selectable_Master_Table'!$H$11:$H$1186, B24), "-")</f>
        <v/>
      </c>
      <c r="D24" s="67">
        <f>IF(ISNUMBER(B24), INDEX('2_Selectable_Master_Table'!$I$11:$I$1186, B24), "-")</f>
        <v/>
      </c>
      <c r="E24" s="78">
        <f>IF(ISNUMBER(B24), INDEX('2_Selectable_Master_Table'!$J$11:$J$1186, B24), "-")</f>
        <v/>
      </c>
      <c r="F24" s="78">
        <f>IF(ISNUMBER(B24), ROUND(C24-2*E24, 2), "-")</f>
        <v/>
      </c>
      <c r="G24" s="67">
        <f>IF(ISNUMBER(B24), INDEX('2_Selectable_Master_Table'!$K$11:$K$1186, B24), "-")</f>
        <v/>
      </c>
      <c r="H24" s="78">
        <f>IF(ISNUMBER(B24), INDEX('2_Selectable_Master_Table'!$L$11:$L$1186, B24), "-")</f>
        <v/>
      </c>
      <c r="I24" s="59">
        <f>IF(ISNUMBER(B24), INDEX('2_Selectable_Master_Table'!$O$11:$O$1186, B24), "-")</f>
        <v/>
      </c>
      <c r="J24" s="59">
        <f>IF(ISNUMBER(B24), INDEX('2_Selectable_Master_Table'!$P$11:$P$1186, B24), "-")</f>
        <v/>
      </c>
      <c r="K24" s="65">
        <f>IF(ISNUMBER(B24), INDEX('2_Selectable_Master_Table'!$Q$11:$Q$1186, B24), "-")</f>
        <v/>
      </c>
      <c r="L24" s="68">
        <f>IF(ISNUMBER(B24), INDEX('2_Selectable_Master_Table'!$R$11:$R$1186, B24), "-")</f>
        <v/>
      </c>
      <c r="M24" s="79">
        <f>IF(ISNUMBER(B24), INDEX('2_Selectable_Master_Table'!$S$11:$S$1186, B24), "-")</f>
        <v/>
      </c>
      <c r="N24" s="76">
        <f>IF(ISNUMBER(B24), INDEX('2_Selectable_Master_Table'!$U$11:$U$1186, B24), "-")</f>
        <v/>
      </c>
    </row>
    <row r="25" ht="19" customHeight="1">
      <c r="A25" s="80" t="inlineStr">
        <is>
          <t>5</t>
        </is>
      </c>
      <c r="B25" s="81">
        <f>IFERROR(MATCH($D$5&amp;"|"&amp;$D$6&amp;"|"&amp;A25, '2_Selectable_Master_Table'!$V$11:$V$1186, 0), "N/A")</f>
        <v/>
      </c>
      <c r="C25" s="82">
        <f>IF(ISNUMBER(B25), INDEX('2_Selectable_Master_Table'!$H$11:$H$1186, B25), "-")</f>
        <v/>
      </c>
      <c r="D25" s="83">
        <f>IF(ISNUMBER(B25), INDEX('2_Selectable_Master_Table'!$I$11:$I$1186, B25), "-")</f>
        <v/>
      </c>
      <c r="E25" s="82">
        <f>IF(ISNUMBER(B25), INDEX('2_Selectable_Master_Table'!$J$11:$J$1186, B25), "-")</f>
        <v/>
      </c>
      <c r="F25" s="82">
        <f>IF(ISNUMBER(B25), ROUND(C25-2*E25, 2), "-")</f>
        <v/>
      </c>
      <c r="G25" s="83">
        <f>IF(ISNUMBER(B25), INDEX('2_Selectable_Master_Table'!$K$11:$K$1186, B25), "-")</f>
        <v/>
      </c>
      <c r="H25" s="82">
        <f>IF(ISNUMBER(B25), INDEX('2_Selectable_Master_Table'!$L$11:$L$1186, B25), "-")</f>
        <v/>
      </c>
      <c r="I25" s="84">
        <f>IF(ISNUMBER(B25), INDEX('2_Selectable_Master_Table'!$O$11:$O$1186, B25), "-")</f>
        <v/>
      </c>
      <c r="J25" s="84">
        <f>IF(ISNUMBER(B25), INDEX('2_Selectable_Master_Table'!$P$11:$P$1186, B25), "-")</f>
        <v/>
      </c>
      <c r="K25" s="65">
        <f>IF(ISNUMBER(B25), INDEX('2_Selectable_Master_Table'!$Q$11:$Q$1186, B25), "-")</f>
        <v/>
      </c>
      <c r="L25" s="68">
        <f>IF(ISNUMBER(B25), INDEX('2_Selectable_Master_Table'!$R$11:$R$1186, B25), "-")</f>
        <v/>
      </c>
      <c r="M25" s="85">
        <f>IF(ISNUMBER(B25), INDEX('2_Selectable_Master_Table'!$S$11:$S$1186, B25), "-")</f>
        <v/>
      </c>
      <c r="N25" s="80">
        <f>IF(ISNUMBER(B25), INDEX('2_Selectable_Master_Table'!$U$11:$U$1186, B25), "-")</f>
        <v/>
      </c>
    </row>
    <row r="26" ht="19" customHeight="1">
      <c r="A26" s="76" t="inlineStr">
        <is>
          <t>10S</t>
        </is>
      </c>
      <c r="B26" s="77">
        <f>IFERROR(MATCH($D$5&amp;"|"&amp;$D$6&amp;"|"&amp;A26, '2_Selectable_Master_Table'!$V$11:$V$1186, 0), "N/A")</f>
        <v/>
      </c>
      <c r="C26" s="78">
        <f>IF(ISNUMBER(B26), INDEX('2_Selectable_Master_Table'!$H$11:$H$1186, B26), "-")</f>
        <v/>
      </c>
      <c r="D26" s="67">
        <f>IF(ISNUMBER(B26), INDEX('2_Selectable_Master_Table'!$I$11:$I$1186, B26), "-")</f>
        <v/>
      </c>
      <c r="E26" s="78">
        <f>IF(ISNUMBER(B26), INDEX('2_Selectable_Master_Table'!$J$11:$J$1186, B26), "-")</f>
        <v/>
      </c>
      <c r="F26" s="78">
        <f>IF(ISNUMBER(B26), ROUND(C26-2*E26, 2), "-")</f>
        <v/>
      </c>
      <c r="G26" s="67">
        <f>IF(ISNUMBER(B26), INDEX('2_Selectable_Master_Table'!$K$11:$K$1186, B26), "-")</f>
        <v/>
      </c>
      <c r="H26" s="78">
        <f>IF(ISNUMBER(B26), INDEX('2_Selectable_Master_Table'!$L$11:$L$1186, B26), "-")</f>
        <v/>
      </c>
      <c r="I26" s="59">
        <f>IF(ISNUMBER(B26), INDEX('2_Selectable_Master_Table'!$O$11:$O$1186, B26), "-")</f>
        <v/>
      </c>
      <c r="J26" s="59">
        <f>IF(ISNUMBER(B26), INDEX('2_Selectable_Master_Table'!$P$11:$P$1186, B26), "-")</f>
        <v/>
      </c>
      <c r="K26" s="65">
        <f>IF(ISNUMBER(B26), INDEX('2_Selectable_Master_Table'!$Q$11:$Q$1186, B26), "-")</f>
        <v/>
      </c>
      <c r="L26" s="68">
        <f>IF(ISNUMBER(B26), INDEX('2_Selectable_Master_Table'!$R$11:$R$1186, B26), "-")</f>
        <v/>
      </c>
      <c r="M26" s="79">
        <f>IF(ISNUMBER(B26), INDEX('2_Selectable_Master_Table'!$S$11:$S$1186, B26), "-")</f>
        <v/>
      </c>
      <c r="N26" s="76">
        <f>IF(ISNUMBER(B26), INDEX('2_Selectable_Master_Table'!$U$11:$U$1186, B26), "-")</f>
        <v/>
      </c>
    </row>
    <row r="27" ht="19" customHeight="1">
      <c r="A27" s="80" t="inlineStr">
        <is>
          <t>10</t>
        </is>
      </c>
      <c r="B27" s="81">
        <f>IFERROR(MATCH($D$5&amp;"|"&amp;$D$6&amp;"|"&amp;A27, '2_Selectable_Master_Table'!$V$11:$V$1186, 0), "N/A")</f>
        <v/>
      </c>
      <c r="C27" s="82">
        <f>IF(ISNUMBER(B27), INDEX('2_Selectable_Master_Table'!$H$11:$H$1186, B27), "-")</f>
        <v/>
      </c>
      <c r="D27" s="83">
        <f>IF(ISNUMBER(B27), INDEX('2_Selectable_Master_Table'!$I$11:$I$1186, B27), "-")</f>
        <v/>
      </c>
      <c r="E27" s="82">
        <f>IF(ISNUMBER(B27), INDEX('2_Selectable_Master_Table'!$J$11:$J$1186, B27), "-")</f>
        <v/>
      </c>
      <c r="F27" s="82">
        <f>IF(ISNUMBER(B27), ROUND(C27-2*E27, 2), "-")</f>
        <v/>
      </c>
      <c r="G27" s="83">
        <f>IF(ISNUMBER(B27), INDEX('2_Selectable_Master_Table'!$K$11:$K$1186, B27), "-")</f>
        <v/>
      </c>
      <c r="H27" s="82">
        <f>IF(ISNUMBER(B27), INDEX('2_Selectable_Master_Table'!$L$11:$L$1186, B27), "-")</f>
        <v/>
      </c>
      <c r="I27" s="84">
        <f>IF(ISNUMBER(B27), INDEX('2_Selectable_Master_Table'!$O$11:$O$1186, B27), "-")</f>
        <v/>
      </c>
      <c r="J27" s="84">
        <f>IF(ISNUMBER(B27), INDEX('2_Selectable_Master_Table'!$P$11:$P$1186, B27), "-")</f>
        <v/>
      </c>
      <c r="K27" s="65">
        <f>IF(ISNUMBER(B27), INDEX('2_Selectable_Master_Table'!$Q$11:$Q$1186, B27), "-")</f>
        <v/>
      </c>
      <c r="L27" s="68">
        <f>IF(ISNUMBER(B27), INDEX('2_Selectable_Master_Table'!$R$11:$R$1186, B27), "-")</f>
        <v/>
      </c>
      <c r="M27" s="85">
        <f>IF(ISNUMBER(B27), INDEX('2_Selectable_Master_Table'!$S$11:$S$1186, B27), "-")</f>
        <v/>
      </c>
      <c r="N27" s="80">
        <f>IF(ISNUMBER(B27), INDEX('2_Selectable_Master_Table'!$U$11:$U$1186, B27), "-")</f>
        <v/>
      </c>
    </row>
    <row r="28" ht="19" customHeight="1">
      <c r="A28" s="76" t="inlineStr">
        <is>
          <t>20</t>
        </is>
      </c>
      <c r="B28" s="77">
        <f>IFERROR(MATCH($D$5&amp;"|"&amp;$D$6&amp;"|"&amp;A28, '2_Selectable_Master_Table'!$V$11:$V$1186, 0), "N/A")</f>
        <v/>
      </c>
      <c r="C28" s="78">
        <f>IF(ISNUMBER(B28), INDEX('2_Selectable_Master_Table'!$H$11:$H$1186, B28), "-")</f>
        <v/>
      </c>
      <c r="D28" s="67">
        <f>IF(ISNUMBER(B28), INDEX('2_Selectable_Master_Table'!$I$11:$I$1186, B28), "-")</f>
        <v/>
      </c>
      <c r="E28" s="78">
        <f>IF(ISNUMBER(B28), INDEX('2_Selectable_Master_Table'!$J$11:$J$1186, B28), "-")</f>
        <v/>
      </c>
      <c r="F28" s="78">
        <f>IF(ISNUMBER(B28), ROUND(C28-2*E28, 2), "-")</f>
        <v/>
      </c>
      <c r="G28" s="67">
        <f>IF(ISNUMBER(B28), INDEX('2_Selectable_Master_Table'!$K$11:$K$1186, B28), "-")</f>
        <v/>
      </c>
      <c r="H28" s="78">
        <f>IF(ISNUMBER(B28), INDEX('2_Selectable_Master_Table'!$L$11:$L$1186, B28), "-")</f>
        <v/>
      </c>
      <c r="I28" s="59">
        <f>IF(ISNUMBER(B28), INDEX('2_Selectable_Master_Table'!$O$11:$O$1186, B28), "-")</f>
        <v/>
      </c>
      <c r="J28" s="59">
        <f>IF(ISNUMBER(B28), INDEX('2_Selectable_Master_Table'!$P$11:$P$1186, B28), "-")</f>
        <v/>
      </c>
      <c r="K28" s="65">
        <f>IF(ISNUMBER(B28), INDEX('2_Selectable_Master_Table'!$Q$11:$Q$1186, B28), "-")</f>
        <v/>
      </c>
      <c r="L28" s="68">
        <f>IF(ISNUMBER(B28), INDEX('2_Selectable_Master_Table'!$R$11:$R$1186, B28), "-")</f>
        <v/>
      </c>
      <c r="M28" s="79">
        <f>IF(ISNUMBER(B28), INDEX('2_Selectable_Master_Table'!$S$11:$S$1186, B28), "-")</f>
        <v/>
      </c>
      <c r="N28" s="76">
        <f>IF(ISNUMBER(B28), INDEX('2_Selectable_Master_Table'!$U$11:$U$1186, B28), "-")</f>
        <v/>
      </c>
    </row>
    <row r="29" ht="19" customHeight="1">
      <c r="A29" s="80" t="inlineStr">
        <is>
          <t>30</t>
        </is>
      </c>
      <c r="B29" s="81">
        <f>IFERROR(MATCH($D$5&amp;"|"&amp;$D$6&amp;"|"&amp;A29, '2_Selectable_Master_Table'!$V$11:$V$1186, 0), "N/A")</f>
        <v/>
      </c>
      <c r="C29" s="82">
        <f>IF(ISNUMBER(B29), INDEX('2_Selectable_Master_Table'!$H$11:$H$1186, B29), "-")</f>
        <v/>
      </c>
      <c r="D29" s="83">
        <f>IF(ISNUMBER(B29), INDEX('2_Selectable_Master_Table'!$I$11:$I$1186, B29), "-")</f>
        <v/>
      </c>
      <c r="E29" s="82">
        <f>IF(ISNUMBER(B29), INDEX('2_Selectable_Master_Table'!$J$11:$J$1186, B29), "-")</f>
        <v/>
      </c>
      <c r="F29" s="82">
        <f>IF(ISNUMBER(B29), ROUND(C29-2*E29, 2), "-")</f>
        <v/>
      </c>
      <c r="G29" s="83">
        <f>IF(ISNUMBER(B29), INDEX('2_Selectable_Master_Table'!$K$11:$K$1186, B29), "-")</f>
        <v/>
      </c>
      <c r="H29" s="82">
        <f>IF(ISNUMBER(B29), INDEX('2_Selectable_Master_Table'!$L$11:$L$1186, B29), "-")</f>
        <v/>
      </c>
      <c r="I29" s="84">
        <f>IF(ISNUMBER(B29), INDEX('2_Selectable_Master_Table'!$O$11:$O$1186, B29), "-")</f>
        <v/>
      </c>
      <c r="J29" s="84">
        <f>IF(ISNUMBER(B29), INDEX('2_Selectable_Master_Table'!$P$11:$P$1186, B29), "-")</f>
        <v/>
      </c>
      <c r="K29" s="65">
        <f>IF(ISNUMBER(B29), INDEX('2_Selectable_Master_Table'!$Q$11:$Q$1186, B29), "-")</f>
        <v/>
      </c>
      <c r="L29" s="68">
        <f>IF(ISNUMBER(B29), INDEX('2_Selectable_Master_Table'!$R$11:$R$1186, B29), "-")</f>
        <v/>
      </c>
      <c r="M29" s="85">
        <f>IF(ISNUMBER(B29), INDEX('2_Selectable_Master_Table'!$S$11:$S$1186, B29), "-")</f>
        <v/>
      </c>
      <c r="N29" s="80">
        <f>IF(ISNUMBER(B29), INDEX('2_Selectable_Master_Table'!$U$11:$U$1186, B29), "-")</f>
        <v/>
      </c>
    </row>
    <row r="30" ht="19" customHeight="1">
      <c r="A30" s="76" t="inlineStr">
        <is>
          <t>40S</t>
        </is>
      </c>
      <c r="B30" s="77">
        <f>IFERROR(MATCH($D$5&amp;"|"&amp;$D$6&amp;"|"&amp;A30, '2_Selectable_Master_Table'!$V$11:$V$1186, 0), "N/A")</f>
        <v/>
      </c>
      <c r="C30" s="78">
        <f>IF(ISNUMBER(B30), INDEX('2_Selectable_Master_Table'!$H$11:$H$1186, B30), "-")</f>
        <v/>
      </c>
      <c r="D30" s="67">
        <f>IF(ISNUMBER(B30), INDEX('2_Selectable_Master_Table'!$I$11:$I$1186, B30), "-")</f>
        <v/>
      </c>
      <c r="E30" s="78">
        <f>IF(ISNUMBER(B30), INDEX('2_Selectable_Master_Table'!$J$11:$J$1186, B30), "-")</f>
        <v/>
      </c>
      <c r="F30" s="78">
        <f>IF(ISNUMBER(B30), ROUND(C30-2*E30, 2), "-")</f>
        <v/>
      </c>
      <c r="G30" s="67">
        <f>IF(ISNUMBER(B30), INDEX('2_Selectable_Master_Table'!$K$11:$K$1186, B30), "-")</f>
        <v/>
      </c>
      <c r="H30" s="78">
        <f>IF(ISNUMBER(B30), INDEX('2_Selectable_Master_Table'!$L$11:$L$1186, B30), "-")</f>
        <v/>
      </c>
      <c r="I30" s="59">
        <f>IF(ISNUMBER(B30), INDEX('2_Selectable_Master_Table'!$O$11:$O$1186, B30), "-")</f>
        <v/>
      </c>
      <c r="J30" s="59">
        <f>IF(ISNUMBER(B30), INDEX('2_Selectable_Master_Table'!$P$11:$P$1186, B30), "-")</f>
        <v/>
      </c>
      <c r="K30" s="65">
        <f>IF(ISNUMBER(B30), INDEX('2_Selectable_Master_Table'!$Q$11:$Q$1186, B30), "-")</f>
        <v/>
      </c>
      <c r="L30" s="68">
        <f>IF(ISNUMBER(B30), INDEX('2_Selectable_Master_Table'!$R$11:$R$1186, B30), "-")</f>
        <v/>
      </c>
      <c r="M30" s="79">
        <f>IF(ISNUMBER(B30), INDEX('2_Selectable_Master_Table'!$S$11:$S$1186, B30), "-")</f>
        <v/>
      </c>
      <c r="N30" s="76">
        <f>IF(ISNUMBER(B30), INDEX('2_Selectable_Master_Table'!$U$11:$U$1186, B30), "-")</f>
        <v/>
      </c>
    </row>
    <row r="31" ht="19" customHeight="1">
      <c r="A31" s="80" t="inlineStr">
        <is>
          <t>STD</t>
        </is>
      </c>
      <c r="B31" s="81">
        <f>IFERROR(MATCH($D$5&amp;"|"&amp;$D$6&amp;"|"&amp;A31, '2_Selectable_Master_Table'!$V$11:$V$1186, 0), "N/A")</f>
        <v/>
      </c>
      <c r="C31" s="82">
        <f>IF(ISNUMBER(B31), INDEX('2_Selectable_Master_Table'!$H$11:$H$1186, B31), "-")</f>
        <v/>
      </c>
      <c r="D31" s="83">
        <f>IF(ISNUMBER(B31), INDEX('2_Selectable_Master_Table'!$I$11:$I$1186, B31), "-")</f>
        <v/>
      </c>
      <c r="E31" s="82">
        <f>IF(ISNUMBER(B31), INDEX('2_Selectable_Master_Table'!$J$11:$J$1186, B31), "-")</f>
        <v/>
      </c>
      <c r="F31" s="82">
        <f>IF(ISNUMBER(B31), ROUND(C31-2*E31, 2), "-")</f>
        <v/>
      </c>
      <c r="G31" s="83">
        <f>IF(ISNUMBER(B31), INDEX('2_Selectable_Master_Table'!$K$11:$K$1186, B31), "-")</f>
        <v/>
      </c>
      <c r="H31" s="82">
        <f>IF(ISNUMBER(B31), INDEX('2_Selectable_Master_Table'!$L$11:$L$1186, B31), "-")</f>
        <v/>
      </c>
      <c r="I31" s="84">
        <f>IF(ISNUMBER(B31), INDEX('2_Selectable_Master_Table'!$O$11:$O$1186, B31), "-")</f>
        <v/>
      </c>
      <c r="J31" s="84">
        <f>IF(ISNUMBER(B31), INDEX('2_Selectable_Master_Table'!$P$11:$P$1186, B31), "-")</f>
        <v/>
      </c>
      <c r="K31" s="65">
        <f>IF(ISNUMBER(B31), INDEX('2_Selectable_Master_Table'!$Q$11:$Q$1186, B31), "-")</f>
        <v/>
      </c>
      <c r="L31" s="68">
        <f>IF(ISNUMBER(B31), INDEX('2_Selectable_Master_Table'!$R$11:$R$1186, B31), "-")</f>
        <v/>
      </c>
      <c r="M31" s="85">
        <f>IF(ISNUMBER(B31), INDEX('2_Selectable_Master_Table'!$S$11:$S$1186, B31), "-")</f>
        <v/>
      </c>
      <c r="N31" s="80">
        <f>IF(ISNUMBER(B31), INDEX('2_Selectable_Master_Table'!$U$11:$U$1186, B31), "-")</f>
        <v/>
      </c>
    </row>
    <row r="32" ht="19" customHeight="1">
      <c r="A32" s="76" t="inlineStr">
        <is>
          <t>40</t>
        </is>
      </c>
      <c r="B32" s="77">
        <f>IFERROR(MATCH($D$5&amp;"|"&amp;$D$6&amp;"|"&amp;A32, '2_Selectable_Master_Table'!$V$11:$V$1186, 0), "N/A")</f>
        <v/>
      </c>
      <c r="C32" s="78">
        <f>IF(ISNUMBER(B32), INDEX('2_Selectable_Master_Table'!$H$11:$H$1186, B32), "-")</f>
        <v/>
      </c>
      <c r="D32" s="67">
        <f>IF(ISNUMBER(B32), INDEX('2_Selectable_Master_Table'!$I$11:$I$1186, B32), "-")</f>
        <v/>
      </c>
      <c r="E32" s="78">
        <f>IF(ISNUMBER(B32), INDEX('2_Selectable_Master_Table'!$J$11:$J$1186, B32), "-")</f>
        <v/>
      </c>
      <c r="F32" s="78">
        <f>IF(ISNUMBER(B32), ROUND(C32-2*E32, 2), "-")</f>
        <v/>
      </c>
      <c r="G32" s="67">
        <f>IF(ISNUMBER(B32), INDEX('2_Selectable_Master_Table'!$K$11:$K$1186, B32), "-")</f>
        <v/>
      </c>
      <c r="H32" s="78">
        <f>IF(ISNUMBER(B32), INDEX('2_Selectable_Master_Table'!$L$11:$L$1186, B32), "-")</f>
        <v/>
      </c>
      <c r="I32" s="59">
        <f>IF(ISNUMBER(B32), INDEX('2_Selectable_Master_Table'!$O$11:$O$1186, B32), "-")</f>
        <v/>
      </c>
      <c r="J32" s="59">
        <f>IF(ISNUMBER(B32), INDEX('2_Selectable_Master_Table'!$P$11:$P$1186, B32), "-")</f>
        <v/>
      </c>
      <c r="K32" s="65">
        <f>IF(ISNUMBER(B32), INDEX('2_Selectable_Master_Table'!$Q$11:$Q$1186, B32), "-")</f>
        <v/>
      </c>
      <c r="L32" s="68">
        <f>IF(ISNUMBER(B32), INDEX('2_Selectable_Master_Table'!$R$11:$R$1186, B32), "-")</f>
        <v/>
      </c>
      <c r="M32" s="79">
        <f>IF(ISNUMBER(B32), INDEX('2_Selectable_Master_Table'!$S$11:$S$1186, B32), "-")</f>
        <v/>
      </c>
      <c r="N32" s="76">
        <f>IF(ISNUMBER(B32), INDEX('2_Selectable_Master_Table'!$U$11:$U$1186, B32), "-")</f>
        <v/>
      </c>
    </row>
    <row r="33" ht="19" customHeight="1">
      <c r="A33" s="80" t="inlineStr">
        <is>
          <t>60</t>
        </is>
      </c>
      <c r="B33" s="81">
        <f>IFERROR(MATCH($D$5&amp;"|"&amp;$D$6&amp;"|"&amp;A33, '2_Selectable_Master_Table'!$V$11:$V$1186, 0), "N/A")</f>
        <v/>
      </c>
      <c r="C33" s="82">
        <f>IF(ISNUMBER(B33), INDEX('2_Selectable_Master_Table'!$H$11:$H$1186, B33), "-")</f>
        <v/>
      </c>
      <c r="D33" s="83">
        <f>IF(ISNUMBER(B33), INDEX('2_Selectable_Master_Table'!$I$11:$I$1186, B33), "-")</f>
        <v/>
      </c>
      <c r="E33" s="82">
        <f>IF(ISNUMBER(B33), INDEX('2_Selectable_Master_Table'!$J$11:$J$1186, B33), "-")</f>
        <v/>
      </c>
      <c r="F33" s="82">
        <f>IF(ISNUMBER(B33), ROUND(C33-2*E33, 2), "-")</f>
        <v/>
      </c>
      <c r="G33" s="83">
        <f>IF(ISNUMBER(B33), INDEX('2_Selectable_Master_Table'!$K$11:$K$1186, B33), "-")</f>
        <v/>
      </c>
      <c r="H33" s="82">
        <f>IF(ISNUMBER(B33), INDEX('2_Selectable_Master_Table'!$L$11:$L$1186, B33), "-")</f>
        <v/>
      </c>
      <c r="I33" s="84">
        <f>IF(ISNUMBER(B33), INDEX('2_Selectable_Master_Table'!$O$11:$O$1186, B33), "-")</f>
        <v/>
      </c>
      <c r="J33" s="84">
        <f>IF(ISNUMBER(B33), INDEX('2_Selectable_Master_Table'!$P$11:$P$1186, B33), "-")</f>
        <v/>
      </c>
      <c r="K33" s="65">
        <f>IF(ISNUMBER(B33), INDEX('2_Selectable_Master_Table'!$Q$11:$Q$1186, B33), "-")</f>
        <v/>
      </c>
      <c r="L33" s="68">
        <f>IF(ISNUMBER(B33), INDEX('2_Selectable_Master_Table'!$R$11:$R$1186, B33), "-")</f>
        <v/>
      </c>
      <c r="M33" s="85">
        <f>IF(ISNUMBER(B33), INDEX('2_Selectable_Master_Table'!$S$11:$S$1186, B33), "-")</f>
        <v/>
      </c>
      <c r="N33" s="80">
        <f>IF(ISNUMBER(B33), INDEX('2_Selectable_Master_Table'!$U$11:$U$1186, B33), "-")</f>
        <v/>
      </c>
    </row>
    <row r="34" ht="19" customHeight="1">
      <c r="A34" s="76" t="inlineStr">
        <is>
          <t>80S</t>
        </is>
      </c>
      <c r="B34" s="77">
        <f>IFERROR(MATCH($D$5&amp;"|"&amp;$D$6&amp;"|"&amp;A34, '2_Selectable_Master_Table'!$V$11:$V$1186, 0), "N/A")</f>
        <v/>
      </c>
      <c r="C34" s="78">
        <f>IF(ISNUMBER(B34), INDEX('2_Selectable_Master_Table'!$H$11:$H$1186, B34), "-")</f>
        <v/>
      </c>
      <c r="D34" s="67">
        <f>IF(ISNUMBER(B34), INDEX('2_Selectable_Master_Table'!$I$11:$I$1186, B34), "-")</f>
        <v/>
      </c>
      <c r="E34" s="78">
        <f>IF(ISNUMBER(B34), INDEX('2_Selectable_Master_Table'!$J$11:$J$1186, B34), "-")</f>
        <v/>
      </c>
      <c r="F34" s="78">
        <f>IF(ISNUMBER(B34), ROUND(C34-2*E34, 2), "-")</f>
        <v/>
      </c>
      <c r="G34" s="67">
        <f>IF(ISNUMBER(B34), INDEX('2_Selectable_Master_Table'!$K$11:$K$1186, B34), "-")</f>
        <v/>
      </c>
      <c r="H34" s="78">
        <f>IF(ISNUMBER(B34), INDEX('2_Selectable_Master_Table'!$L$11:$L$1186, B34), "-")</f>
        <v/>
      </c>
      <c r="I34" s="59">
        <f>IF(ISNUMBER(B34), INDEX('2_Selectable_Master_Table'!$O$11:$O$1186, B34), "-")</f>
        <v/>
      </c>
      <c r="J34" s="59">
        <f>IF(ISNUMBER(B34), INDEX('2_Selectable_Master_Table'!$P$11:$P$1186, B34), "-")</f>
        <v/>
      </c>
      <c r="K34" s="65">
        <f>IF(ISNUMBER(B34), INDEX('2_Selectable_Master_Table'!$Q$11:$Q$1186, B34), "-")</f>
        <v/>
      </c>
      <c r="L34" s="68">
        <f>IF(ISNUMBER(B34), INDEX('2_Selectable_Master_Table'!$R$11:$R$1186, B34), "-")</f>
        <v/>
      </c>
      <c r="M34" s="79">
        <f>IF(ISNUMBER(B34), INDEX('2_Selectable_Master_Table'!$S$11:$S$1186, B34), "-")</f>
        <v/>
      </c>
      <c r="N34" s="76">
        <f>IF(ISNUMBER(B34), INDEX('2_Selectable_Master_Table'!$U$11:$U$1186, B34), "-")</f>
        <v/>
      </c>
    </row>
    <row r="35" ht="19" customHeight="1">
      <c r="A35" s="80" t="inlineStr">
        <is>
          <t>XS</t>
        </is>
      </c>
      <c r="B35" s="81">
        <f>IFERROR(MATCH($D$5&amp;"|"&amp;$D$6&amp;"|"&amp;A35, '2_Selectable_Master_Table'!$V$11:$V$1186, 0), "N/A")</f>
        <v/>
      </c>
      <c r="C35" s="82">
        <f>IF(ISNUMBER(B35), INDEX('2_Selectable_Master_Table'!$H$11:$H$1186, B35), "-")</f>
        <v/>
      </c>
      <c r="D35" s="83">
        <f>IF(ISNUMBER(B35), INDEX('2_Selectable_Master_Table'!$I$11:$I$1186, B35), "-")</f>
        <v/>
      </c>
      <c r="E35" s="82">
        <f>IF(ISNUMBER(B35), INDEX('2_Selectable_Master_Table'!$J$11:$J$1186, B35), "-")</f>
        <v/>
      </c>
      <c r="F35" s="82">
        <f>IF(ISNUMBER(B35), ROUND(C35-2*E35, 2), "-")</f>
        <v/>
      </c>
      <c r="G35" s="83">
        <f>IF(ISNUMBER(B35), INDEX('2_Selectable_Master_Table'!$K$11:$K$1186, B35), "-")</f>
        <v/>
      </c>
      <c r="H35" s="82">
        <f>IF(ISNUMBER(B35), INDEX('2_Selectable_Master_Table'!$L$11:$L$1186, B35), "-")</f>
        <v/>
      </c>
      <c r="I35" s="84">
        <f>IF(ISNUMBER(B35), INDEX('2_Selectable_Master_Table'!$O$11:$O$1186, B35), "-")</f>
        <v/>
      </c>
      <c r="J35" s="84">
        <f>IF(ISNUMBER(B35), INDEX('2_Selectable_Master_Table'!$P$11:$P$1186, B35), "-")</f>
        <v/>
      </c>
      <c r="K35" s="65">
        <f>IF(ISNUMBER(B35), INDEX('2_Selectable_Master_Table'!$Q$11:$Q$1186, B35), "-")</f>
        <v/>
      </c>
      <c r="L35" s="68">
        <f>IF(ISNUMBER(B35), INDEX('2_Selectable_Master_Table'!$R$11:$R$1186, B35), "-")</f>
        <v/>
      </c>
      <c r="M35" s="85">
        <f>IF(ISNUMBER(B35), INDEX('2_Selectable_Master_Table'!$S$11:$S$1186, B35), "-")</f>
        <v/>
      </c>
      <c r="N35" s="80">
        <f>IF(ISNUMBER(B35), INDEX('2_Selectable_Master_Table'!$U$11:$U$1186, B35), "-")</f>
        <v/>
      </c>
    </row>
    <row r="36" ht="19" customHeight="1">
      <c r="A36" s="76" t="inlineStr">
        <is>
          <t>80</t>
        </is>
      </c>
      <c r="B36" s="77">
        <f>IFERROR(MATCH($D$5&amp;"|"&amp;$D$6&amp;"|"&amp;A36, '2_Selectable_Master_Table'!$V$11:$V$1186, 0), "N/A")</f>
        <v/>
      </c>
      <c r="C36" s="78">
        <f>IF(ISNUMBER(B36), INDEX('2_Selectable_Master_Table'!$H$11:$H$1186, B36), "-")</f>
        <v/>
      </c>
      <c r="D36" s="67">
        <f>IF(ISNUMBER(B36), INDEX('2_Selectable_Master_Table'!$I$11:$I$1186, B36), "-")</f>
        <v/>
      </c>
      <c r="E36" s="78">
        <f>IF(ISNUMBER(B36), INDEX('2_Selectable_Master_Table'!$J$11:$J$1186, B36), "-")</f>
        <v/>
      </c>
      <c r="F36" s="78">
        <f>IF(ISNUMBER(B36), ROUND(C36-2*E36, 2), "-")</f>
        <v/>
      </c>
      <c r="G36" s="67">
        <f>IF(ISNUMBER(B36), INDEX('2_Selectable_Master_Table'!$K$11:$K$1186, B36), "-")</f>
        <v/>
      </c>
      <c r="H36" s="78">
        <f>IF(ISNUMBER(B36), INDEX('2_Selectable_Master_Table'!$L$11:$L$1186, B36), "-")</f>
        <v/>
      </c>
      <c r="I36" s="59">
        <f>IF(ISNUMBER(B36), INDEX('2_Selectable_Master_Table'!$O$11:$O$1186, B36), "-")</f>
        <v/>
      </c>
      <c r="J36" s="59">
        <f>IF(ISNUMBER(B36), INDEX('2_Selectable_Master_Table'!$P$11:$P$1186, B36), "-")</f>
        <v/>
      </c>
      <c r="K36" s="65">
        <f>IF(ISNUMBER(B36), INDEX('2_Selectable_Master_Table'!$Q$11:$Q$1186, B36), "-")</f>
        <v/>
      </c>
      <c r="L36" s="68">
        <f>IF(ISNUMBER(B36), INDEX('2_Selectable_Master_Table'!$R$11:$R$1186, B36), "-")</f>
        <v/>
      </c>
      <c r="M36" s="79">
        <f>IF(ISNUMBER(B36), INDEX('2_Selectable_Master_Table'!$S$11:$S$1186, B36), "-")</f>
        <v/>
      </c>
      <c r="N36" s="76">
        <f>IF(ISNUMBER(B36), INDEX('2_Selectable_Master_Table'!$U$11:$U$1186, B36), "-")</f>
        <v/>
      </c>
    </row>
    <row r="37" ht="19" customHeight="1">
      <c r="A37" s="80" t="inlineStr">
        <is>
          <t>100</t>
        </is>
      </c>
      <c r="B37" s="81">
        <f>IFERROR(MATCH($D$5&amp;"|"&amp;$D$6&amp;"|"&amp;A37, '2_Selectable_Master_Table'!$V$11:$V$1186, 0), "N/A")</f>
        <v/>
      </c>
      <c r="C37" s="82">
        <f>IF(ISNUMBER(B37), INDEX('2_Selectable_Master_Table'!$H$11:$H$1186, B37), "-")</f>
        <v/>
      </c>
      <c r="D37" s="83">
        <f>IF(ISNUMBER(B37), INDEX('2_Selectable_Master_Table'!$I$11:$I$1186, B37), "-")</f>
        <v/>
      </c>
      <c r="E37" s="82">
        <f>IF(ISNUMBER(B37), INDEX('2_Selectable_Master_Table'!$J$11:$J$1186, B37), "-")</f>
        <v/>
      </c>
      <c r="F37" s="82">
        <f>IF(ISNUMBER(B37), ROUND(C37-2*E37, 2), "-")</f>
        <v/>
      </c>
      <c r="G37" s="83">
        <f>IF(ISNUMBER(B37), INDEX('2_Selectable_Master_Table'!$K$11:$K$1186, B37), "-")</f>
        <v/>
      </c>
      <c r="H37" s="82">
        <f>IF(ISNUMBER(B37), INDEX('2_Selectable_Master_Table'!$L$11:$L$1186, B37), "-")</f>
        <v/>
      </c>
      <c r="I37" s="84">
        <f>IF(ISNUMBER(B37), INDEX('2_Selectable_Master_Table'!$O$11:$O$1186, B37), "-")</f>
        <v/>
      </c>
      <c r="J37" s="84">
        <f>IF(ISNUMBER(B37), INDEX('2_Selectable_Master_Table'!$P$11:$P$1186, B37), "-")</f>
        <v/>
      </c>
      <c r="K37" s="65">
        <f>IF(ISNUMBER(B37), INDEX('2_Selectable_Master_Table'!$Q$11:$Q$1186, B37), "-")</f>
        <v/>
      </c>
      <c r="L37" s="68">
        <f>IF(ISNUMBER(B37), INDEX('2_Selectable_Master_Table'!$R$11:$R$1186, B37), "-")</f>
        <v/>
      </c>
      <c r="M37" s="85">
        <f>IF(ISNUMBER(B37), INDEX('2_Selectable_Master_Table'!$S$11:$S$1186, B37), "-")</f>
        <v/>
      </c>
      <c r="N37" s="80">
        <f>IF(ISNUMBER(B37), INDEX('2_Selectable_Master_Table'!$U$11:$U$1186, B37), "-")</f>
        <v/>
      </c>
    </row>
    <row r="38" ht="19" customHeight="1">
      <c r="A38" s="76" t="inlineStr">
        <is>
          <t>120</t>
        </is>
      </c>
      <c r="B38" s="77">
        <f>IFERROR(MATCH($D$5&amp;"|"&amp;$D$6&amp;"|"&amp;A38, '2_Selectable_Master_Table'!$V$11:$V$1186, 0), "N/A")</f>
        <v/>
      </c>
      <c r="C38" s="78">
        <f>IF(ISNUMBER(B38), INDEX('2_Selectable_Master_Table'!$H$11:$H$1186, B38), "-")</f>
        <v/>
      </c>
      <c r="D38" s="67">
        <f>IF(ISNUMBER(B38), INDEX('2_Selectable_Master_Table'!$I$11:$I$1186, B38), "-")</f>
        <v/>
      </c>
      <c r="E38" s="78">
        <f>IF(ISNUMBER(B38), INDEX('2_Selectable_Master_Table'!$J$11:$J$1186, B38), "-")</f>
        <v/>
      </c>
      <c r="F38" s="78">
        <f>IF(ISNUMBER(B38), ROUND(C38-2*E38, 2), "-")</f>
        <v/>
      </c>
      <c r="G38" s="67">
        <f>IF(ISNUMBER(B38), INDEX('2_Selectable_Master_Table'!$K$11:$K$1186, B38), "-")</f>
        <v/>
      </c>
      <c r="H38" s="78">
        <f>IF(ISNUMBER(B38), INDEX('2_Selectable_Master_Table'!$L$11:$L$1186, B38), "-")</f>
        <v/>
      </c>
      <c r="I38" s="59">
        <f>IF(ISNUMBER(B38), INDEX('2_Selectable_Master_Table'!$O$11:$O$1186, B38), "-")</f>
        <v/>
      </c>
      <c r="J38" s="59">
        <f>IF(ISNUMBER(B38), INDEX('2_Selectable_Master_Table'!$P$11:$P$1186, B38), "-")</f>
        <v/>
      </c>
      <c r="K38" s="65">
        <f>IF(ISNUMBER(B38), INDEX('2_Selectable_Master_Table'!$Q$11:$Q$1186, B38), "-")</f>
        <v/>
      </c>
      <c r="L38" s="68">
        <f>IF(ISNUMBER(B38), INDEX('2_Selectable_Master_Table'!$R$11:$R$1186, B38), "-")</f>
        <v/>
      </c>
      <c r="M38" s="79">
        <f>IF(ISNUMBER(B38), INDEX('2_Selectable_Master_Table'!$S$11:$S$1186, B38), "-")</f>
        <v/>
      </c>
      <c r="N38" s="76">
        <f>IF(ISNUMBER(B38), INDEX('2_Selectable_Master_Table'!$U$11:$U$1186, B38), "-")</f>
        <v/>
      </c>
    </row>
    <row r="39" ht="19" customHeight="1">
      <c r="A39" s="80" t="inlineStr">
        <is>
          <t>140</t>
        </is>
      </c>
      <c r="B39" s="81">
        <f>IFERROR(MATCH($D$5&amp;"|"&amp;$D$6&amp;"|"&amp;A39, '2_Selectable_Master_Table'!$V$11:$V$1186, 0), "N/A")</f>
        <v/>
      </c>
      <c r="C39" s="82">
        <f>IF(ISNUMBER(B39), INDEX('2_Selectable_Master_Table'!$H$11:$H$1186, B39), "-")</f>
        <v/>
      </c>
      <c r="D39" s="83">
        <f>IF(ISNUMBER(B39), INDEX('2_Selectable_Master_Table'!$I$11:$I$1186, B39), "-")</f>
        <v/>
      </c>
      <c r="E39" s="82">
        <f>IF(ISNUMBER(B39), INDEX('2_Selectable_Master_Table'!$J$11:$J$1186, B39), "-")</f>
        <v/>
      </c>
      <c r="F39" s="82">
        <f>IF(ISNUMBER(B39), ROUND(C39-2*E39, 2), "-")</f>
        <v/>
      </c>
      <c r="G39" s="83">
        <f>IF(ISNUMBER(B39), INDEX('2_Selectable_Master_Table'!$K$11:$K$1186, B39), "-")</f>
        <v/>
      </c>
      <c r="H39" s="82">
        <f>IF(ISNUMBER(B39), INDEX('2_Selectable_Master_Table'!$L$11:$L$1186, B39), "-")</f>
        <v/>
      </c>
      <c r="I39" s="84">
        <f>IF(ISNUMBER(B39), INDEX('2_Selectable_Master_Table'!$O$11:$O$1186, B39), "-")</f>
        <v/>
      </c>
      <c r="J39" s="84">
        <f>IF(ISNUMBER(B39), INDEX('2_Selectable_Master_Table'!$P$11:$P$1186, B39), "-")</f>
        <v/>
      </c>
      <c r="K39" s="65">
        <f>IF(ISNUMBER(B39), INDEX('2_Selectable_Master_Table'!$Q$11:$Q$1186, B39), "-")</f>
        <v/>
      </c>
      <c r="L39" s="68">
        <f>IF(ISNUMBER(B39), INDEX('2_Selectable_Master_Table'!$R$11:$R$1186, B39), "-")</f>
        <v/>
      </c>
      <c r="M39" s="85">
        <f>IF(ISNUMBER(B39), INDEX('2_Selectable_Master_Table'!$S$11:$S$1186, B39), "-")</f>
        <v/>
      </c>
      <c r="N39" s="80">
        <f>IF(ISNUMBER(B39), INDEX('2_Selectable_Master_Table'!$U$11:$U$1186, B39), "-")</f>
        <v/>
      </c>
    </row>
    <row r="40" ht="19" customHeight="1">
      <c r="A40" s="76" t="inlineStr">
        <is>
          <t>160</t>
        </is>
      </c>
      <c r="B40" s="77">
        <f>IFERROR(MATCH($D$5&amp;"|"&amp;$D$6&amp;"|"&amp;A40, '2_Selectable_Master_Table'!$V$11:$V$1186, 0), "N/A")</f>
        <v/>
      </c>
      <c r="C40" s="78">
        <f>IF(ISNUMBER(B40), INDEX('2_Selectable_Master_Table'!$H$11:$H$1186, B40), "-")</f>
        <v/>
      </c>
      <c r="D40" s="67">
        <f>IF(ISNUMBER(B40), INDEX('2_Selectable_Master_Table'!$I$11:$I$1186, B40), "-")</f>
        <v/>
      </c>
      <c r="E40" s="78">
        <f>IF(ISNUMBER(B40), INDEX('2_Selectable_Master_Table'!$J$11:$J$1186, B40), "-")</f>
        <v/>
      </c>
      <c r="F40" s="78">
        <f>IF(ISNUMBER(B40), ROUND(C40-2*E40, 2), "-")</f>
        <v/>
      </c>
      <c r="G40" s="67">
        <f>IF(ISNUMBER(B40), INDEX('2_Selectable_Master_Table'!$K$11:$K$1186, B40), "-")</f>
        <v/>
      </c>
      <c r="H40" s="78">
        <f>IF(ISNUMBER(B40), INDEX('2_Selectable_Master_Table'!$L$11:$L$1186, B40), "-")</f>
        <v/>
      </c>
      <c r="I40" s="59">
        <f>IF(ISNUMBER(B40), INDEX('2_Selectable_Master_Table'!$O$11:$O$1186, B40), "-")</f>
        <v/>
      </c>
      <c r="J40" s="59">
        <f>IF(ISNUMBER(B40), INDEX('2_Selectable_Master_Table'!$P$11:$P$1186, B40), "-")</f>
        <v/>
      </c>
      <c r="K40" s="65">
        <f>IF(ISNUMBER(B40), INDEX('2_Selectable_Master_Table'!$Q$11:$Q$1186, B40), "-")</f>
        <v/>
      </c>
      <c r="L40" s="68">
        <f>IF(ISNUMBER(B40), INDEX('2_Selectable_Master_Table'!$R$11:$R$1186, B40), "-")</f>
        <v/>
      </c>
      <c r="M40" s="79">
        <f>IF(ISNUMBER(B40), INDEX('2_Selectable_Master_Table'!$S$11:$S$1186, B40), "-")</f>
        <v/>
      </c>
      <c r="N40" s="76">
        <f>IF(ISNUMBER(B40), INDEX('2_Selectable_Master_Table'!$U$11:$U$1186, B40), "-")</f>
        <v/>
      </c>
    </row>
    <row r="41" ht="19" customHeight="1">
      <c r="A41" s="80" t="inlineStr">
        <is>
          <t>XXS</t>
        </is>
      </c>
      <c r="B41" s="81">
        <f>IFERROR(MATCH($D$5&amp;"|"&amp;$D$6&amp;"|"&amp;A41, '2_Selectable_Master_Table'!$V$11:$V$1186, 0), "N/A")</f>
        <v/>
      </c>
      <c r="C41" s="82">
        <f>IF(ISNUMBER(B41), INDEX('2_Selectable_Master_Table'!$H$11:$H$1186, B41), "-")</f>
        <v/>
      </c>
      <c r="D41" s="83">
        <f>IF(ISNUMBER(B41), INDEX('2_Selectable_Master_Table'!$I$11:$I$1186, B41), "-")</f>
        <v/>
      </c>
      <c r="E41" s="82">
        <f>IF(ISNUMBER(B41), INDEX('2_Selectable_Master_Table'!$J$11:$J$1186, B41), "-")</f>
        <v/>
      </c>
      <c r="F41" s="82">
        <f>IF(ISNUMBER(B41), ROUND(C41-2*E41, 2), "-")</f>
        <v/>
      </c>
      <c r="G41" s="83">
        <f>IF(ISNUMBER(B41), INDEX('2_Selectable_Master_Table'!$K$11:$K$1186, B41), "-")</f>
        <v/>
      </c>
      <c r="H41" s="82">
        <f>IF(ISNUMBER(B41), INDEX('2_Selectable_Master_Table'!$L$11:$L$1186, B41), "-")</f>
        <v/>
      </c>
      <c r="I41" s="84">
        <f>IF(ISNUMBER(B41), INDEX('2_Selectable_Master_Table'!$O$11:$O$1186, B41), "-")</f>
        <v/>
      </c>
      <c r="J41" s="84">
        <f>IF(ISNUMBER(B41), INDEX('2_Selectable_Master_Table'!$P$11:$P$1186, B41), "-")</f>
        <v/>
      </c>
      <c r="K41" s="65">
        <f>IF(ISNUMBER(B41), INDEX('2_Selectable_Master_Table'!$Q$11:$Q$1186, B41), "-")</f>
        <v/>
      </c>
      <c r="L41" s="68">
        <f>IF(ISNUMBER(B41), INDEX('2_Selectable_Master_Table'!$R$11:$R$1186, B41), "-")</f>
        <v/>
      </c>
      <c r="M41" s="85">
        <f>IF(ISNUMBER(B41), INDEX('2_Selectable_Master_Table'!$S$11:$S$1186, B41), "-")</f>
        <v/>
      </c>
      <c r="N41" s="80">
        <f>IF(ISNUMBER(B41), INDEX('2_Selectable_Master_Table'!$U$11:$U$1186, B41), "-")</f>
        <v/>
      </c>
    </row>
  </sheetData>
  <mergeCells count="74">
    <mergeCell ref="K16:L16"/>
    <mergeCell ref="K18:L18"/>
    <mergeCell ref="G12:H12"/>
    <mergeCell ref="I15:J15"/>
    <mergeCell ref="G11:H11"/>
    <mergeCell ref="K15:L15"/>
    <mergeCell ref="A11:E11"/>
    <mergeCell ref="A18:C18"/>
    <mergeCell ref="I11:J11"/>
    <mergeCell ref="J4:L4"/>
    <mergeCell ref="A12:C12"/>
    <mergeCell ref="K10:N10"/>
    <mergeCell ref="G17:H17"/>
    <mergeCell ref="A1:N1"/>
    <mergeCell ref="D6:E6"/>
    <mergeCell ref="K11:L11"/>
    <mergeCell ref="M11:N11"/>
    <mergeCell ref="A5:C5"/>
    <mergeCell ref="I16:J16"/>
    <mergeCell ref="D13:E13"/>
    <mergeCell ref="A8:C8"/>
    <mergeCell ref="A14:C14"/>
    <mergeCell ref="A17:C17"/>
    <mergeCell ref="K13:L13"/>
    <mergeCell ref="G4:I4"/>
    <mergeCell ref="G13:H13"/>
    <mergeCell ref="G18:H18"/>
    <mergeCell ref="D17:E17"/>
    <mergeCell ref="I18:J18"/>
    <mergeCell ref="M13:N13"/>
    <mergeCell ref="G5:I7"/>
    <mergeCell ref="M16:N16"/>
    <mergeCell ref="M7:N7"/>
    <mergeCell ref="D16:E16"/>
    <mergeCell ref="A13:C13"/>
    <mergeCell ref="I12:J12"/>
    <mergeCell ref="D7:E7"/>
    <mergeCell ref="K12:L12"/>
    <mergeCell ref="M12:N12"/>
    <mergeCell ref="M15:N15"/>
    <mergeCell ref="G15:H15"/>
    <mergeCell ref="A2:N2"/>
    <mergeCell ref="A9:C9"/>
    <mergeCell ref="J8:L8"/>
    <mergeCell ref="G14:H14"/>
    <mergeCell ref="M18:N18"/>
    <mergeCell ref="D18:E18"/>
    <mergeCell ref="A15:C15"/>
    <mergeCell ref="M5:N6"/>
    <mergeCell ref="D9:E9"/>
    <mergeCell ref="I14:J14"/>
    <mergeCell ref="M8:N8"/>
    <mergeCell ref="K14:L14"/>
    <mergeCell ref="D12:E12"/>
    <mergeCell ref="G10:J10"/>
    <mergeCell ref="D8:E8"/>
    <mergeCell ref="I17:J17"/>
    <mergeCell ref="K17:L17"/>
    <mergeCell ref="M17:N17"/>
    <mergeCell ref="A4:E4"/>
    <mergeCell ref="J5:L7"/>
    <mergeCell ref="A22:N22"/>
    <mergeCell ref="D15:E15"/>
    <mergeCell ref="G16:H16"/>
    <mergeCell ref="A20:N20"/>
    <mergeCell ref="D5:E5"/>
    <mergeCell ref="A6:C6"/>
    <mergeCell ref="M14:N14"/>
    <mergeCell ref="G8:I8"/>
    <mergeCell ref="D14:E14"/>
    <mergeCell ref="I13:J13"/>
    <mergeCell ref="A7:C7"/>
    <mergeCell ref="M4:N4"/>
    <mergeCell ref="A16:C16"/>
  </mergeCells>
  <conditionalFormatting sqref="B24:B41">
    <cfRule type="cellIs" priority="1" operator="equal" dxfId="0">
      <formula>"N/A"</formula>
    </cfRule>
    <cfRule type="cellIs" priority="2" operator="greaterThan" dxfId="1">
      <formula>0</formula>
    </cfRule>
  </conditionalFormatting>
  <conditionalFormatting sqref="N24:N41">
    <cfRule type="cellIs" priority="3" operator="equal" dxfId="2">
      <formula>"Weight Limited"</formula>
    </cfRule>
    <cfRule type="cellIs" priority="4" operator="equal" dxfId="3">
      <formula>"Volume Limited"</formula>
    </cfRule>
  </conditionalFormatting>
  <dataValidations count="5">
    <dataValidation sqref="D5:E5" showDropDown="0" showInputMessage="0" showErrorMessage="0" allowBlank="0" type="list">
      <formula1>"Carbon Steel,Stainless Steel 304,Stainless Steel 316"</formula1>
    </dataValidation>
    <dataValidation sqref="D6:E6" showDropDown="0" showInputMessage="0" showErrorMessage="0" allowBlank="0" type="list">
      <formula1>"1/8'',1/4'',3/8'',1/2'',3/4'',1'',1-1/4'',1-1/2'',2'',2-1/2'',3'',3-1/2'',4'',5'',6'',8'',10'',12'',14'',16'',18'',20'',22'',24'',26'',28'',30'',32'',34'',36'',38'',40'',42'',44'',46'',48''"</formula1>
    </dataValidation>
    <dataValidation sqref="D7:E7" showDropDown="0" showInputMessage="0" showErrorMessage="0" allowBlank="0" type="list">
      <formula1>"5S,5,10S,10,20,30,40S,STD,40,60,80S,XS,80,100,120,140,160,XXS"</formula1>
    </dataValidation>
    <dataValidation sqref="D8:E8" showDropDown="0" showInputMessage="0" showErrorMessage="0" allowBlank="0" type="list">
      <formula1>"5.80,6.00,11.80,12.00"</formula1>
    </dataValidation>
    <dataValidation sqref="D16:E16" showDropDown="0" showInputMessage="0" showErrorMessage="0" allowBlank="0" type="list">
      <formula1>"Staggered (Hexagonal),Square Grid"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86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8" customWidth="1" min="18" max="18"/>
    <col width="13" customWidth="1" min="19" max="19"/>
    <col width="13" customWidth="1" min="20" max="20"/>
    <col width="18" customWidth="1" min="21" max="21"/>
    <col width="28" customWidth="1" min="22" max="22"/>
  </cols>
  <sheetData>
    <row r="1" ht="30" customHeight="1">
      <c r="A1" s="1" t="inlineStr">
        <is>
          <t>PRECISE PIPE — 40GP CONTAINER LOADING MASTER SELECTABLE TABLE (CORE CALCULATION ENGINE)</t>
        </is>
      </c>
    </row>
    <row r="2" ht="20" customHeight="1">
      <c r="A2" s="2" t="inlineStr">
        <is>
          <t>Core Calculation Engine (1,176 Combinations — 100% of Tab 3 Specs) | Container parameters (Rows 5-8) are synchronized with Tab 1. Col V provides the Lookup Key.</t>
        </is>
      </c>
    </row>
    <row r="4" ht="22" customHeight="1">
      <c r="A4" s="86" t="inlineStr">
        <is>
          <t>40GP CONTAINER DIMENSIONS &amp; WEIGHT LIMIT</t>
        </is>
      </c>
      <c r="E4" s="86" t="inlineStr">
        <is>
          <t>EFFECTIVE LOADING SPACE &amp; PIPE LENGTH (SYNCED WITH TAB 1)</t>
        </is>
      </c>
      <c r="I4" s="86" t="inlineStr">
        <is>
          <t>PACKING METHOD &amp; MATERIAL FACTORS (FROM TAB 3)</t>
        </is>
      </c>
    </row>
    <row r="5" ht="20" customHeight="1">
      <c r="A5" s="36" t="inlineStr">
        <is>
          <t>40GP Internal Length (m)</t>
        </is>
      </c>
      <c r="B5" s="37" t="n"/>
      <c r="C5" s="87">
        <f>'1_Container_Calculator'!D12</f>
        <v/>
      </c>
      <c r="D5" s="52" t="n"/>
      <c r="E5" s="36" t="inlineStr">
        <is>
          <t>Selected Pipe Length (m) [From Tab 1]</t>
        </is>
      </c>
      <c r="F5" s="37" t="n"/>
      <c r="G5" s="88">
        <f>'1_Container_Calculator'!D8</f>
        <v/>
      </c>
      <c r="H5" s="52" t="n"/>
      <c r="I5" s="36" t="inlineStr">
        <is>
          <t>Lengthwise Tiers in 40GP</t>
        </is>
      </c>
      <c r="J5" s="37" t="n"/>
      <c r="K5" s="89">
        <f>INT(C5/G5)</f>
        <v/>
      </c>
      <c r="L5" s="52" t="n"/>
    </row>
    <row r="6" ht="20" customHeight="1">
      <c r="A6" s="36" t="inlineStr">
        <is>
          <t>40GP Internal Width (mm)</t>
        </is>
      </c>
      <c r="B6" s="37" t="n"/>
      <c r="C6" s="54" t="n">
        <v>2352</v>
      </c>
      <c r="D6" s="52" t="n"/>
      <c r="E6" s="36" t="inlineStr">
        <is>
          <t>Effective Loading Width (mm) [From Tab 1]</t>
        </is>
      </c>
      <c r="F6" s="37" t="n"/>
      <c r="G6" s="54">
        <f>'1_Container_Calculator'!D13</f>
        <v/>
      </c>
      <c r="H6" s="52" t="n"/>
      <c r="I6" s="36" t="inlineStr">
        <is>
          <t>Cross-Section Stacking [From Tab 1]</t>
        </is>
      </c>
      <c r="J6" s="37" t="n"/>
      <c r="K6" s="90">
        <f>'1_Container_Calculator'!D16</f>
        <v/>
      </c>
      <c r="L6" s="52" t="n"/>
    </row>
    <row r="7" ht="20" customHeight="1">
      <c r="A7" s="36" t="inlineStr">
        <is>
          <t>40GP Internal Height (mm)</t>
        </is>
      </c>
      <c r="B7" s="37" t="n"/>
      <c r="C7" s="54" t="n">
        <v>2393</v>
      </c>
      <c r="D7" s="52" t="n"/>
      <c r="E7" s="36" t="inlineStr">
        <is>
          <t>Effective Loading Height (mm) [From Tab 1]</t>
        </is>
      </c>
      <c r="F7" s="37" t="n"/>
      <c r="G7" s="54">
        <f>'1_Container_Calculator'!D14</f>
        <v/>
      </c>
      <c r="H7" s="52" t="n"/>
      <c r="I7" s="36" t="inlineStr">
        <is>
          <t>Carbon Steel Factor C (kg/m)</t>
        </is>
      </c>
      <c r="J7" s="37" t="n"/>
      <c r="K7" s="91">
        <f>'3_ASME_Spec_DB'!D6</f>
        <v/>
      </c>
      <c r="L7" s="52" t="n"/>
    </row>
    <row r="8" ht="20" customHeight="1">
      <c r="A8" s="36" t="inlineStr">
        <is>
          <t>Max Container Payload (MT) [From Tab 1]</t>
        </is>
      </c>
      <c r="B8" s="37" t="n"/>
      <c r="C8" s="88">
        <f>'1_Container_Calculator'!D15</f>
        <v/>
      </c>
      <c r="D8" s="52" t="n"/>
      <c r="E8" s="36" t="inlineStr">
        <is>
          <t>Max Container Payload (kg)</t>
        </is>
      </c>
      <c r="F8" s="37" t="n"/>
      <c r="G8" s="54">
        <f>C8*1000</f>
        <v/>
      </c>
      <c r="H8" s="52" t="n"/>
      <c r="I8" s="36" t="inlineStr">
        <is>
          <t>SS304 / SS316 Factor C (kg/m)</t>
        </is>
      </c>
      <c r="J8" s="37" t="n"/>
      <c r="K8" s="91">
        <f>'3_ASME_Spec_DB'!D7</f>
        <v/>
      </c>
      <c r="L8" s="91">
        <f>'3_ASME_Spec_DB'!D8</f>
        <v/>
      </c>
    </row>
    <row r="10" ht="30" customHeight="1">
      <c r="A10" s="9" t="inlineStr">
        <is>
          <t>ID</t>
        </is>
      </c>
      <c r="B10" s="9" t="inlineStr">
        <is>
          <t>Material</t>
        </is>
      </c>
      <c r="C10" s="9" t="inlineStr">
        <is>
          <t>Standard</t>
        </is>
      </c>
      <c r="D10" s="9" t="inlineStr">
        <is>
          <t>NPS (in)</t>
        </is>
      </c>
      <c r="E10" s="9" t="inlineStr">
        <is>
          <t>DN (mm)</t>
        </is>
      </c>
      <c r="F10" s="9" t="inlineStr">
        <is>
          <t>Schedule</t>
        </is>
      </c>
      <c r="G10" s="9" t="inlineStr">
        <is>
          <t>OD (in)</t>
        </is>
      </c>
      <c r="H10" s="9" t="inlineStr">
        <is>
          <t>OD (mm)</t>
        </is>
      </c>
      <c r="I10" s="9" t="inlineStr">
        <is>
          <t>WT (in)</t>
        </is>
      </c>
      <c r="J10" s="9" t="inlineStr">
        <is>
          <t>WT (mm)</t>
        </is>
      </c>
      <c r="K10" s="11" t="inlineStr">
        <is>
          <t>Unit Weight
(kg/m)</t>
        </is>
      </c>
      <c r="L10" s="11" t="inlineStr">
        <is>
          <t>Piece Weight
(kg/pc)</t>
        </is>
      </c>
      <c r="M10" s="11" t="inlineStr">
        <is>
          <t>Horiz. Fit
(pcs/row)</t>
        </is>
      </c>
      <c r="N10" s="11" t="inlineStr">
        <is>
          <t>Vert. Layers
(rows)</t>
        </is>
      </c>
      <c r="O10" s="11" t="inlineStr">
        <is>
          <t>Max Pieces
by Volume</t>
        </is>
      </c>
      <c r="P10" s="11" t="inlineStr">
        <is>
          <t>Max Pieces
by Weight</t>
        </is>
      </c>
      <c r="Q10" s="74" t="inlineStr">
        <is>
          <t>40GP Actual
Pieces (pcs)</t>
        </is>
      </c>
      <c r="R10" s="74" t="inlineStr">
        <is>
          <t>40GP Actual
Metric Tons (MT)</t>
        </is>
      </c>
      <c r="S10" s="11" t="inlineStr">
        <is>
          <t>Payload
Util. (%)</t>
        </is>
      </c>
      <c r="T10" s="11" t="inlineStr">
        <is>
          <t>Space Slot
Util. (%)</t>
        </is>
      </c>
      <c r="U10" s="74" t="inlineStr">
        <is>
          <t>Limiting Factor
(Bottleneck)</t>
        </is>
      </c>
      <c r="V10" s="92" t="inlineStr">
        <is>
          <t>Lookup Key
(Material|NPS|Sch)</t>
        </is>
      </c>
    </row>
    <row r="11" ht="19" customHeight="1">
      <c r="A11" s="93" t="n">
        <v>1</v>
      </c>
      <c r="B11" s="94" t="inlineStr">
        <is>
          <t>Carbon Steel</t>
        </is>
      </c>
      <c r="C11" s="13" t="inlineStr">
        <is>
          <t>ASME B36.10M / B36.19M</t>
        </is>
      </c>
      <c r="D11" s="12" t="inlineStr">
        <is>
          <t>1/8''</t>
        </is>
      </c>
      <c r="E11" s="93" t="n">
        <v>6</v>
      </c>
      <c r="F11" s="12" t="inlineStr">
        <is>
          <t>10S</t>
        </is>
      </c>
      <c r="G11" s="14" t="n">
        <v>0.405</v>
      </c>
      <c r="H11" s="78" t="n">
        <v>10.29</v>
      </c>
      <c r="I11" s="14" t="n">
        <v>0.049</v>
      </c>
      <c r="J11" s="78" t="n">
        <v>1.24</v>
      </c>
      <c r="K11" s="14">
        <f>ROUND((H11-J11)*J11*IF(B11="Carbon Steel",$K$7,IF(B11="Stainless Steel 304",$K$8,$L$8)), 3)</f>
        <v/>
      </c>
      <c r="L11" s="78">
        <f>ROUND(K11*$G$5, 2)</f>
        <v/>
      </c>
      <c r="M11" s="93">
        <f>INT($G$6/H11)</f>
        <v/>
      </c>
      <c r="N11" s="93">
        <f>IF(M11=0, 0, IF(OR($K$6="Square Grid", M11=1), INT($G$7/H11), IF($G$7&lt;H11, 0, 1+INT(($G$7-H11)/(0.8660254*H11)))))</f>
        <v/>
      </c>
      <c r="O11" s="59">
        <f>IF(OR(M11=0,N11=0), 0, IF(OR($K$6="Square Grid", M11=1), M11*N11*$K$5, (INT((N11+1)/2)*M11 + INT(N11/2)*IF(($G$6-M11*H11)&gt;=0.5*H11, M11, M11-1))*$K$5))</f>
        <v/>
      </c>
      <c r="P11" s="59">
        <f>IF(L11&lt;=0, 0, INT($G$8/L11))</f>
        <v/>
      </c>
      <c r="Q11" s="95">
        <f>MIN(O11, P11)</f>
        <v/>
      </c>
      <c r="R11" s="96">
        <f>ROUND((Q11*L11)/1000, 2)</f>
        <v/>
      </c>
      <c r="S11" s="79">
        <f>IF($C$8&gt;0, R11/$C$8, 0)</f>
        <v/>
      </c>
      <c r="T11" s="79">
        <f>IF(O11&gt;0, Q11/O11, 0)</f>
        <v/>
      </c>
      <c r="U11" s="12">
        <f>IF(Q11=0, "Exceeds Limit", IF(P11&lt;=O11, "Weight Limited", "Volume Limited"))</f>
        <v/>
      </c>
      <c r="V11" s="97">
        <f>B11&amp;"|"&amp;D11&amp;"|"&amp;F11</f>
        <v/>
      </c>
    </row>
    <row r="12" ht="19" customHeight="1">
      <c r="A12" s="98" t="n">
        <v>2</v>
      </c>
      <c r="B12" s="99" t="inlineStr">
        <is>
          <t>Carbon Steel</t>
        </is>
      </c>
      <c r="C12" s="19" t="inlineStr">
        <is>
          <t>ASME B36.10M / B36.19M</t>
        </is>
      </c>
      <c r="D12" s="18" t="inlineStr">
        <is>
          <t>1/8''</t>
        </is>
      </c>
      <c r="E12" s="98" t="n">
        <v>6</v>
      </c>
      <c r="F12" s="18" t="inlineStr">
        <is>
          <t>10</t>
        </is>
      </c>
      <c r="G12" s="20" t="n">
        <v>0.405</v>
      </c>
      <c r="H12" s="82" t="n">
        <v>10.29</v>
      </c>
      <c r="I12" s="20" t="n">
        <v>0.049</v>
      </c>
      <c r="J12" s="82" t="n">
        <v>1.24</v>
      </c>
      <c r="K12" s="20">
        <f>ROUND((H12-J12)*J12*IF(B12="Carbon Steel",$K$7,IF(B12="Stainless Steel 304",$K$8,$L$8)), 3)</f>
        <v/>
      </c>
      <c r="L12" s="82">
        <f>ROUND(K12*$G$5, 2)</f>
        <v/>
      </c>
      <c r="M12" s="98">
        <f>INT($G$6/H12)</f>
        <v/>
      </c>
      <c r="N12" s="98">
        <f>IF(M12=0, 0, IF(OR($K$6="Square Grid", M12=1), INT($G$7/H12), IF($G$7&lt;H12, 0, 1+INT(($G$7-H12)/(0.8660254*H12)))))</f>
        <v/>
      </c>
      <c r="O12" s="84">
        <f>IF(OR(M12=0,N12=0), 0, IF(OR($K$6="Square Grid", M12=1), M12*N12*$K$5, (INT((N12+1)/2)*M12 + INT(N12/2)*IF(($G$6-M12*H12)&gt;=0.5*H12, M12, M12-1))*$K$5))</f>
        <v/>
      </c>
      <c r="P12" s="84">
        <f>IF(L12&lt;=0, 0, INT($G$8/L12))</f>
        <v/>
      </c>
      <c r="Q12" s="95">
        <f>MIN(O12, P12)</f>
        <v/>
      </c>
      <c r="R12" s="96">
        <f>ROUND((Q12*L12)/1000, 2)</f>
        <v/>
      </c>
      <c r="S12" s="85">
        <f>IF($C$8&gt;0, R12/$C$8, 0)</f>
        <v/>
      </c>
      <c r="T12" s="85">
        <f>IF(O12&gt;0, Q12/O12, 0)</f>
        <v/>
      </c>
      <c r="U12" s="18">
        <f>IF(Q12=0, "Exceeds Limit", IF(P12&lt;=O12, "Weight Limited", "Volume Limited"))</f>
        <v/>
      </c>
      <c r="V12" s="100">
        <f>B12&amp;"|"&amp;D12&amp;"|"&amp;F12</f>
        <v/>
      </c>
    </row>
    <row r="13" ht="19" customHeight="1">
      <c r="A13" s="93" t="n">
        <v>3</v>
      </c>
      <c r="B13" s="94" t="inlineStr">
        <is>
          <t>Carbon Steel</t>
        </is>
      </c>
      <c r="C13" s="13" t="inlineStr">
        <is>
          <t>ASME B36.10M / B36.19M</t>
        </is>
      </c>
      <c r="D13" s="12" t="inlineStr">
        <is>
          <t>1/8''</t>
        </is>
      </c>
      <c r="E13" s="93" t="n">
        <v>6</v>
      </c>
      <c r="F13" s="12" t="inlineStr">
        <is>
          <t>30</t>
        </is>
      </c>
      <c r="G13" s="14" t="n">
        <v>0.405</v>
      </c>
      <c r="H13" s="78" t="n">
        <v>10.29</v>
      </c>
      <c r="I13" s="14" t="n">
        <v>0.057</v>
      </c>
      <c r="J13" s="78" t="n">
        <v>1.45</v>
      </c>
      <c r="K13" s="14">
        <f>ROUND((H13-J13)*J13*IF(B13="Carbon Steel",$K$7,IF(B13="Stainless Steel 304",$K$8,$L$8)), 3)</f>
        <v/>
      </c>
      <c r="L13" s="78">
        <f>ROUND(K13*$G$5, 2)</f>
        <v/>
      </c>
      <c r="M13" s="93">
        <f>INT($G$6/H13)</f>
        <v/>
      </c>
      <c r="N13" s="93">
        <f>IF(M13=0, 0, IF(OR($K$6="Square Grid", M13=1), INT($G$7/H13), IF($G$7&lt;H13, 0, 1+INT(($G$7-H13)/(0.8660254*H13)))))</f>
        <v/>
      </c>
      <c r="O13" s="59">
        <f>IF(OR(M13=0,N13=0), 0, IF(OR($K$6="Square Grid", M13=1), M13*N13*$K$5, (INT((N13+1)/2)*M13 + INT(N13/2)*IF(($G$6-M13*H13)&gt;=0.5*H13, M13, M13-1))*$K$5))</f>
        <v/>
      </c>
      <c r="P13" s="59">
        <f>IF(L13&lt;=0, 0, INT($G$8/L13))</f>
        <v/>
      </c>
      <c r="Q13" s="95">
        <f>MIN(O13, P13)</f>
        <v/>
      </c>
      <c r="R13" s="96">
        <f>ROUND((Q13*L13)/1000, 2)</f>
        <v/>
      </c>
      <c r="S13" s="79">
        <f>IF($C$8&gt;0, R13/$C$8, 0)</f>
        <v/>
      </c>
      <c r="T13" s="79">
        <f>IF(O13&gt;0, Q13/O13, 0)</f>
        <v/>
      </c>
      <c r="U13" s="12">
        <f>IF(Q13=0, "Exceeds Limit", IF(P13&lt;=O13, "Weight Limited", "Volume Limited"))</f>
        <v/>
      </c>
      <c r="V13" s="97">
        <f>B13&amp;"|"&amp;D13&amp;"|"&amp;F13</f>
        <v/>
      </c>
    </row>
    <row r="14" ht="19" customHeight="1">
      <c r="A14" s="98" t="n">
        <v>4</v>
      </c>
      <c r="B14" s="99" t="inlineStr">
        <is>
          <t>Carbon Steel</t>
        </is>
      </c>
      <c r="C14" s="19" t="inlineStr">
        <is>
          <t>ASME B36.10M / B36.19M</t>
        </is>
      </c>
      <c r="D14" s="18" t="inlineStr">
        <is>
          <t>1/8''</t>
        </is>
      </c>
      <c r="E14" s="98" t="n">
        <v>6</v>
      </c>
      <c r="F14" s="18" t="inlineStr">
        <is>
          <t>40S</t>
        </is>
      </c>
      <c r="G14" s="20" t="n">
        <v>0.405</v>
      </c>
      <c r="H14" s="82" t="n">
        <v>10.29</v>
      </c>
      <c r="I14" s="20" t="n">
        <v>0.068</v>
      </c>
      <c r="J14" s="82" t="n">
        <v>1.73</v>
      </c>
      <c r="K14" s="20">
        <f>ROUND((H14-J14)*J14*IF(B14="Carbon Steel",$K$7,IF(B14="Stainless Steel 304",$K$8,$L$8)), 3)</f>
        <v/>
      </c>
      <c r="L14" s="82">
        <f>ROUND(K14*$G$5, 2)</f>
        <v/>
      </c>
      <c r="M14" s="98">
        <f>INT($G$6/H14)</f>
        <v/>
      </c>
      <c r="N14" s="98">
        <f>IF(M14=0, 0, IF(OR($K$6="Square Grid", M14=1), INT($G$7/H14), IF($G$7&lt;H14, 0, 1+INT(($G$7-H14)/(0.8660254*H14)))))</f>
        <v/>
      </c>
      <c r="O14" s="84">
        <f>IF(OR(M14=0,N14=0), 0, IF(OR($K$6="Square Grid", M14=1), M14*N14*$K$5, (INT((N14+1)/2)*M14 + INT(N14/2)*IF(($G$6-M14*H14)&gt;=0.5*H14, M14, M14-1))*$K$5))</f>
        <v/>
      </c>
      <c r="P14" s="84">
        <f>IF(L14&lt;=0, 0, INT($G$8/L14))</f>
        <v/>
      </c>
      <c r="Q14" s="95">
        <f>MIN(O14, P14)</f>
        <v/>
      </c>
      <c r="R14" s="96">
        <f>ROUND((Q14*L14)/1000, 2)</f>
        <v/>
      </c>
      <c r="S14" s="85">
        <f>IF($C$8&gt;0, R14/$C$8, 0)</f>
        <v/>
      </c>
      <c r="T14" s="85">
        <f>IF(O14&gt;0, Q14/O14, 0)</f>
        <v/>
      </c>
      <c r="U14" s="18">
        <f>IF(Q14=0, "Exceeds Limit", IF(P14&lt;=O14, "Weight Limited", "Volume Limited"))</f>
        <v/>
      </c>
      <c r="V14" s="100">
        <f>B14&amp;"|"&amp;D14&amp;"|"&amp;F14</f>
        <v/>
      </c>
    </row>
    <row r="15" ht="19" customHeight="1">
      <c r="A15" s="93" t="n">
        <v>5</v>
      </c>
      <c r="B15" s="94" t="inlineStr">
        <is>
          <t>Carbon Steel</t>
        </is>
      </c>
      <c r="C15" s="13" t="inlineStr">
        <is>
          <t>ASME B36.10M / B36.19M</t>
        </is>
      </c>
      <c r="D15" s="12" t="inlineStr">
        <is>
          <t>1/8''</t>
        </is>
      </c>
      <c r="E15" s="93" t="n">
        <v>6</v>
      </c>
      <c r="F15" s="12" t="inlineStr">
        <is>
          <t>STD</t>
        </is>
      </c>
      <c r="G15" s="14" t="n">
        <v>0.405</v>
      </c>
      <c r="H15" s="78" t="n">
        <v>10.29</v>
      </c>
      <c r="I15" s="14" t="n">
        <v>0.068</v>
      </c>
      <c r="J15" s="78" t="n">
        <v>1.73</v>
      </c>
      <c r="K15" s="14">
        <f>ROUND((H15-J15)*J15*IF(B15="Carbon Steel",$K$7,IF(B15="Stainless Steel 304",$K$8,$L$8)), 3)</f>
        <v/>
      </c>
      <c r="L15" s="78">
        <f>ROUND(K15*$G$5, 2)</f>
        <v/>
      </c>
      <c r="M15" s="93">
        <f>INT($G$6/H15)</f>
        <v/>
      </c>
      <c r="N15" s="93">
        <f>IF(M15=0, 0, IF(OR($K$6="Square Grid", M15=1), INT($G$7/H15), IF($G$7&lt;H15, 0, 1+INT(($G$7-H15)/(0.8660254*H15)))))</f>
        <v/>
      </c>
      <c r="O15" s="59">
        <f>IF(OR(M15=0,N15=0), 0, IF(OR($K$6="Square Grid", M15=1), M15*N15*$K$5, (INT((N15+1)/2)*M15 + INT(N15/2)*IF(($G$6-M15*H15)&gt;=0.5*H15, M15, M15-1))*$K$5))</f>
        <v/>
      </c>
      <c r="P15" s="59">
        <f>IF(L15&lt;=0, 0, INT($G$8/L15))</f>
        <v/>
      </c>
      <c r="Q15" s="95">
        <f>MIN(O15, P15)</f>
        <v/>
      </c>
      <c r="R15" s="96">
        <f>ROUND((Q15*L15)/1000, 2)</f>
        <v/>
      </c>
      <c r="S15" s="79">
        <f>IF($C$8&gt;0, R15/$C$8, 0)</f>
        <v/>
      </c>
      <c r="T15" s="79">
        <f>IF(O15&gt;0, Q15/O15, 0)</f>
        <v/>
      </c>
      <c r="U15" s="12">
        <f>IF(Q15=0, "Exceeds Limit", IF(P15&lt;=O15, "Weight Limited", "Volume Limited"))</f>
        <v/>
      </c>
      <c r="V15" s="97">
        <f>B15&amp;"|"&amp;D15&amp;"|"&amp;F15</f>
        <v/>
      </c>
    </row>
    <row r="16" ht="19" customHeight="1">
      <c r="A16" s="98" t="n">
        <v>6</v>
      </c>
      <c r="B16" s="99" t="inlineStr">
        <is>
          <t>Carbon Steel</t>
        </is>
      </c>
      <c r="C16" s="19" t="inlineStr">
        <is>
          <t>ASME B36.10M / B36.19M</t>
        </is>
      </c>
      <c r="D16" s="18" t="inlineStr">
        <is>
          <t>1/8''</t>
        </is>
      </c>
      <c r="E16" s="98" t="n">
        <v>6</v>
      </c>
      <c r="F16" s="18" t="inlineStr">
        <is>
          <t>40</t>
        </is>
      </c>
      <c r="G16" s="20" t="n">
        <v>0.405</v>
      </c>
      <c r="H16" s="82" t="n">
        <v>10.29</v>
      </c>
      <c r="I16" s="20" t="n">
        <v>0.068</v>
      </c>
      <c r="J16" s="82" t="n">
        <v>1.73</v>
      </c>
      <c r="K16" s="20">
        <f>ROUND((H16-J16)*J16*IF(B16="Carbon Steel",$K$7,IF(B16="Stainless Steel 304",$K$8,$L$8)), 3)</f>
        <v/>
      </c>
      <c r="L16" s="82">
        <f>ROUND(K16*$G$5, 2)</f>
        <v/>
      </c>
      <c r="M16" s="98">
        <f>INT($G$6/H16)</f>
        <v/>
      </c>
      <c r="N16" s="98">
        <f>IF(M16=0, 0, IF(OR($K$6="Square Grid", M16=1), INT($G$7/H16), IF($G$7&lt;H16, 0, 1+INT(($G$7-H16)/(0.8660254*H16)))))</f>
        <v/>
      </c>
      <c r="O16" s="84">
        <f>IF(OR(M16=0,N16=0), 0, IF(OR($K$6="Square Grid", M16=1), M16*N16*$K$5, (INT((N16+1)/2)*M16 + INT(N16/2)*IF(($G$6-M16*H16)&gt;=0.5*H16, M16, M16-1))*$K$5))</f>
        <v/>
      </c>
      <c r="P16" s="84">
        <f>IF(L16&lt;=0, 0, INT($G$8/L16))</f>
        <v/>
      </c>
      <c r="Q16" s="95">
        <f>MIN(O16, P16)</f>
        <v/>
      </c>
      <c r="R16" s="96">
        <f>ROUND((Q16*L16)/1000, 2)</f>
        <v/>
      </c>
      <c r="S16" s="85">
        <f>IF($C$8&gt;0, R16/$C$8, 0)</f>
        <v/>
      </c>
      <c r="T16" s="85">
        <f>IF(O16&gt;0, Q16/O16, 0)</f>
        <v/>
      </c>
      <c r="U16" s="18">
        <f>IF(Q16=0, "Exceeds Limit", IF(P16&lt;=O16, "Weight Limited", "Volume Limited"))</f>
        <v/>
      </c>
      <c r="V16" s="100">
        <f>B16&amp;"|"&amp;D16&amp;"|"&amp;F16</f>
        <v/>
      </c>
    </row>
    <row r="17" ht="19" customHeight="1">
      <c r="A17" s="93" t="n">
        <v>7</v>
      </c>
      <c r="B17" s="94" t="inlineStr">
        <is>
          <t>Carbon Steel</t>
        </is>
      </c>
      <c r="C17" s="13" t="inlineStr">
        <is>
          <t>ASME B36.10M / B36.19M</t>
        </is>
      </c>
      <c r="D17" s="12" t="inlineStr">
        <is>
          <t>1/8''</t>
        </is>
      </c>
      <c r="E17" s="93" t="n">
        <v>6</v>
      </c>
      <c r="F17" s="12" t="inlineStr">
        <is>
          <t>80S</t>
        </is>
      </c>
      <c r="G17" s="14" t="n">
        <v>0.405</v>
      </c>
      <c r="H17" s="78" t="n">
        <v>10.29</v>
      </c>
      <c r="I17" s="14" t="n">
        <v>0.095</v>
      </c>
      <c r="J17" s="78" t="n">
        <v>2.41</v>
      </c>
      <c r="K17" s="14">
        <f>ROUND((H17-J17)*J17*IF(B17="Carbon Steel",$K$7,IF(B17="Stainless Steel 304",$K$8,$L$8)), 3)</f>
        <v/>
      </c>
      <c r="L17" s="78">
        <f>ROUND(K17*$G$5, 2)</f>
        <v/>
      </c>
      <c r="M17" s="93">
        <f>INT($G$6/H17)</f>
        <v/>
      </c>
      <c r="N17" s="93">
        <f>IF(M17=0, 0, IF(OR($K$6="Square Grid", M17=1), INT($G$7/H17), IF($G$7&lt;H17, 0, 1+INT(($G$7-H17)/(0.8660254*H17)))))</f>
        <v/>
      </c>
      <c r="O17" s="59">
        <f>IF(OR(M17=0,N17=0), 0, IF(OR($K$6="Square Grid", M17=1), M17*N17*$K$5, (INT((N17+1)/2)*M17 + INT(N17/2)*IF(($G$6-M17*H17)&gt;=0.5*H17, M17, M17-1))*$K$5))</f>
        <v/>
      </c>
      <c r="P17" s="59">
        <f>IF(L17&lt;=0, 0, INT($G$8/L17))</f>
        <v/>
      </c>
      <c r="Q17" s="95">
        <f>MIN(O17, P17)</f>
        <v/>
      </c>
      <c r="R17" s="96">
        <f>ROUND((Q17*L17)/1000, 2)</f>
        <v/>
      </c>
      <c r="S17" s="79">
        <f>IF($C$8&gt;0, R17/$C$8, 0)</f>
        <v/>
      </c>
      <c r="T17" s="79">
        <f>IF(O17&gt;0, Q17/O17, 0)</f>
        <v/>
      </c>
      <c r="U17" s="12">
        <f>IF(Q17=0, "Exceeds Limit", IF(P17&lt;=O17, "Weight Limited", "Volume Limited"))</f>
        <v/>
      </c>
      <c r="V17" s="97">
        <f>B17&amp;"|"&amp;D17&amp;"|"&amp;F17</f>
        <v/>
      </c>
    </row>
    <row r="18" ht="19" customHeight="1">
      <c r="A18" s="98" t="n">
        <v>8</v>
      </c>
      <c r="B18" s="99" t="inlineStr">
        <is>
          <t>Carbon Steel</t>
        </is>
      </c>
      <c r="C18" s="19" t="inlineStr">
        <is>
          <t>ASME B36.10M / B36.19M</t>
        </is>
      </c>
      <c r="D18" s="18" t="inlineStr">
        <is>
          <t>1/8''</t>
        </is>
      </c>
      <c r="E18" s="98" t="n">
        <v>6</v>
      </c>
      <c r="F18" s="18" t="inlineStr">
        <is>
          <t>XS</t>
        </is>
      </c>
      <c r="G18" s="20" t="n">
        <v>0.405</v>
      </c>
      <c r="H18" s="82" t="n">
        <v>10.29</v>
      </c>
      <c r="I18" s="20" t="n">
        <v>0.095</v>
      </c>
      <c r="J18" s="82" t="n">
        <v>2.41</v>
      </c>
      <c r="K18" s="20">
        <f>ROUND((H18-J18)*J18*IF(B18="Carbon Steel",$K$7,IF(B18="Stainless Steel 304",$K$8,$L$8)), 3)</f>
        <v/>
      </c>
      <c r="L18" s="82">
        <f>ROUND(K18*$G$5, 2)</f>
        <v/>
      </c>
      <c r="M18" s="98">
        <f>INT($G$6/H18)</f>
        <v/>
      </c>
      <c r="N18" s="98">
        <f>IF(M18=0, 0, IF(OR($K$6="Square Grid", M18=1), INT($G$7/H18), IF($G$7&lt;H18, 0, 1+INT(($G$7-H18)/(0.8660254*H18)))))</f>
        <v/>
      </c>
      <c r="O18" s="84">
        <f>IF(OR(M18=0,N18=0), 0, IF(OR($K$6="Square Grid", M18=1), M18*N18*$K$5, (INT((N18+1)/2)*M18 + INT(N18/2)*IF(($G$6-M18*H18)&gt;=0.5*H18, M18, M18-1))*$K$5))</f>
        <v/>
      </c>
      <c r="P18" s="84">
        <f>IF(L18&lt;=0, 0, INT($G$8/L18))</f>
        <v/>
      </c>
      <c r="Q18" s="95">
        <f>MIN(O18, P18)</f>
        <v/>
      </c>
      <c r="R18" s="96">
        <f>ROUND((Q18*L18)/1000, 2)</f>
        <v/>
      </c>
      <c r="S18" s="85">
        <f>IF($C$8&gt;0, R18/$C$8, 0)</f>
        <v/>
      </c>
      <c r="T18" s="85">
        <f>IF(O18&gt;0, Q18/O18, 0)</f>
        <v/>
      </c>
      <c r="U18" s="18">
        <f>IF(Q18=0, "Exceeds Limit", IF(P18&lt;=O18, "Weight Limited", "Volume Limited"))</f>
        <v/>
      </c>
      <c r="V18" s="100">
        <f>B18&amp;"|"&amp;D18&amp;"|"&amp;F18</f>
        <v/>
      </c>
    </row>
    <row r="19" ht="19" customHeight="1">
      <c r="A19" s="93" t="n">
        <v>9</v>
      </c>
      <c r="B19" s="94" t="inlineStr">
        <is>
          <t>Carbon Steel</t>
        </is>
      </c>
      <c r="C19" s="13" t="inlineStr">
        <is>
          <t>ASME B36.10M / B36.19M</t>
        </is>
      </c>
      <c r="D19" s="12" t="inlineStr">
        <is>
          <t>1/8''</t>
        </is>
      </c>
      <c r="E19" s="93" t="n">
        <v>6</v>
      </c>
      <c r="F19" s="12" t="inlineStr">
        <is>
          <t>80</t>
        </is>
      </c>
      <c r="G19" s="14" t="n">
        <v>0.405</v>
      </c>
      <c r="H19" s="78" t="n">
        <v>10.29</v>
      </c>
      <c r="I19" s="14" t="n">
        <v>0.095</v>
      </c>
      <c r="J19" s="78" t="n">
        <v>2.41</v>
      </c>
      <c r="K19" s="14">
        <f>ROUND((H19-J19)*J19*IF(B19="Carbon Steel",$K$7,IF(B19="Stainless Steel 304",$K$8,$L$8)), 3)</f>
        <v/>
      </c>
      <c r="L19" s="78">
        <f>ROUND(K19*$G$5, 2)</f>
        <v/>
      </c>
      <c r="M19" s="93">
        <f>INT($G$6/H19)</f>
        <v/>
      </c>
      <c r="N19" s="93">
        <f>IF(M19=0, 0, IF(OR($K$6="Square Grid", M19=1), INT($G$7/H19), IF($G$7&lt;H19, 0, 1+INT(($G$7-H19)/(0.8660254*H19)))))</f>
        <v/>
      </c>
      <c r="O19" s="59">
        <f>IF(OR(M19=0,N19=0), 0, IF(OR($K$6="Square Grid", M19=1), M19*N19*$K$5, (INT((N19+1)/2)*M19 + INT(N19/2)*IF(($G$6-M19*H19)&gt;=0.5*H19, M19, M19-1))*$K$5))</f>
        <v/>
      </c>
      <c r="P19" s="59">
        <f>IF(L19&lt;=0, 0, INT($G$8/L19))</f>
        <v/>
      </c>
      <c r="Q19" s="95">
        <f>MIN(O19, P19)</f>
        <v/>
      </c>
      <c r="R19" s="96">
        <f>ROUND((Q19*L19)/1000, 2)</f>
        <v/>
      </c>
      <c r="S19" s="79">
        <f>IF($C$8&gt;0, R19/$C$8, 0)</f>
        <v/>
      </c>
      <c r="T19" s="79">
        <f>IF(O19&gt;0, Q19/O19, 0)</f>
        <v/>
      </c>
      <c r="U19" s="12">
        <f>IF(Q19=0, "Exceeds Limit", IF(P19&lt;=O19, "Weight Limited", "Volume Limited"))</f>
        <v/>
      </c>
      <c r="V19" s="97">
        <f>B19&amp;"|"&amp;D19&amp;"|"&amp;F19</f>
        <v/>
      </c>
    </row>
    <row r="20" ht="19" customHeight="1">
      <c r="A20" s="98" t="n">
        <v>10</v>
      </c>
      <c r="B20" s="99" t="inlineStr">
        <is>
          <t>Carbon Steel</t>
        </is>
      </c>
      <c r="C20" s="19" t="inlineStr">
        <is>
          <t>ASME B36.10M / B36.19M</t>
        </is>
      </c>
      <c r="D20" s="18" t="inlineStr">
        <is>
          <t>1/4''</t>
        </is>
      </c>
      <c r="E20" s="98" t="n">
        <v>8</v>
      </c>
      <c r="F20" s="18" t="inlineStr">
        <is>
          <t>10S</t>
        </is>
      </c>
      <c r="G20" s="20" t="n">
        <v>0.54</v>
      </c>
      <c r="H20" s="82" t="n">
        <v>13.72</v>
      </c>
      <c r="I20" s="20" t="n">
        <v>0.065</v>
      </c>
      <c r="J20" s="82" t="n">
        <v>1.65</v>
      </c>
      <c r="K20" s="20">
        <f>ROUND((H20-J20)*J20*IF(B20="Carbon Steel",$K$7,IF(B20="Stainless Steel 304",$K$8,$L$8)), 3)</f>
        <v/>
      </c>
      <c r="L20" s="82">
        <f>ROUND(K20*$G$5, 2)</f>
        <v/>
      </c>
      <c r="M20" s="98">
        <f>INT($G$6/H20)</f>
        <v/>
      </c>
      <c r="N20" s="98">
        <f>IF(M20=0, 0, IF(OR($K$6="Square Grid", M20=1), INT($G$7/H20), IF($G$7&lt;H20, 0, 1+INT(($G$7-H20)/(0.8660254*H20)))))</f>
        <v/>
      </c>
      <c r="O20" s="84">
        <f>IF(OR(M20=0,N20=0), 0, IF(OR($K$6="Square Grid", M20=1), M20*N20*$K$5, (INT((N20+1)/2)*M20 + INT(N20/2)*IF(($G$6-M20*H20)&gt;=0.5*H20, M20, M20-1))*$K$5))</f>
        <v/>
      </c>
      <c r="P20" s="84">
        <f>IF(L20&lt;=0, 0, INT($G$8/L20))</f>
        <v/>
      </c>
      <c r="Q20" s="95">
        <f>MIN(O20, P20)</f>
        <v/>
      </c>
      <c r="R20" s="96">
        <f>ROUND((Q20*L20)/1000, 2)</f>
        <v/>
      </c>
      <c r="S20" s="85">
        <f>IF($C$8&gt;0, R20/$C$8, 0)</f>
        <v/>
      </c>
      <c r="T20" s="85">
        <f>IF(O20&gt;0, Q20/O20, 0)</f>
        <v/>
      </c>
      <c r="U20" s="18">
        <f>IF(Q20=0, "Exceeds Limit", IF(P20&lt;=O20, "Weight Limited", "Volume Limited"))</f>
        <v/>
      </c>
      <c r="V20" s="100">
        <f>B20&amp;"|"&amp;D20&amp;"|"&amp;F20</f>
        <v/>
      </c>
    </row>
    <row r="21" ht="19" customHeight="1">
      <c r="A21" s="93" t="n">
        <v>11</v>
      </c>
      <c r="B21" s="94" t="inlineStr">
        <is>
          <t>Carbon Steel</t>
        </is>
      </c>
      <c r="C21" s="13" t="inlineStr">
        <is>
          <t>ASME B36.10M / B36.19M</t>
        </is>
      </c>
      <c r="D21" s="12" t="inlineStr">
        <is>
          <t>1/4''</t>
        </is>
      </c>
      <c r="E21" s="93" t="n">
        <v>8</v>
      </c>
      <c r="F21" s="12" t="inlineStr">
        <is>
          <t>10</t>
        </is>
      </c>
      <c r="G21" s="14" t="n">
        <v>0.54</v>
      </c>
      <c r="H21" s="78" t="n">
        <v>13.72</v>
      </c>
      <c r="I21" s="14" t="n">
        <v>0.065</v>
      </c>
      <c r="J21" s="78" t="n">
        <v>1.65</v>
      </c>
      <c r="K21" s="14">
        <f>ROUND((H21-J21)*J21*IF(B21="Carbon Steel",$K$7,IF(B21="Stainless Steel 304",$K$8,$L$8)), 3)</f>
        <v/>
      </c>
      <c r="L21" s="78">
        <f>ROUND(K21*$G$5, 2)</f>
        <v/>
      </c>
      <c r="M21" s="93">
        <f>INT($G$6/H21)</f>
        <v/>
      </c>
      <c r="N21" s="93">
        <f>IF(M21=0, 0, IF(OR($K$6="Square Grid", M21=1), INT($G$7/H21), IF($G$7&lt;H21, 0, 1+INT(($G$7-H21)/(0.8660254*H21)))))</f>
        <v/>
      </c>
      <c r="O21" s="59">
        <f>IF(OR(M21=0,N21=0), 0, IF(OR($K$6="Square Grid", M21=1), M21*N21*$K$5, (INT((N21+1)/2)*M21 + INT(N21/2)*IF(($G$6-M21*H21)&gt;=0.5*H21, M21, M21-1))*$K$5))</f>
        <v/>
      </c>
      <c r="P21" s="59">
        <f>IF(L21&lt;=0, 0, INT($G$8/L21))</f>
        <v/>
      </c>
      <c r="Q21" s="95">
        <f>MIN(O21, P21)</f>
        <v/>
      </c>
      <c r="R21" s="96">
        <f>ROUND((Q21*L21)/1000, 2)</f>
        <v/>
      </c>
      <c r="S21" s="79">
        <f>IF($C$8&gt;0, R21/$C$8, 0)</f>
        <v/>
      </c>
      <c r="T21" s="79">
        <f>IF(O21&gt;0, Q21/O21, 0)</f>
        <v/>
      </c>
      <c r="U21" s="12">
        <f>IF(Q21=0, "Exceeds Limit", IF(P21&lt;=O21, "Weight Limited", "Volume Limited"))</f>
        <v/>
      </c>
      <c r="V21" s="97">
        <f>B21&amp;"|"&amp;D21&amp;"|"&amp;F21</f>
        <v/>
      </c>
    </row>
    <row r="22" ht="19" customHeight="1">
      <c r="A22" s="98" t="n">
        <v>12</v>
      </c>
      <c r="B22" s="99" t="inlineStr">
        <is>
          <t>Carbon Steel</t>
        </is>
      </c>
      <c r="C22" s="19" t="inlineStr">
        <is>
          <t>ASME B36.10M / B36.19M</t>
        </is>
      </c>
      <c r="D22" s="18" t="inlineStr">
        <is>
          <t>1/4''</t>
        </is>
      </c>
      <c r="E22" s="98" t="n">
        <v>8</v>
      </c>
      <c r="F22" s="18" t="inlineStr">
        <is>
          <t>30</t>
        </is>
      </c>
      <c r="G22" s="20" t="n">
        <v>0.54</v>
      </c>
      <c r="H22" s="82" t="n">
        <v>13.72</v>
      </c>
      <c r="I22" s="20" t="n">
        <v>0.073</v>
      </c>
      <c r="J22" s="82" t="n">
        <v>1.85</v>
      </c>
      <c r="K22" s="20">
        <f>ROUND((H22-J22)*J22*IF(B22="Carbon Steel",$K$7,IF(B22="Stainless Steel 304",$K$8,$L$8)), 3)</f>
        <v/>
      </c>
      <c r="L22" s="82">
        <f>ROUND(K22*$G$5, 2)</f>
        <v/>
      </c>
      <c r="M22" s="98">
        <f>INT($G$6/H22)</f>
        <v/>
      </c>
      <c r="N22" s="98">
        <f>IF(M22=0, 0, IF(OR($K$6="Square Grid", M22=1), INT($G$7/H22), IF($G$7&lt;H22, 0, 1+INT(($G$7-H22)/(0.8660254*H22)))))</f>
        <v/>
      </c>
      <c r="O22" s="84">
        <f>IF(OR(M22=0,N22=0), 0, IF(OR($K$6="Square Grid", M22=1), M22*N22*$K$5, (INT((N22+1)/2)*M22 + INT(N22/2)*IF(($G$6-M22*H22)&gt;=0.5*H22, M22, M22-1))*$K$5))</f>
        <v/>
      </c>
      <c r="P22" s="84">
        <f>IF(L22&lt;=0, 0, INT($G$8/L22))</f>
        <v/>
      </c>
      <c r="Q22" s="95">
        <f>MIN(O22, P22)</f>
        <v/>
      </c>
      <c r="R22" s="96">
        <f>ROUND((Q22*L22)/1000, 2)</f>
        <v/>
      </c>
      <c r="S22" s="85">
        <f>IF($C$8&gt;0, R22/$C$8, 0)</f>
        <v/>
      </c>
      <c r="T22" s="85">
        <f>IF(O22&gt;0, Q22/O22, 0)</f>
        <v/>
      </c>
      <c r="U22" s="18">
        <f>IF(Q22=0, "Exceeds Limit", IF(P22&lt;=O22, "Weight Limited", "Volume Limited"))</f>
        <v/>
      </c>
      <c r="V22" s="100">
        <f>B22&amp;"|"&amp;D22&amp;"|"&amp;F22</f>
        <v/>
      </c>
    </row>
    <row r="23" ht="19" customHeight="1">
      <c r="A23" s="93" t="n">
        <v>13</v>
      </c>
      <c r="B23" s="94" t="inlineStr">
        <is>
          <t>Carbon Steel</t>
        </is>
      </c>
      <c r="C23" s="13" t="inlineStr">
        <is>
          <t>ASME B36.10M / B36.19M</t>
        </is>
      </c>
      <c r="D23" s="12" t="inlineStr">
        <is>
          <t>1/4''</t>
        </is>
      </c>
      <c r="E23" s="93" t="n">
        <v>8</v>
      </c>
      <c r="F23" s="12" t="inlineStr">
        <is>
          <t>40S</t>
        </is>
      </c>
      <c r="G23" s="14" t="n">
        <v>0.54</v>
      </c>
      <c r="H23" s="78" t="n">
        <v>13.72</v>
      </c>
      <c r="I23" s="14" t="n">
        <v>0.08799999999999999</v>
      </c>
      <c r="J23" s="78" t="n">
        <v>2.24</v>
      </c>
      <c r="K23" s="14">
        <f>ROUND((H23-J23)*J23*IF(B23="Carbon Steel",$K$7,IF(B23="Stainless Steel 304",$K$8,$L$8)), 3)</f>
        <v/>
      </c>
      <c r="L23" s="78">
        <f>ROUND(K23*$G$5, 2)</f>
        <v/>
      </c>
      <c r="M23" s="93">
        <f>INT($G$6/H23)</f>
        <v/>
      </c>
      <c r="N23" s="93">
        <f>IF(M23=0, 0, IF(OR($K$6="Square Grid", M23=1), INT($G$7/H23), IF($G$7&lt;H23, 0, 1+INT(($G$7-H23)/(0.8660254*H23)))))</f>
        <v/>
      </c>
      <c r="O23" s="59">
        <f>IF(OR(M23=0,N23=0), 0, IF(OR($K$6="Square Grid", M23=1), M23*N23*$K$5, (INT((N23+1)/2)*M23 + INT(N23/2)*IF(($G$6-M23*H23)&gt;=0.5*H23, M23, M23-1))*$K$5))</f>
        <v/>
      </c>
      <c r="P23" s="59">
        <f>IF(L23&lt;=0, 0, INT($G$8/L23))</f>
        <v/>
      </c>
      <c r="Q23" s="95">
        <f>MIN(O23, P23)</f>
        <v/>
      </c>
      <c r="R23" s="96">
        <f>ROUND((Q23*L23)/1000, 2)</f>
        <v/>
      </c>
      <c r="S23" s="79">
        <f>IF($C$8&gt;0, R23/$C$8, 0)</f>
        <v/>
      </c>
      <c r="T23" s="79">
        <f>IF(O23&gt;0, Q23/O23, 0)</f>
        <v/>
      </c>
      <c r="U23" s="12">
        <f>IF(Q23=0, "Exceeds Limit", IF(P23&lt;=O23, "Weight Limited", "Volume Limited"))</f>
        <v/>
      </c>
      <c r="V23" s="97">
        <f>B23&amp;"|"&amp;D23&amp;"|"&amp;F23</f>
        <v/>
      </c>
    </row>
    <row r="24" ht="19" customHeight="1">
      <c r="A24" s="98" t="n">
        <v>14</v>
      </c>
      <c r="B24" s="99" t="inlineStr">
        <is>
          <t>Carbon Steel</t>
        </is>
      </c>
      <c r="C24" s="19" t="inlineStr">
        <is>
          <t>ASME B36.10M / B36.19M</t>
        </is>
      </c>
      <c r="D24" s="18" t="inlineStr">
        <is>
          <t>1/4''</t>
        </is>
      </c>
      <c r="E24" s="98" t="n">
        <v>8</v>
      </c>
      <c r="F24" s="18" t="inlineStr">
        <is>
          <t>STD</t>
        </is>
      </c>
      <c r="G24" s="20" t="n">
        <v>0.54</v>
      </c>
      <c r="H24" s="82" t="n">
        <v>13.72</v>
      </c>
      <c r="I24" s="20" t="n">
        <v>0.08799999999999999</v>
      </c>
      <c r="J24" s="82" t="n">
        <v>2.24</v>
      </c>
      <c r="K24" s="20">
        <f>ROUND((H24-J24)*J24*IF(B24="Carbon Steel",$K$7,IF(B24="Stainless Steel 304",$K$8,$L$8)), 3)</f>
        <v/>
      </c>
      <c r="L24" s="82">
        <f>ROUND(K24*$G$5, 2)</f>
        <v/>
      </c>
      <c r="M24" s="98">
        <f>INT($G$6/H24)</f>
        <v/>
      </c>
      <c r="N24" s="98">
        <f>IF(M24=0, 0, IF(OR($K$6="Square Grid", M24=1), INT($G$7/H24), IF($G$7&lt;H24, 0, 1+INT(($G$7-H24)/(0.8660254*H24)))))</f>
        <v/>
      </c>
      <c r="O24" s="84">
        <f>IF(OR(M24=0,N24=0), 0, IF(OR($K$6="Square Grid", M24=1), M24*N24*$K$5, (INT((N24+1)/2)*M24 + INT(N24/2)*IF(($G$6-M24*H24)&gt;=0.5*H24, M24, M24-1))*$K$5))</f>
        <v/>
      </c>
      <c r="P24" s="84">
        <f>IF(L24&lt;=0, 0, INT($G$8/L24))</f>
        <v/>
      </c>
      <c r="Q24" s="95">
        <f>MIN(O24, P24)</f>
        <v/>
      </c>
      <c r="R24" s="96">
        <f>ROUND((Q24*L24)/1000, 2)</f>
        <v/>
      </c>
      <c r="S24" s="85">
        <f>IF($C$8&gt;0, R24/$C$8, 0)</f>
        <v/>
      </c>
      <c r="T24" s="85">
        <f>IF(O24&gt;0, Q24/O24, 0)</f>
        <v/>
      </c>
      <c r="U24" s="18">
        <f>IF(Q24=0, "Exceeds Limit", IF(P24&lt;=O24, "Weight Limited", "Volume Limited"))</f>
        <v/>
      </c>
      <c r="V24" s="100">
        <f>B24&amp;"|"&amp;D24&amp;"|"&amp;F24</f>
        <v/>
      </c>
    </row>
    <row r="25" ht="19" customHeight="1">
      <c r="A25" s="93" t="n">
        <v>15</v>
      </c>
      <c r="B25" s="94" t="inlineStr">
        <is>
          <t>Carbon Steel</t>
        </is>
      </c>
      <c r="C25" s="13" t="inlineStr">
        <is>
          <t>ASME B36.10M / B36.19M</t>
        </is>
      </c>
      <c r="D25" s="12" t="inlineStr">
        <is>
          <t>1/4''</t>
        </is>
      </c>
      <c r="E25" s="93" t="n">
        <v>8</v>
      </c>
      <c r="F25" s="12" t="inlineStr">
        <is>
          <t>40</t>
        </is>
      </c>
      <c r="G25" s="14" t="n">
        <v>0.54</v>
      </c>
      <c r="H25" s="78" t="n">
        <v>13.72</v>
      </c>
      <c r="I25" s="14" t="n">
        <v>0.08799999999999999</v>
      </c>
      <c r="J25" s="78" t="n">
        <v>2.24</v>
      </c>
      <c r="K25" s="14">
        <f>ROUND((H25-J25)*J25*IF(B25="Carbon Steel",$K$7,IF(B25="Stainless Steel 304",$K$8,$L$8)), 3)</f>
        <v/>
      </c>
      <c r="L25" s="78">
        <f>ROUND(K25*$G$5, 2)</f>
        <v/>
      </c>
      <c r="M25" s="93">
        <f>INT($G$6/H25)</f>
        <v/>
      </c>
      <c r="N25" s="93">
        <f>IF(M25=0, 0, IF(OR($K$6="Square Grid", M25=1), INT($G$7/H25), IF($G$7&lt;H25, 0, 1+INT(($G$7-H25)/(0.8660254*H25)))))</f>
        <v/>
      </c>
      <c r="O25" s="59">
        <f>IF(OR(M25=0,N25=0), 0, IF(OR($K$6="Square Grid", M25=1), M25*N25*$K$5, (INT((N25+1)/2)*M25 + INT(N25/2)*IF(($G$6-M25*H25)&gt;=0.5*H25, M25, M25-1))*$K$5))</f>
        <v/>
      </c>
      <c r="P25" s="59">
        <f>IF(L25&lt;=0, 0, INT($G$8/L25))</f>
        <v/>
      </c>
      <c r="Q25" s="95">
        <f>MIN(O25, P25)</f>
        <v/>
      </c>
      <c r="R25" s="96">
        <f>ROUND((Q25*L25)/1000, 2)</f>
        <v/>
      </c>
      <c r="S25" s="79">
        <f>IF($C$8&gt;0, R25/$C$8, 0)</f>
        <v/>
      </c>
      <c r="T25" s="79">
        <f>IF(O25&gt;0, Q25/O25, 0)</f>
        <v/>
      </c>
      <c r="U25" s="12">
        <f>IF(Q25=0, "Exceeds Limit", IF(P25&lt;=O25, "Weight Limited", "Volume Limited"))</f>
        <v/>
      </c>
      <c r="V25" s="97">
        <f>B25&amp;"|"&amp;D25&amp;"|"&amp;F25</f>
        <v/>
      </c>
    </row>
    <row r="26" ht="19" customHeight="1">
      <c r="A26" s="98" t="n">
        <v>16</v>
      </c>
      <c r="B26" s="99" t="inlineStr">
        <is>
          <t>Carbon Steel</t>
        </is>
      </c>
      <c r="C26" s="19" t="inlineStr">
        <is>
          <t>ASME B36.10M / B36.19M</t>
        </is>
      </c>
      <c r="D26" s="18" t="inlineStr">
        <is>
          <t>1/4''</t>
        </is>
      </c>
      <c r="E26" s="98" t="n">
        <v>8</v>
      </c>
      <c r="F26" s="18" t="inlineStr">
        <is>
          <t>80S</t>
        </is>
      </c>
      <c r="G26" s="20" t="n">
        <v>0.54</v>
      </c>
      <c r="H26" s="82" t="n">
        <v>13.72</v>
      </c>
      <c r="I26" s="20" t="n">
        <v>0.119</v>
      </c>
      <c r="J26" s="82" t="n">
        <v>3.02</v>
      </c>
      <c r="K26" s="20">
        <f>ROUND((H26-J26)*J26*IF(B26="Carbon Steel",$K$7,IF(B26="Stainless Steel 304",$K$8,$L$8)), 3)</f>
        <v/>
      </c>
      <c r="L26" s="82">
        <f>ROUND(K26*$G$5, 2)</f>
        <v/>
      </c>
      <c r="M26" s="98">
        <f>INT($G$6/H26)</f>
        <v/>
      </c>
      <c r="N26" s="98">
        <f>IF(M26=0, 0, IF(OR($K$6="Square Grid", M26=1), INT($G$7/H26), IF($G$7&lt;H26, 0, 1+INT(($G$7-H26)/(0.8660254*H26)))))</f>
        <v/>
      </c>
      <c r="O26" s="84">
        <f>IF(OR(M26=0,N26=0), 0, IF(OR($K$6="Square Grid", M26=1), M26*N26*$K$5, (INT((N26+1)/2)*M26 + INT(N26/2)*IF(($G$6-M26*H26)&gt;=0.5*H26, M26, M26-1))*$K$5))</f>
        <v/>
      </c>
      <c r="P26" s="84">
        <f>IF(L26&lt;=0, 0, INT($G$8/L26))</f>
        <v/>
      </c>
      <c r="Q26" s="95">
        <f>MIN(O26, P26)</f>
        <v/>
      </c>
      <c r="R26" s="96">
        <f>ROUND((Q26*L26)/1000, 2)</f>
        <v/>
      </c>
      <c r="S26" s="85">
        <f>IF($C$8&gt;0, R26/$C$8, 0)</f>
        <v/>
      </c>
      <c r="T26" s="85">
        <f>IF(O26&gt;0, Q26/O26, 0)</f>
        <v/>
      </c>
      <c r="U26" s="18">
        <f>IF(Q26=0, "Exceeds Limit", IF(P26&lt;=O26, "Weight Limited", "Volume Limited"))</f>
        <v/>
      </c>
      <c r="V26" s="100">
        <f>B26&amp;"|"&amp;D26&amp;"|"&amp;F26</f>
        <v/>
      </c>
    </row>
    <row r="27" ht="19" customHeight="1">
      <c r="A27" s="93" t="n">
        <v>17</v>
      </c>
      <c r="B27" s="94" t="inlineStr">
        <is>
          <t>Carbon Steel</t>
        </is>
      </c>
      <c r="C27" s="13" t="inlineStr">
        <is>
          <t>ASME B36.10M / B36.19M</t>
        </is>
      </c>
      <c r="D27" s="12" t="inlineStr">
        <is>
          <t>1/4''</t>
        </is>
      </c>
      <c r="E27" s="93" t="n">
        <v>8</v>
      </c>
      <c r="F27" s="12" t="inlineStr">
        <is>
          <t>XS</t>
        </is>
      </c>
      <c r="G27" s="14" t="n">
        <v>0.54</v>
      </c>
      <c r="H27" s="78" t="n">
        <v>13.72</v>
      </c>
      <c r="I27" s="14" t="n">
        <v>0.119</v>
      </c>
      <c r="J27" s="78" t="n">
        <v>3.02</v>
      </c>
      <c r="K27" s="14">
        <f>ROUND((H27-J27)*J27*IF(B27="Carbon Steel",$K$7,IF(B27="Stainless Steel 304",$K$8,$L$8)), 3)</f>
        <v/>
      </c>
      <c r="L27" s="78">
        <f>ROUND(K27*$G$5, 2)</f>
        <v/>
      </c>
      <c r="M27" s="93">
        <f>INT($G$6/H27)</f>
        <v/>
      </c>
      <c r="N27" s="93">
        <f>IF(M27=0, 0, IF(OR($K$6="Square Grid", M27=1), INT($G$7/H27), IF($G$7&lt;H27, 0, 1+INT(($G$7-H27)/(0.8660254*H27)))))</f>
        <v/>
      </c>
      <c r="O27" s="59">
        <f>IF(OR(M27=0,N27=0), 0, IF(OR($K$6="Square Grid", M27=1), M27*N27*$K$5, (INT((N27+1)/2)*M27 + INT(N27/2)*IF(($G$6-M27*H27)&gt;=0.5*H27, M27, M27-1))*$K$5))</f>
        <v/>
      </c>
      <c r="P27" s="59">
        <f>IF(L27&lt;=0, 0, INT($G$8/L27))</f>
        <v/>
      </c>
      <c r="Q27" s="95">
        <f>MIN(O27, P27)</f>
        <v/>
      </c>
      <c r="R27" s="96">
        <f>ROUND((Q27*L27)/1000, 2)</f>
        <v/>
      </c>
      <c r="S27" s="79">
        <f>IF($C$8&gt;0, R27/$C$8, 0)</f>
        <v/>
      </c>
      <c r="T27" s="79">
        <f>IF(O27&gt;0, Q27/O27, 0)</f>
        <v/>
      </c>
      <c r="U27" s="12">
        <f>IF(Q27=0, "Exceeds Limit", IF(P27&lt;=O27, "Weight Limited", "Volume Limited"))</f>
        <v/>
      </c>
      <c r="V27" s="97">
        <f>B27&amp;"|"&amp;D27&amp;"|"&amp;F27</f>
        <v/>
      </c>
    </row>
    <row r="28" ht="19" customHeight="1">
      <c r="A28" s="98" t="n">
        <v>18</v>
      </c>
      <c r="B28" s="99" t="inlineStr">
        <is>
          <t>Carbon Steel</t>
        </is>
      </c>
      <c r="C28" s="19" t="inlineStr">
        <is>
          <t>ASME B36.10M / B36.19M</t>
        </is>
      </c>
      <c r="D28" s="18" t="inlineStr">
        <is>
          <t>1/4''</t>
        </is>
      </c>
      <c r="E28" s="98" t="n">
        <v>8</v>
      </c>
      <c r="F28" s="18" t="inlineStr">
        <is>
          <t>80</t>
        </is>
      </c>
      <c r="G28" s="20" t="n">
        <v>0.54</v>
      </c>
      <c r="H28" s="82" t="n">
        <v>13.72</v>
      </c>
      <c r="I28" s="20" t="n">
        <v>0.119</v>
      </c>
      <c r="J28" s="82" t="n">
        <v>3.02</v>
      </c>
      <c r="K28" s="20">
        <f>ROUND((H28-J28)*J28*IF(B28="Carbon Steel",$K$7,IF(B28="Stainless Steel 304",$K$8,$L$8)), 3)</f>
        <v/>
      </c>
      <c r="L28" s="82">
        <f>ROUND(K28*$G$5, 2)</f>
        <v/>
      </c>
      <c r="M28" s="98">
        <f>INT($G$6/H28)</f>
        <v/>
      </c>
      <c r="N28" s="98">
        <f>IF(M28=0, 0, IF(OR($K$6="Square Grid", M28=1), INT($G$7/H28), IF($G$7&lt;H28, 0, 1+INT(($G$7-H28)/(0.8660254*H28)))))</f>
        <v/>
      </c>
      <c r="O28" s="84">
        <f>IF(OR(M28=0,N28=0), 0, IF(OR($K$6="Square Grid", M28=1), M28*N28*$K$5, (INT((N28+1)/2)*M28 + INT(N28/2)*IF(($G$6-M28*H28)&gt;=0.5*H28, M28, M28-1))*$K$5))</f>
        <v/>
      </c>
      <c r="P28" s="84">
        <f>IF(L28&lt;=0, 0, INT($G$8/L28))</f>
        <v/>
      </c>
      <c r="Q28" s="95">
        <f>MIN(O28, P28)</f>
        <v/>
      </c>
      <c r="R28" s="96">
        <f>ROUND((Q28*L28)/1000, 2)</f>
        <v/>
      </c>
      <c r="S28" s="85">
        <f>IF($C$8&gt;0, R28/$C$8, 0)</f>
        <v/>
      </c>
      <c r="T28" s="85">
        <f>IF(O28&gt;0, Q28/O28, 0)</f>
        <v/>
      </c>
      <c r="U28" s="18">
        <f>IF(Q28=0, "Exceeds Limit", IF(P28&lt;=O28, "Weight Limited", "Volume Limited"))</f>
        <v/>
      </c>
      <c r="V28" s="100">
        <f>B28&amp;"|"&amp;D28&amp;"|"&amp;F28</f>
        <v/>
      </c>
    </row>
    <row r="29" ht="19" customHeight="1">
      <c r="A29" s="93" t="n">
        <v>19</v>
      </c>
      <c r="B29" s="94" t="inlineStr">
        <is>
          <t>Carbon Steel</t>
        </is>
      </c>
      <c r="C29" s="13" t="inlineStr">
        <is>
          <t>ASME B36.10M / B36.19M</t>
        </is>
      </c>
      <c r="D29" s="12" t="inlineStr">
        <is>
          <t>3/8''</t>
        </is>
      </c>
      <c r="E29" s="93" t="n">
        <v>10</v>
      </c>
      <c r="F29" s="12" t="inlineStr">
        <is>
          <t>10S</t>
        </is>
      </c>
      <c r="G29" s="14" t="n">
        <v>0.675</v>
      </c>
      <c r="H29" s="78" t="n">
        <v>17.14</v>
      </c>
      <c r="I29" s="14" t="n">
        <v>0.065</v>
      </c>
      <c r="J29" s="78" t="n">
        <v>1.65</v>
      </c>
      <c r="K29" s="14">
        <f>ROUND((H29-J29)*J29*IF(B29="Carbon Steel",$K$7,IF(B29="Stainless Steel 304",$K$8,$L$8)), 3)</f>
        <v/>
      </c>
      <c r="L29" s="78">
        <f>ROUND(K29*$G$5, 2)</f>
        <v/>
      </c>
      <c r="M29" s="93">
        <f>INT($G$6/H29)</f>
        <v/>
      </c>
      <c r="N29" s="93">
        <f>IF(M29=0, 0, IF(OR($K$6="Square Grid", M29=1), INT($G$7/H29), IF($G$7&lt;H29, 0, 1+INT(($G$7-H29)/(0.8660254*H29)))))</f>
        <v/>
      </c>
      <c r="O29" s="59">
        <f>IF(OR(M29=0,N29=0), 0, IF(OR($K$6="Square Grid", M29=1), M29*N29*$K$5, (INT((N29+1)/2)*M29 + INT(N29/2)*IF(($G$6-M29*H29)&gt;=0.5*H29, M29, M29-1))*$K$5))</f>
        <v/>
      </c>
      <c r="P29" s="59">
        <f>IF(L29&lt;=0, 0, INT($G$8/L29))</f>
        <v/>
      </c>
      <c r="Q29" s="95">
        <f>MIN(O29, P29)</f>
        <v/>
      </c>
      <c r="R29" s="96">
        <f>ROUND((Q29*L29)/1000, 2)</f>
        <v/>
      </c>
      <c r="S29" s="79">
        <f>IF($C$8&gt;0, R29/$C$8, 0)</f>
        <v/>
      </c>
      <c r="T29" s="79">
        <f>IF(O29&gt;0, Q29/O29, 0)</f>
        <v/>
      </c>
      <c r="U29" s="12">
        <f>IF(Q29=0, "Exceeds Limit", IF(P29&lt;=O29, "Weight Limited", "Volume Limited"))</f>
        <v/>
      </c>
      <c r="V29" s="97">
        <f>B29&amp;"|"&amp;D29&amp;"|"&amp;F29</f>
        <v/>
      </c>
    </row>
    <row r="30" ht="19" customHeight="1">
      <c r="A30" s="98" t="n">
        <v>20</v>
      </c>
      <c r="B30" s="99" t="inlineStr">
        <is>
          <t>Carbon Steel</t>
        </is>
      </c>
      <c r="C30" s="19" t="inlineStr">
        <is>
          <t>ASME B36.10M / B36.19M</t>
        </is>
      </c>
      <c r="D30" s="18" t="inlineStr">
        <is>
          <t>3/8''</t>
        </is>
      </c>
      <c r="E30" s="98" t="n">
        <v>10</v>
      </c>
      <c r="F30" s="18" t="inlineStr">
        <is>
          <t>10</t>
        </is>
      </c>
      <c r="G30" s="20" t="n">
        <v>0.675</v>
      </c>
      <c r="H30" s="82" t="n">
        <v>17.14</v>
      </c>
      <c r="I30" s="20" t="n">
        <v>0.065</v>
      </c>
      <c r="J30" s="82" t="n">
        <v>1.65</v>
      </c>
      <c r="K30" s="20">
        <f>ROUND((H30-J30)*J30*IF(B30="Carbon Steel",$K$7,IF(B30="Stainless Steel 304",$K$8,$L$8)), 3)</f>
        <v/>
      </c>
      <c r="L30" s="82">
        <f>ROUND(K30*$G$5, 2)</f>
        <v/>
      </c>
      <c r="M30" s="98">
        <f>INT($G$6/H30)</f>
        <v/>
      </c>
      <c r="N30" s="98">
        <f>IF(M30=0, 0, IF(OR($K$6="Square Grid", M30=1), INT($G$7/H30), IF($G$7&lt;H30, 0, 1+INT(($G$7-H30)/(0.8660254*H30)))))</f>
        <v/>
      </c>
      <c r="O30" s="84">
        <f>IF(OR(M30=0,N30=0), 0, IF(OR($K$6="Square Grid", M30=1), M30*N30*$K$5, (INT((N30+1)/2)*M30 + INT(N30/2)*IF(($G$6-M30*H30)&gt;=0.5*H30, M30, M30-1))*$K$5))</f>
        <v/>
      </c>
      <c r="P30" s="84">
        <f>IF(L30&lt;=0, 0, INT($G$8/L30))</f>
        <v/>
      </c>
      <c r="Q30" s="95">
        <f>MIN(O30, P30)</f>
        <v/>
      </c>
      <c r="R30" s="96">
        <f>ROUND((Q30*L30)/1000, 2)</f>
        <v/>
      </c>
      <c r="S30" s="85">
        <f>IF($C$8&gt;0, R30/$C$8, 0)</f>
        <v/>
      </c>
      <c r="T30" s="85">
        <f>IF(O30&gt;0, Q30/O30, 0)</f>
        <v/>
      </c>
      <c r="U30" s="18">
        <f>IF(Q30=0, "Exceeds Limit", IF(P30&lt;=O30, "Weight Limited", "Volume Limited"))</f>
        <v/>
      </c>
      <c r="V30" s="100">
        <f>B30&amp;"|"&amp;D30&amp;"|"&amp;F30</f>
        <v/>
      </c>
    </row>
    <row r="31" ht="19" customHeight="1">
      <c r="A31" s="93" t="n">
        <v>21</v>
      </c>
      <c r="B31" s="94" t="inlineStr">
        <is>
          <t>Carbon Steel</t>
        </is>
      </c>
      <c r="C31" s="13" t="inlineStr">
        <is>
          <t>ASME B36.10M / B36.19M</t>
        </is>
      </c>
      <c r="D31" s="12" t="inlineStr">
        <is>
          <t>3/8''</t>
        </is>
      </c>
      <c r="E31" s="93" t="n">
        <v>10</v>
      </c>
      <c r="F31" s="12" t="inlineStr">
        <is>
          <t>30</t>
        </is>
      </c>
      <c r="G31" s="14" t="n">
        <v>0.675</v>
      </c>
      <c r="H31" s="78" t="n">
        <v>17.14</v>
      </c>
      <c r="I31" s="14" t="n">
        <v>0.073</v>
      </c>
      <c r="J31" s="78" t="n">
        <v>1.85</v>
      </c>
      <c r="K31" s="14">
        <f>ROUND((H31-J31)*J31*IF(B31="Carbon Steel",$K$7,IF(B31="Stainless Steel 304",$K$8,$L$8)), 3)</f>
        <v/>
      </c>
      <c r="L31" s="78">
        <f>ROUND(K31*$G$5, 2)</f>
        <v/>
      </c>
      <c r="M31" s="93">
        <f>INT($G$6/H31)</f>
        <v/>
      </c>
      <c r="N31" s="93">
        <f>IF(M31=0, 0, IF(OR($K$6="Square Grid", M31=1), INT($G$7/H31), IF($G$7&lt;H31, 0, 1+INT(($G$7-H31)/(0.8660254*H31)))))</f>
        <v/>
      </c>
      <c r="O31" s="59">
        <f>IF(OR(M31=0,N31=0), 0, IF(OR($K$6="Square Grid", M31=1), M31*N31*$K$5, (INT((N31+1)/2)*M31 + INT(N31/2)*IF(($G$6-M31*H31)&gt;=0.5*H31, M31, M31-1))*$K$5))</f>
        <v/>
      </c>
      <c r="P31" s="59">
        <f>IF(L31&lt;=0, 0, INT($G$8/L31))</f>
        <v/>
      </c>
      <c r="Q31" s="95">
        <f>MIN(O31, P31)</f>
        <v/>
      </c>
      <c r="R31" s="96">
        <f>ROUND((Q31*L31)/1000, 2)</f>
        <v/>
      </c>
      <c r="S31" s="79">
        <f>IF($C$8&gt;0, R31/$C$8, 0)</f>
        <v/>
      </c>
      <c r="T31" s="79">
        <f>IF(O31&gt;0, Q31/O31, 0)</f>
        <v/>
      </c>
      <c r="U31" s="12">
        <f>IF(Q31=0, "Exceeds Limit", IF(P31&lt;=O31, "Weight Limited", "Volume Limited"))</f>
        <v/>
      </c>
      <c r="V31" s="97">
        <f>B31&amp;"|"&amp;D31&amp;"|"&amp;F31</f>
        <v/>
      </c>
    </row>
    <row r="32" ht="19" customHeight="1">
      <c r="A32" s="98" t="n">
        <v>22</v>
      </c>
      <c r="B32" s="99" t="inlineStr">
        <is>
          <t>Carbon Steel</t>
        </is>
      </c>
      <c r="C32" s="19" t="inlineStr">
        <is>
          <t>ASME B36.10M / B36.19M</t>
        </is>
      </c>
      <c r="D32" s="18" t="inlineStr">
        <is>
          <t>3/8''</t>
        </is>
      </c>
      <c r="E32" s="98" t="n">
        <v>10</v>
      </c>
      <c r="F32" s="18" t="inlineStr">
        <is>
          <t>40S</t>
        </is>
      </c>
      <c r="G32" s="20" t="n">
        <v>0.675</v>
      </c>
      <c r="H32" s="82" t="n">
        <v>17.14</v>
      </c>
      <c r="I32" s="20" t="n">
        <v>0.091</v>
      </c>
      <c r="J32" s="82" t="n">
        <v>2.31</v>
      </c>
      <c r="K32" s="20">
        <f>ROUND((H32-J32)*J32*IF(B32="Carbon Steel",$K$7,IF(B32="Stainless Steel 304",$K$8,$L$8)), 3)</f>
        <v/>
      </c>
      <c r="L32" s="82">
        <f>ROUND(K32*$G$5, 2)</f>
        <v/>
      </c>
      <c r="M32" s="98">
        <f>INT($G$6/H32)</f>
        <v/>
      </c>
      <c r="N32" s="98">
        <f>IF(M32=0, 0, IF(OR($K$6="Square Grid", M32=1), INT($G$7/H32), IF($G$7&lt;H32, 0, 1+INT(($G$7-H32)/(0.8660254*H32)))))</f>
        <v/>
      </c>
      <c r="O32" s="84">
        <f>IF(OR(M32=0,N32=0), 0, IF(OR($K$6="Square Grid", M32=1), M32*N32*$K$5, (INT((N32+1)/2)*M32 + INT(N32/2)*IF(($G$6-M32*H32)&gt;=0.5*H32, M32, M32-1))*$K$5))</f>
        <v/>
      </c>
      <c r="P32" s="84">
        <f>IF(L32&lt;=0, 0, INT($G$8/L32))</f>
        <v/>
      </c>
      <c r="Q32" s="95">
        <f>MIN(O32, P32)</f>
        <v/>
      </c>
      <c r="R32" s="96">
        <f>ROUND((Q32*L32)/1000, 2)</f>
        <v/>
      </c>
      <c r="S32" s="85">
        <f>IF($C$8&gt;0, R32/$C$8, 0)</f>
        <v/>
      </c>
      <c r="T32" s="85">
        <f>IF(O32&gt;0, Q32/O32, 0)</f>
        <v/>
      </c>
      <c r="U32" s="18">
        <f>IF(Q32=0, "Exceeds Limit", IF(P32&lt;=O32, "Weight Limited", "Volume Limited"))</f>
        <v/>
      </c>
      <c r="V32" s="100">
        <f>B32&amp;"|"&amp;D32&amp;"|"&amp;F32</f>
        <v/>
      </c>
    </row>
    <row r="33" ht="19" customHeight="1">
      <c r="A33" s="93" t="n">
        <v>23</v>
      </c>
      <c r="B33" s="94" t="inlineStr">
        <is>
          <t>Carbon Steel</t>
        </is>
      </c>
      <c r="C33" s="13" t="inlineStr">
        <is>
          <t>ASME B36.10M / B36.19M</t>
        </is>
      </c>
      <c r="D33" s="12" t="inlineStr">
        <is>
          <t>3/8''</t>
        </is>
      </c>
      <c r="E33" s="93" t="n">
        <v>10</v>
      </c>
      <c r="F33" s="12" t="inlineStr">
        <is>
          <t>STD</t>
        </is>
      </c>
      <c r="G33" s="14" t="n">
        <v>0.675</v>
      </c>
      <c r="H33" s="78" t="n">
        <v>17.14</v>
      </c>
      <c r="I33" s="14" t="n">
        <v>0.091</v>
      </c>
      <c r="J33" s="78" t="n">
        <v>2.31</v>
      </c>
      <c r="K33" s="14">
        <f>ROUND((H33-J33)*J33*IF(B33="Carbon Steel",$K$7,IF(B33="Stainless Steel 304",$K$8,$L$8)), 3)</f>
        <v/>
      </c>
      <c r="L33" s="78">
        <f>ROUND(K33*$G$5, 2)</f>
        <v/>
      </c>
      <c r="M33" s="93">
        <f>INT($G$6/H33)</f>
        <v/>
      </c>
      <c r="N33" s="93">
        <f>IF(M33=0, 0, IF(OR($K$6="Square Grid", M33=1), INT($G$7/H33), IF($G$7&lt;H33, 0, 1+INT(($G$7-H33)/(0.8660254*H33)))))</f>
        <v/>
      </c>
      <c r="O33" s="59">
        <f>IF(OR(M33=0,N33=0), 0, IF(OR($K$6="Square Grid", M33=1), M33*N33*$K$5, (INT((N33+1)/2)*M33 + INT(N33/2)*IF(($G$6-M33*H33)&gt;=0.5*H33, M33, M33-1))*$K$5))</f>
        <v/>
      </c>
      <c r="P33" s="59">
        <f>IF(L33&lt;=0, 0, INT($G$8/L33))</f>
        <v/>
      </c>
      <c r="Q33" s="95">
        <f>MIN(O33, P33)</f>
        <v/>
      </c>
      <c r="R33" s="96">
        <f>ROUND((Q33*L33)/1000, 2)</f>
        <v/>
      </c>
      <c r="S33" s="79">
        <f>IF($C$8&gt;0, R33/$C$8, 0)</f>
        <v/>
      </c>
      <c r="T33" s="79">
        <f>IF(O33&gt;0, Q33/O33, 0)</f>
        <v/>
      </c>
      <c r="U33" s="12">
        <f>IF(Q33=0, "Exceeds Limit", IF(P33&lt;=O33, "Weight Limited", "Volume Limited"))</f>
        <v/>
      </c>
      <c r="V33" s="97">
        <f>B33&amp;"|"&amp;D33&amp;"|"&amp;F33</f>
        <v/>
      </c>
    </row>
    <row r="34" ht="19" customHeight="1">
      <c r="A34" s="98" t="n">
        <v>24</v>
      </c>
      <c r="B34" s="99" t="inlineStr">
        <is>
          <t>Carbon Steel</t>
        </is>
      </c>
      <c r="C34" s="19" t="inlineStr">
        <is>
          <t>ASME B36.10M / B36.19M</t>
        </is>
      </c>
      <c r="D34" s="18" t="inlineStr">
        <is>
          <t>3/8''</t>
        </is>
      </c>
      <c r="E34" s="98" t="n">
        <v>10</v>
      </c>
      <c r="F34" s="18" t="inlineStr">
        <is>
          <t>40</t>
        </is>
      </c>
      <c r="G34" s="20" t="n">
        <v>0.675</v>
      </c>
      <c r="H34" s="82" t="n">
        <v>17.14</v>
      </c>
      <c r="I34" s="20" t="n">
        <v>0.091</v>
      </c>
      <c r="J34" s="82" t="n">
        <v>2.31</v>
      </c>
      <c r="K34" s="20">
        <f>ROUND((H34-J34)*J34*IF(B34="Carbon Steel",$K$7,IF(B34="Stainless Steel 304",$K$8,$L$8)), 3)</f>
        <v/>
      </c>
      <c r="L34" s="82">
        <f>ROUND(K34*$G$5, 2)</f>
        <v/>
      </c>
      <c r="M34" s="98">
        <f>INT($G$6/H34)</f>
        <v/>
      </c>
      <c r="N34" s="98">
        <f>IF(M34=0, 0, IF(OR($K$6="Square Grid", M34=1), INT($G$7/H34), IF($G$7&lt;H34, 0, 1+INT(($G$7-H34)/(0.8660254*H34)))))</f>
        <v/>
      </c>
      <c r="O34" s="84">
        <f>IF(OR(M34=0,N34=0), 0, IF(OR($K$6="Square Grid", M34=1), M34*N34*$K$5, (INT((N34+1)/2)*M34 + INT(N34/2)*IF(($G$6-M34*H34)&gt;=0.5*H34, M34, M34-1))*$K$5))</f>
        <v/>
      </c>
      <c r="P34" s="84">
        <f>IF(L34&lt;=0, 0, INT($G$8/L34))</f>
        <v/>
      </c>
      <c r="Q34" s="95">
        <f>MIN(O34, P34)</f>
        <v/>
      </c>
      <c r="R34" s="96">
        <f>ROUND((Q34*L34)/1000, 2)</f>
        <v/>
      </c>
      <c r="S34" s="85">
        <f>IF($C$8&gt;0, R34/$C$8, 0)</f>
        <v/>
      </c>
      <c r="T34" s="85">
        <f>IF(O34&gt;0, Q34/O34, 0)</f>
        <v/>
      </c>
      <c r="U34" s="18">
        <f>IF(Q34=0, "Exceeds Limit", IF(P34&lt;=O34, "Weight Limited", "Volume Limited"))</f>
        <v/>
      </c>
      <c r="V34" s="100">
        <f>B34&amp;"|"&amp;D34&amp;"|"&amp;F34</f>
        <v/>
      </c>
    </row>
    <row r="35" ht="19" customHeight="1">
      <c r="A35" s="93" t="n">
        <v>25</v>
      </c>
      <c r="B35" s="94" t="inlineStr">
        <is>
          <t>Carbon Steel</t>
        </is>
      </c>
      <c r="C35" s="13" t="inlineStr">
        <is>
          <t>ASME B36.10M / B36.19M</t>
        </is>
      </c>
      <c r="D35" s="12" t="inlineStr">
        <is>
          <t>3/8''</t>
        </is>
      </c>
      <c r="E35" s="93" t="n">
        <v>10</v>
      </c>
      <c r="F35" s="12" t="inlineStr">
        <is>
          <t>80S</t>
        </is>
      </c>
      <c r="G35" s="14" t="n">
        <v>0.675</v>
      </c>
      <c r="H35" s="78" t="n">
        <v>17.14</v>
      </c>
      <c r="I35" s="14" t="n">
        <v>0.126</v>
      </c>
      <c r="J35" s="78" t="n">
        <v>3.2</v>
      </c>
      <c r="K35" s="14">
        <f>ROUND((H35-J35)*J35*IF(B35="Carbon Steel",$K$7,IF(B35="Stainless Steel 304",$K$8,$L$8)), 3)</f>
        <v/>
      </c>
      <c r="L35" s="78">
        <f>ROUND(K35*$G$5, 2)</f>
        <v/>
      </c>
      <c r="M35" s="93">
        <f>INT($G$6/H35)</f>
        <v/>
      </c>
      <c r="N35" s="93">
        <f>IF(M35=0, 0, IF(OR($K$6="Square Grid", M35=1), INT($G$7/H35), IF($G$7&lt;H35, 0, 1+INT(($G$7-H35)/(0.8660254*H35)))))</f>
        <v/>
      </c>
      <c r="O35" s="59">
        <f>IF(OR(M35=0,N35=0), 0, IF(OR($K$6="Square Grid", M35=1), M35*N35*$K$5, (INT((N35+1)/2)*M35 + INT(N35/2)*IF(($G$6-M35*H35)&gt;=0.5*H35, M35, M35-1))*$K$5))</f>
        <v/>
      </c>
      <c r="P35" s="59">
        <f>IF(L35&lt;=0, 0, INT($G$8/L35))</f>
        <v/>
      </c>
      <c r="Q35" s="95">
        <f>MIN(O35, P35)</f>
        <v/>
      </c>
      <c r="R35" s="96">
        <f>ROUND((Q35*L35)/1000, 2)</f>
        <v/>
      </c>
      <c r="S35" s="79">
        <f>IF($C$8&gt;0, R35/$C$8, 0)</f>
        <v/>
      </c>
      <c r="T35" s="79">
        <f>IF(O35&gt;0, Q35/O35, 0)</f>
        <v/>
      </c>
      <c r="U35" s="12">
        <f>IF(Q35=0, "Exceeds Limit", IF(P35&lt;=O35, "Weight Limited", "Volume Limited"))</f>
        <v/>
      </c>
      <c r="V35" s="97">
        <f>B35&amp;"|"&amp;D35&amp;"|"&amp;F35</f>
        <v/>
      </c>
    </row>
    <row r="36" ht="19" customHeight="1">
      <c r="A36" s="98" t="n">
        <v>26</v>
      </c>
      <c r="B36" s="99" t="inlineStr">
        <is>
          <t>Carbon Steel</t>
        </is>
      </c>
      <c r="C36" s="19" t="inlineStr">
        <is>
          <t>ASME B36.10M / B36.19M</t>
        </is>
      </c>
      <c r="D36" s="18" t="inlineStr">
        <is>
          <t>3/8''</t>
        </is>
      </c>
      <c r="E36" s="98" t="n">
        <v>10</v>
      </c>
      <c r="F36" s="18" t="inlineStr">
        <is>
          <t>XS</t>
        </is>
      </c>
      <c r="G36" s="20" t="n">
        <v>0.675</v>
      </c>
      <c r="H36" s="82" t="n">
        <v>17.14</v>
      </c>
      <c r="I36" s="20" t="n">
        <v>0.126</v>
      </c>
      <c r="J36" s="82" t="n">
        <v>3.2</v>
      </c>
      <c r="K36" s="20">
        <f>ROUND((H36-J36)*J36*IF(B36="Carbon Steel",$K$7,IF(B36="Stainless Steel 304",$K$8,$L$8)), 3)</f>
        <v/>
      </c>
      <c r="L36" s="82">
        <f>ROUND(K36*$G$5, 2)</f>
        <v/>
      </c>
      <c r="M36" s="98">
        <f>INT($G$6/H36)</f>
        <v/>
      </c>
      <c r="N36" s="98">
        <f>IF(M36=0, 0, IF(OR($K$6="Square Grid", M36=1), INT($G$7/H36), IF($G$7&lt;H36, 0, 1+INT(($G$7-H36)/(0.8660254*H36)))))</f>
        <v/>
      </c>
      <c r="O36" s="84">
        <f>IF(OR(M36=0,N36=0), 0, IF(OR($K$6="Square Grid", M36=1), M36*N36*$K$5, (INT((N36+1)/2)*M36 + INT(N36/2)*IF(($G$6-M36*H36)&gt;=0.5*H36, M36, M36-1))*$K$5))</f>
        <v/>
      </c>
      <c r="P36" s="84">
        <f>IF(L36&lt;=0, 0, INT($G$8/L36))</f>
        <v/>
      </c>
      <c r="Q36" s="95">
        <f>MIN(O36, P36)</f>
        <v/>
      </c>
      <c r="R36" s="96">
        <f>ROUND((Q36*L36)/1000, 2)</f>
        <v/>
      </c>
      <c r="S36" s="85">
        <f>IF($C$8&gt;0, R36/$C$8, 0)</f>
        <v/>
      </c>
      <c r="T36" s="85">
        <f>IF(O36&gt;0, Q36/O36, 0)</f>
        <v/>
      </c>
      <c r="U36" s="18">
        <f>IF(Q36=0, "Exceeds Limit", IF(P36&lt;=O36, "Weight Limited", "Volume Limited"))</f>
        <v/>
      </c>
      <c r="V36" s="100">
        <f>B36&amp;"|"&amp;D36&amp;"|"&amp;F36</f>
        <v/>
      </c>
    </row>
    <row r="37" ht="19" customHeight="1">
      <c r="A37" s="93" t="n">
        <v>27</v>
      </c>
      <c r="B37" s="94" t="inlineStr">
        <is>
          <t>Carbon Steel</t>
        </is>
      </c>
      <c r="C37" s="13" t="inlineStr">
        <is>
          <t>ASME B36.10M / B36.19M</t>
        </is>
      </c>
      <c r="D37" s="12" t="inlineStr">
        <is>
          <t>3/8''</t>
        </is>
      </c>
      <c r="E37" s="93" t="n">
        <v>10</v>
      </c>
      <c r="F37" s="12" t="inlineStr">
        <is>
          <t>80</t>
        </is>
      </c>
      <c r="G37" s="14" t="n">
        <v>0.675</v>
      </c>
      <c r="H37" s="78" t="n">
        <v>17.14</v>
      </c>
      <c r="I37" s="14" t="n">
        <v>0.126</v>
      </c>
      <c r="J37" s="78" t="n">
        <v>3.2</v>
      </c>
      <c r="K37" s="14">
        <f>ROUND((H37-J37)*J37*IF(B37="Carbon Steel",$K$7,IF(B37="Stainless Steel 304",$K$8,$L$8)), 3)</f>
        <v/>
      </c>
      <c r="L37" s="78">
        <f>ROUND(K37*$G$5, 2)</f>
        <v/>
      </c>
      <c r="M37" s="93">
        <f>INT($G$6/H37)</f>
        <v/>
      </c>
      <c r="N37" s="93">
        <f>IF(M37=0, 0, IF(OR($K$6="Square Grid", M37=1), INT($G$7/H37), IF($G$7&lt;H37, 0, 1+INT(($G$7-H37)/(0.8660254*H37)))))</f>
        <v/>
      </c>
      <c r="O37" s="59">
        <f>IF(OR(M37=0,N37=0), 0, IF(OR($K$6="Square Grid", M37=1), M37*N37*$K$5, (INT((N37+1)/2)*M37 + INT(N37/2)*IF(($G$6-M37*H37)&gt;=0.5*H37, M37, M37-1))*$K$5))</f>
        <v/>
      </c>
      <c r="P37" s="59">
        <f>IF(L37&lt;=0, 0, INT($G$8/L37))</f>
        <v/>
      </c>
      <c r="Q37" s="95">
        <f>MIN(O37, P37)</f>
        <v/>
      </c>
      <c r="R37" s="96">
        <f>ROUND((Q37*L37)/1000, 2)</f>
        <v/>
      </c>
      <c r="S37" s="79">
        <f>IF($C$8&gt;0, R37/$C$8, 0)</f>
        <v/>
      </c>
      <c r="T37" s="79">
        <f>IF(O37&gt;0, Q37/O37, 0)</f>
        <v/>
      </c>
      <c r="U37" s="12">
        <f>IF(Q37=0, "Exceeds Limit", IF(P37&lt;=O37, "Weight Limited", "Volume Limited"))</f>
        <v/>
      </c>
      <c r="V37" s="97">
        <f>B37&amp;"|"&amp;D37&amp;"|"&amp;F37</f>
        <v/>
      </c>
    </row>
    <row r="38" ht="19" customHeight="1">
      <c r="A38" s="98" t="n">
        <v>28</v>
      </c>
      <c r="B38" s="99" t="inlineStr">
        <is>
          <t>Carbon Steel</t>
        </is>
      </c>
      <c r="C38" s="19" t="inlineStr">
        <is>
          <t>ASME B36.10M / B36.19M</t>
        </is>
      </c>
      <c r="D38" s="18" t="inlineStr">
        <is>
          <t>1/2''</t>
        </is>
      </c>
      <c r="E38" s="98" t="n">
        <v>15</v>
      </c>
      <c r="F38" s="18" t="inlineStr">
        <is>
          <t>5S</t>
        </is>
      </c>
      <c r="G38" s="20" t="n">
        <v>0.84</v>
      </c>
      <c r="H38" s="82" t="n">
        <v>21.34</v>
      </c>
      <c r="I38" s="20" t="n">
        <v>0.065</v>
      </c>
      <c r="J38" s="82" t="n">
        <v>1.65</v>
      </c>
      <c r="K38" s="20">
        <f>ROUND((H38-J38)*J38*IF(B38="Carbon Steel",$K$7,IF(B38="Stainless Steel 304",$K$8,$L$8)), 3)</f>
        <v/>
      </c>
      <c r="L38" s="82">
        <f>ROUND(K38*$G$5, 2)</f>
        <v/>
      </c>
      <c r="M38" s="98">
        <f>INT($G$6/H38)</f>
        <v/>
      </c>
      <c r="N38" s="98">
        <f>IF(M38=0, 0, IF(OR($K$6="Square Grid", M38=1), INT($G$7/H38), IF($G$7&lt;H38, 0, 1+INT(($G$7-H38)/(0.8660254*H38)))))</f>
        <v/>
      </c>
      <c r="O38" s="84">
        <f>IF(OR(M38=0,N38=0), 0, IF(OR($K$6="Square Grid", M38=1), M38*N38*$K$5, (INT((N38+1)/2)*M38 + INT(N38/2)*IF(($G$6-M38*H38)&gt;=0.5*H38, M38, M38-1))*$K$5))</f>
        <v/>
      </c>
      <c r="P38" s="84">
        <f>IF(L38&lt;=0, 0, INT($G$8/L38))</f>
        <v/>
      </c>
      <c r="Q38" s="95">
        <f>MIN(O38, P38)</f>
        <v/>
      </c>
      <c r="R38" s="96">
        <f>ROUND((Q38*L38)/1000, 2)</f>
        <v/>
      </c>
      <c r="S38" s="85">
        <f>IF($C$8&gt;0, R38/$C$8, 0)</f>
        <v/>
      </c>
      <c r="T38" s="85">
        <f>IF(O38&gt;0, Q38/O38, 0)</f>
        <v/>
      </c>
      <c r="U38" s="18">
        <f>IF(Q38=0, "Exceeds Limit", IF(P38&lt;=O38, "Weight Limited", "Volume Limited"))</f>
        <v/>
      </c>
      <c r="V38" s="100">
        <f>B38&amp;"|"&amp;D38&amp;"|"&amp;F38</f>
        <v/>
      </c>
    </row>
    <row r="39" ht="19" customHeight="1">
      <c r="A39" s="93" t="n">
        <v>29</v>
      </c>
      <c r="B39" s="94" t="inlineStr">
        <is>
          <t>Carbon Steel</t>
        </is>
      </c>
      <c r="C39" s="13" t="inlineStr">
        <is>
          <t>ASME B36.10M / B36.19M</t>
        </is>
      </c>
      <c r="D39" s="12" t="inlineStr">
        <is>
          <t>1/2''</t>
        </is>
      </c>
      <c r="E39" s="93" t="n">
        <v>15</v>
      </c>
      <c r="F39" s="12" t="inlineStr">
        <is>
          <t>5</t>
        </is>
      </c>
      <c r="G39" s="14" t="n">
        <v>0.84</v>
      </c>
      <c r="H39" s="78" t="n">
        <v>21.34</v>
      </c>
      <c r="I39" s="14" t="n">
        <v>0.065</v>
      </c>
      <c r="J39" s="78" t="n">
        <v>1.65</v>
      </c>
      <c r="K39" s="14">
        <f>ROUND((H39-J39)*J39*IF(B39="Carbon Steel",$K$7,IF(B39="Stainless Steel 304",$K$8,$L$8)), 3)</f>
        <v/>
      </c>
      <c r="L39" s="78">
        <f>ROUND(K39*$G$5, 2)</f>
        <v/>
      </c>
      <c r="M39" s="93">
        <f>INT($G$6/H39)</f>
        <v/>
      </c>
      <c r="N39" s="93">
        <f>IF(M39=0, 0, IF(OR($K$6="Square Grid", M39=1), INT($G$7/H39), IF($G$7&lt;H39, 0, 1+INT(($G$7-H39)/(0.8660254*H39)))))</f>
        <v/>
      </c>
      <c r="O39" s="59">
        <f>IF(OR(M39=0,N39=0), 0, IF(OR($K$6="Square Grid", M39=1), M39*N39*$K$5, (INT((N39+1)/2)*M39 + INT(N39/2)*IF(($G$6-M39*H39)&gt;=0.5*H39, M39, M39-1))*$K$5))</f>
        <v/>
      </c>
      <c r="P39" s="59">
        <f>IF(L39&lt;=0, 0, INT($G$8/L39))</f>
        <v/>
      </c>
      <c r="Q39" s="95">
        <f>MIN(O39, P39)</f>
        <v/>
      </c>
      <c r="R39" s="96">
        <f>ROUND((Q39*L39)/1000, 2)</f>
        <v/>
      </c>
      <c r="S39" s="79">
        <f>IF($C$8&gt;0, R39/$C$8, 0)</f>
        <v/>
      </c>
      <c r="T39" s="79">
        <f>IF(O39&gt;0, Q39/O39, 0)</f>
        <v/>
      </c>
      <c r="U39" s="12">
        <f>IF(Q39=0, "Exceeds Limit", IF(P39&lt;=O39, "Weight Limited", "Volume Limited"))</f>
        <v/>
      </c>
      <c r="V39" s="97">
        <f>B39&amp;"|"&amp;D39&amp;"|"&amp;F39</f>
        <v/>
      </c>
    </row>
    <row r="40" ht="19" customHeight="1">
      <c r="A40" s="98" t="n">
        <v>30</v>
      </c>
      <c r="B40" s="99" t="inlineStr">
        <is>
          <t>Carbon Steel</t>
        </is>
      </c>
      <c r="C40" s="19" t="inlineStr">
        <is>
          <t>ASME B36.10M / B36.19M</t>
        </is>
      </c>
      <c r="D40" s="18" t="inlineStr">
        <is>
          <t>1/2''</t>
        </is>
      </c>
      <c r="E40" s="98" t="n">
        <v>15</v>
      </c>
      <c r="F40" s="18" t="inlineStr">
        <is>
          <t>10S</t>
        </is>
      </c>
      <c r="G40" s="20" t="n">
        <v>0.84</v>
      </c>
      <c r="H40" s="82" t="n">
        <v>21.34</v>
      </c>
      <c r="I40" s="20" t="n">
        <v>0.083</v>
      </c>
      <c r="J40" s="82" t="n">
        <v>2.11</v>
      </c>
      <c r="K40" s="20">
        <f>ROUND((H40-J40)*J40*IF(B40="Carbon Steel",$K$7,IF(B40="Stainless Steel 304",$K$8,$L$8)), 3)</f>
        <v/>
      </c>
      <c r="L40" s="82">
        <f>ROUND(K40*$G$5, 2)</f>
        <v/>
      </c>
      <c r="M40" s="98">
        <f>INT($G$6/H40)</f>
        <v/>
      </c>
      <c r="N40" s="98">
        <f>IF(M40=0, 0, IF(OR($K$6="Square Grid", M40=1), INT($G$7/H40), IF($G$7&lt;H40, 0, 1+INT(($G$7-H40)/(0.8660254*H40)))))</f>
        <v/>
      </c>
      <c r="O40" s="84">
        <f>IF(OR(M40=0,N40=0), 0, IF(OR($K$6="Square Grid", M40=1), M40*N40*$K$5, (INT((N40+1)/2)*M40 + INT(N40/2)*IF(($G$6-M40*H40)&gt;=0.5*H40, M40, M40-1))*$K$5))</f>
        <v/>
      </c>
      <c r="P40" s="84">
        <f>IF(L40&lt;=0, 0, INT($G$8/L40))</f>
        <v/>
      </c>
      <c r="Q40" s="95">
        <f>MIN(O40, P40)</f>
        <v/>
      </c>
      <c r="R40" s="96">
        <f>ROUND((Q40*L40)/1000, 2)</f>
        <v/>
      </c>
      <c r="S40" s="85">
        <f>IF($C$8&gt;0, R40/$C$8, 0)</f>
        <v/>
      </c>
      <c r="T40" s="85">
        <f>IF(O40&gt;0, Q40/O40, 0)</f>
        <v/>
      </c>
      <c r="U40" s="18">
        <f>IF(Q40=0, "Exceeds Limit", IF(P40&lt;=O40, "Weight Limited", "Volume Limited"))</f>
        <v/>
      </c>
      <c r="V40" s="100">
        <f>B40&amp;"|"&amp;D40&amp;"|"&amp;F40</f>
        <v/>
      </c>
    </row>
    <row r="41" ht="19" customHeight="1">
      <c r="A41" s="93" t="n">
        <v>31</v>
      </c>
      <c r="B41" s="94" t="inlineStr">
        <is>
          <t>Carbon Steel</t>
        </is>
      </c>
      <c r="C41" s="13" t="inlineStr">
        <is>
          <t>ASME B36.10M / B36.19M</t>
        </is>
      </c>
      <c r="D41" s="12" t="inlineStr">
        <is>
          <t>1/2''</t>
        </is>
      </c>
      <c r="E41" s="93" t="n">
        <v>15</v>
      </c>
      <c r="F41" s="12" t="inlineStr">
        <is>
          <t>10</t>
        </is>
      </c>
      <c r="G41" s="14" t="n">
        <v>0.84</v>
      </c>
      <c r="H41" s="78" t="n">
        <v>21.34</v>
      </c>
      <c r="I41" s="14" t="n">
        <v>0.083</v>
      </c>
      <c r="J41" s="78" t="n">
        <v>2.11</v>
      </c>
      <c r="K41" s="14">
        <f>ROUND((H41-J41)*J41*IF(B41="Carbon Steel",$K$7,IF(B41="Stainless Steel 304",$K$8,$L$8)), 3)</f>
        <v/>
      </c>
      <c r="L41" s="78">
        <f>ROUND(K41*$G$5, 2)</f>
        <v/>
      </c>
      <c r="M41" s="93">
        <f>INT($G$6/H41)</f>
        <v/>
      </c>
      <c r="N41" s="93">
        <f>IF(M41=0, 0, IF(OR($K$6="Square Grid", M41=1), INT($G$7/H41), IF($G$7&lt;H41, 0, 1+INT(($G$7-H41)/(0.8660254*H41)))))</f>
        <v/>
      </c>
      <c r="O41" s="59">
        <f>IF(OR(M41=0,N41=0), 0, IF(OR($K$6="Square Grid", M41=1), M41*N41*$K$5, (INT((N41+1)/2)*M41 + INT(N41/2)*IF(($G$6-M41*H41)&gt;=0.5*H41, M41, M41-1))*$K$5))</f>
        <v/>
      </c>
      <c r="P41" s="59">
        <f>IF(L41&lt;=0, 0, INT($G$8/L41))</f>
        <v/>
      </c>
      <c r="Q41" s="95">
        <f>MIN(O41, P41)</f>
        <v/>
      </c>
      <c r="R41" s="96">
        <f>ROUND((Q41*L41)/1000, 2)</f>
        <v/>
      </c>
      <c r="S41" s="79">
        <f>IF($C$8&gt;0, R41/$C$8, 0)</f>
        <v/>
      </c>
      <c r="T41" s="79">
        <f>IF(O41&gt;0, Q41/O41, 0)</f>
        <v/>
      </c>
      <c r="U41" s="12">
        <f>IF(Q41=0, "Exceeds Limit", IF(P41&lt;=O41, "Weight Limited", "Volume Limited"))</f>
        <v/>
      </c>
      <c r="V41" s="97">
        <f>B41&amp;"|"&amp;D41&amp;"|"&amp;F41</f>
        <v/>
      </c>
    </row>
    <row r="42" ht="19" customHeight="1">
      <c r="A42" s="98" t="n">
        <v>32</v>
      </c>
      <c r="B42" s="99" t="inlineStr">
        <is>
          <t>Carbon Steel</t>
        </is>
      </c>
      <c r="C42" s="19" t="inlineStr">
        <is>
          <t>ASME B36.10M / B36.19M</t>
        </is>
      </c>
      <c r="D42" s="18" t="inlineStr">
        <is>
          <t>1/2''</t>
        </is>
      </c>
      <c r="E42" s="98" t="n">
        <v>15</v>
      </c>
      <c r="F42" s="18" t="inlineStr">
        <is>
          <t>30</t>
        </is>
      </c>
      <c r="G42" s="20" t="n">
        <v>0.84</v>
      </c>
      <c r="H42" s="82" t="n">
        <v>21.34</v>
      </c>
      <c r="I42" s="20" t="n">
        <v>0.095</v>
      </c>
      <c r="J42" s="82" t="n">
        <v>2.41</v>
      </c>
      <c r="K42" s="20">
        <f>ROUND((H42-J42)*J42*IF(B42="Carbon Steel",$K$7,IF(B42="Stainless Steel 304",$K$8,$L$8)), 3)</f>
        <v/>
      </c>
      <c r="L42" s="82">
        <f>ROUND(K42*$G$5, 2)</f>
        <v/>
      </c>
      <c r="M42" s="98">
        <f>INT($G$6/H42)</f>
        <v/>
      </c>
      <c r="N42" s="98">
        <f>IF(M42=0, 0, IF(OR($K$6="Square Grid", M42=1), INT($G$7/H42), IF($G$7&lt;H42, 0, 1+INT(($G$7-H42)/(0.8660254*H42)))))</f>
        <v/>
      </c>
      <c r="O42" s="84">
        <f>IF(OR(M42=0,N42=0), 0, IF(OR($K$6="Square Grid", M42=1), M42*N42*$K$5, (INT((N42+1)/2)*M42 + INT(N42/2)*IF(($G$6-M42*H42)&gt;=0.5*H42, M42, M42-1))*$K$5))</f>
        <v/>
      </c>
      <c r="P42" s="84">
        <f>IF(L42&lt;=0, 0, INT($G$8/L42))</f>
        <v/>
      </c>
      <c r="Q42" s="95">
        <f>MIN(O42, P42)</f>
        <v/>
      </c>
      <c r="R42" s="96">
        <f>ROUND((Q42*L42)/1000, 2)</f>
        <v/>
      </c>
      <c r="S42" s="85">
        <f>IF($C$8&gt;0, R42/$C$8, 0)</f>
        <v/>
      </c>
      <c r="T42" s="85">
        <f>IF(O42&gt;0, Q42/O42, 0)</f>
        <v/>
      </c>
      <c r="U42" s="18">
        <f>IF(Q42=0, "Exceeds Limit", IF(P42&lt;=O42, "Weight Limited", "Volume Limited"))</f>
        <v/>
      </c>
      <c r="V42" s="100">
        <f>B42&amp;"|"&amp;D42&amp;"|"&amp;F42</f>
        <v/>
      </c>
    </row>
    <row r="43" ht="19" customHeight="1">
      <c r="A43" s="93" t="n">
        <v>33</v>
      </c>
      <c r="B43" s="94" t="inlineStr">
        <is>
          <t>Carbon Steel</t>
        </is>
      </c>
      <c r="C43" s="13" t="inlineStr">
        <is>
          <t>ASME B36.10M / B36.19M</t>
        </is>
      </c>
      <c r="D43" s="12" t="inlineStr">
        <is>
          <t>1/2''</t>
        </is>
      </c>
      <c r="E43" s="93" t="n">
        <v>15</v>
      </c>
      <c r="F43" s="12" t="inlineStr">
        <is>
          <t>40S</t>
        </is>
      </c>
      <c r="G43" s="14" t="n">
        <v>0.84</v>
      </c>
      <c r="H43" s="78" t="n">
        <v>21.34</v>
      </c>
      <c r="I43" s="14" t="n">
        <v>0.109</v>
      </c>
      <c r="J43" s="78" t="n">
        <v>2.77</v>
      </c>
      <c r="K43" s="14">
        <f>ROUND((H43-J43)*J43*IF(B43="Carbon Steel",$K$7,IF(B43="Stainless Steel 304",$K$8,$L$8)), 3)</f>
        <v/>
      </c>
      <c r="L43" s="78">
        <f>ROUND(K43*$G$5, 2)</f>
        <v/>
      </c>
      <c r="M43" s="93">
        <f>INT($G$6/H43)</f>
        <v/>
      </c>
      <c r="N43" s="93">
        <f>IF(M43=0, 0, IF(OR($K$6="Square Grid", M43=1), INT($G$7/H43), IF($G$7&lt;H43, 0, 1+INT(($G$7-H43)/(0.8660254*H43)))))</f>
        <v/>
      </c>
      <c r="O43" s="59">
        <f>IF(OR(M43=0,N43=0), 0, IF(OR($K$6="Square Grid", M43=1), M43*N43*$K$5, (INT((N43+1)/2)*M43 + INT(N43/2)*IF(($G$6-M43*H43)&gt;=0.5*H43, M43, M43-1))*$K$5))</f>
        <v/>
      </c>
      <c r="P43" s="59">
        <f>IF(L43&lt;=0, 0, INT($G$8/L43))</f>
        <v/>
      </c>
      <c r="Q43" s="95">
        <f>MIN(O43, P43)</f>
        <v/>
      </c>
      <c r="R43" s="96">
        <f>ROUND((Q43*L43)/1000, 2)</f>
        <v/>
      </c>
      <c r="S43" s="79">
        <f>IF($C$8&gt;0, R43/$C$8, 0)</f>
        <v/>
      </c>
      <c r="T43" s="79">
        <f>IF(O43&gt;0, Q43/O43, 0)</f>
        <v/>
      </c>
      <c r="U43" s="12">
        <f>IF(Q43=0, "Exceeds Limit", IF(P43&lt;=O43, "Weight Limited", "Volume Limited"))</f>
        <v/>
      </c>
      <c r="V43" s="97">
        <f>B43&amp;"|"&amp;D43&amp;"|"&amp;F43</f>
        <v/>
      </c>
    </row>
    <row r="44" ht="19" customHeight="1">
      <c r="A44" s="98" t="n">
        <v>34</v>
      </c>
      <c r="B44" s="99" t="inlineStr">
        <is>
          <t>Carbon Steel</t>
        </is>
      </c>
      <c r="C44" s="19" t="inlineStr">
        <is>
          <t>ASME B36.10M / B36.19M</t>
        </is>
      </c>
      <c r="D44" s="18" t="inlineStr">
        <is>
          <t>1/2''</t>
        </is>
      </c>
      <c r="E44" s="98" t="n">
        <v>15</v>
      </c>
      <c r="F44" s="18" t="inlineStr">
        <is>
          <t>STD</t>
        </is>
      </c>
      <c r="G44" s="20" t="n">
        <v>0.84</v>
      </c>
      <c r="H44" s="82" t="n">
        <v>21.34</v>
      </c>
      <c r="I44" s="20" t="n">
        <v>0.109</v>
      </c>
      <c r="J44" s="82" t="n">
        <v>2.77</v>
      </c>
      <c r="K44" s="20">
        <f>ROUND((H44-J44)*J44*IF(B44="Carbon Steel",$K$7,IF(B44="Stainless Steel 304",$K$8,$L$8)), 3)</f>
        <v/>
      </c>
      <c r="L44" s="82">
        <f>ROUND(K44*$G$5, 2)</f>
        <v/>
      </c>
      <c r="M44" s="98">
        <f>INT($G$6/H44)</f>
        <v/>
      </c>
      <c r="N44" s="98">
        <f>IF(M44=0, 0, IF(OR($K$6="Square Grid", M44=1), INT($G$7/H44), IF($G$7&lt;H44, 0, 1+INT(($G$7-H44)/(0.8660254*H44)))))</f>
        <v/>
      </c>
      <c r="O44" s="84">
        <f>IF(OR(M44=0,N44=0), 0, IF(OR($K$6="Square Grid", M44=1), M44*N44*$K$5, (INT((N44+1)/2)*M44 + INT(N44/2)*IF(($G$6-M44*H44)&gt;=0.5*H44, M44, M44-1))*$K$5))</f>
        <v/>
      </c>
      <c r="P44" s="84">
        <f>IF(L44&lt;=0, 0, INT($G$8/L44))</f>
        <v/>
      </c>
      <c r="Q44" s="95">
        <f>MIN(O44, P44)</f>
        <v/>
      </c>
      <c r="R44" s="96">
        <f>ROUND((Q44*L44)/1000, 2)</f>
        <v/>
      </c>
      <c r="S44" s="85">
        <f>IF($C$8&gt;0, R44/$C$8, 0)</f>
        <v/>
      </c>
      <c r="T44" s="85">
        <f>IF(O44&gt;0, Q44/O44, 0)</f>
        <v/>
      </c>
      <c r="U44" s="18">
        <f>IF(Q44=0, "Exceeds Limit", IF(P44&lt;=O44, "Weight Limited", "Volume Limited"))</f>
        <v/>
      </c>
      <c r="V44" s="100">
        <f>B44&amp;"|"&amp;D44&amp;"|"&amp;F44</f>
        <v/>
      </c>
    </row>
    <row r="45" ht="19" customHeight="1">
      <c r="A45" s="93" t="n">
        <v>35</v>
      </c>
      <c r="B45" s="94" t="inlineStr">
        <is>
          <t>Carbon Steel</t>
        </is>
      </c>
      <c r="C45" s="13" t="inlineStr">
        <is>
          <t>ASME B36.10M / B36.19M</t>
        </is>
      </c>
      <c r="D45" s="12" t="inlineStr">
        <is>
          <t>1/2''</t>
        </is>
      </c>
      <c r="E45" s="93" t="n">
        <v>15</v>
      </c>
      <c r="F45" s="12" t="inlineStr">
        <is>
          <t>40</t>
        </is>
      </c>
      <c r="G45" s="14" t="n">
        <v>0.84</v>
      </c>
      <c r="H45" s="78" t="n">
        <v>21.34</v>
      </c>
      <c r="I45" s="14" t="n">
        <v>0.109</v>
      </c>
      <c r="J45" s="78" t="n">
        <v>2.77</v>
      </c>
      <c r="K45" s="14">
        <f>ROUND((H45-J45)*J45*IF(B45="Carbon Steel",$K$7,IF(B45="Stainless Steel 304",$K$8,$L$8)), 3)</f>
        <v/>
      </c>
      <c r="L45" s="78">
        <f>ROUND(K45*$G$5, 2)</f>
        <v/>
      </c>
      <c r="M45" s="93">
        <f>INT($G$6/H45)</f>
        <v/>
      </c>
      <c r="N45" s="93">
        <f>IF(M45=0, 0, IF(OR($K$6="Square Grid", M45=1), INT($G$7/H45), IF($G$7&lt;H45, 0, 1+INT(($G$7-H45)/(0.8660254*H45)))))</f>
        <v/>
      </c>
      <c r="O45" s="59">
        <f>IF(OR(M45=0,N45=0), 0, IF(OR($K$6="Square Grid", M45=1), M45*N45*$K$5, (INT((N45+1)/2)*M45 + INT(N45/2)*IF(($G$6-M45*H45)&gt;=0.5*H45, M45, M45-1))*$K$5))</f>
        <v/>
      </c>
      <c r="P45" s="59">
        <f>IF(L45&lt;=0, 0, INT($G$8/L45))</f>
        <v/>
      </c>
      <c r="Q45" s="95">
        <f>MIN(O45, P45)</f>
        <v/>
      </c>
      <c r="R45" s="96">
        <f>ROUND((Q45*L45)/1000, 2)</f>
        <v/>
      </c>
      <c r="S45" s="79">
        <f>IF($C$8&gt;0, R45/$C$8, 0)</f>
        <v/>
      </c>
      <c r="T45" s="79">
        <f>IF(O45&gt;0, Q45/O45, 0)</f>
        <v/>
      </c>
      <c r="U45" s="12">
        <f>IF(Q45=0, "Exceeds Limit", IF(P45&lt;=O45, "Weight Limited", "Volume Limited"))</f>
        <v/>
      </c>
      <c r="V45" s="97">
        <f>B45&amp;"|"&amp;D45&amp;"|"&amp;F45</f>
        <v/>
      </c>
    </row>
    <row r="46" ht="19" customHeight="1">
      <c r="A46" s="98" t="n">
        <v>36</v>
      </c>
      <c r="B46" s="99" t="inlineStr">
        <is>
          <t>Carbon Steel</t>
        </is>
      </c>
      <c r="C46" s="19" t="inlineStr">
        <is>
          <t>ASME B36.10M / B36.19M</t>
        </is>
      </c>
      <c r="D46" s="18" t="inlineStr">
        <is>
          <t>1/2''</t>
        </is>
      </c>
      <c r="E46" s="98" t="n">
        <v>15</v>
      </c>
      <c r="F46" s="18" t="inlineStr">
        <is>
          <t>80S</t>
        </is>
      </c>
      <c r="G46" s="20" t="n">
        <v>0.84</v>
      </c>
      <c r="H46" s="82" t="n">
        <v>21.34</v>
      </c>
      <c r="I46" s="20" t="n">
        <v>0.147</v>
      </c>
      <c r="J46" s="82" t="n">
        <v>3.73</v>
      </c>
      <c r="K46" s="20">
        <f>ROUND((H46-J46)*J46*IF(B46="Carbon Steel",$K$7,IF(B46="Stainless Steel 304",$K$8,$L$8)), 3)</f>
        <v/>
      </c>
      <c r="L46" s="82">
        <f>ROUND(K46*$G$5, 2)</f>
        <v/>
      </c>
      <c r="M46" s="98">
        <f>INT($G$6/H46)</f>
        <v/>
      </c>
      <c r="N46" s="98">
        <f>IF(M46=0, 0, IF(OR($K$6="Square Grid", M46=1), INT($G$7/H46), IF($G$7&lt;H46, 0, 1+INT(($G$7-H46)/(0.8660254*H46)))))</f>
        <v/>
      </c>
      <c r="O46" s="84">
        <f>IF(OR(M46=0,N46=0), 0, IF(OR($K$6="Square Grid", M46=1), M46*N46*$K$5, (INT((N46+1)/2)*M46 + INT(N46/2)*IF(($G$6-M46*H46)&gt;=0.5*H46, M46, M46-1))*$K$5))</f>
        <v/>
      </c>
      <c r="P46" s="84">
        <f>IF(L46&lt;=0, 0, INT($G$8/L46))</f>
        <v/>
      </c>
      <c r="Q46" s="95">
        <f>MIN(O46, P46)</f>
        <v/>
      </c>
      <c r="R46" s="96">
        <f>ROUND((Q46*L46)/1000, 2)</f>
        <v/>
      </c>
      <c r="S46" s="85">
        <f>IF($C$8&gt;0, R46/$C$8, 0)</f>
        <v/>
      </c>
      <c r="T46" s="85">
        <f>IF(O46&gt;0, Q46/O46, 0)</f>
        <v/>
      </c>
      <c r="U46" s="18">
        <f>IF(Q46=0, "Exceeds Limit", IF(P46&lt;=O46, "Weight Limited", "Volume Limited"))</f>
        <v/>
      </c>
      <c r="V46" s="100">
        <f>B46&amp;"|"&amp;D46&amp;"|"&amp;F46</f>
        <v/>
      </c>
    </row>
    <row r="47" ht="19" customHeight="1">
      <c r="A47" s="93" t="n">
        <v>37</v>
      </c>
      <c r="B47" s="94" t="inlineStr">
        <is>
          <t>Carbon Steel</t>
        </is>
      </c>
      <c r="C47" s="13" t="inlineStr">
        <is>
          <t>ASME B36.10M / B36.19M</t>
        </is>
      </c>
      <c r="D47" s="12" t="inlineStr">
        <is>
          <t>1/2''</t>
        </is>
      </c>
      <c r="E47" s="93" t="n">
        <v>15</v>
      </c>
      <c r="F47" s="12" t="inlineStr">
        <is>
          <t>XS</t>
        </is>
      </c>
      <c r="G47" s="14" t="n">
        <v>0.84</v>
      </c>
      <c r="H47" s="78" t="n">
        <v>21.34</v>
      </c>
      <c r="I47" s="14" t="n">
        <v>0.147</v>
      </c>
      <c r="J47" s="78" t="n">
        <v>3.73</v>
      </c>
      <c r="K47" s="14">
        <f>ROUND((H47-J47)*J47*IF(B47="Carbon Steel",$K$7,IF(B47="Stainless Steel 304",$K$8,$L$8)), 3)</f>
        <v/>
      </c>
      <c r="L47" s="78">
        <f>ROUND(K47*$G$5, 2)</f>
        <v/>
      </c>
      <c r="M47" s="93">
        <f>INT($G$6/H47)</f>
        <v/>
      </c>
      <c r="N47" s="93">
        <f>IF(M47=0, 0, IF(OR($K$6="Square Grid", M47=1), INT($G$7/H47), IF($G$7&lt;H47, 0, 1+INT(($G$7-H47)/(0.8660254*H47)))))</f>
        <v/>
      </c>
      <c r="O47" s="59">
        <f>IF(OR(M47=0,N47=0), 0, IF(OR($K$6="Square Grid", M47=1), M47*N47*$K$5, (INT((N47+1)/2)*M47 + INT(N47/2)*IF(($G$6-M47*H47)&gt;=0.5*H47, M47, M47-1))*$K$5))</f>
        <v/>
      </c>
      <c r="P47" s="59">
        <f>IF(L47&lt;=0, 0, INT($G$8/L47))</f>
        <v/>
      </c>
      <c r="Q47" s="95">
        <f>MIN(O47, P47)</f>
        <v/>
      </c>
      <c r="R47" s="96">
        <f>ROUND((Q47*L47)/1000, 2)</f>
        <v/>
      </c>
      <c r="S47" s="79">
        <f>IF($C$8&gt;0, R47/$C$8, 0)</f>
        <v/>
      </c>
      <c r="T47" s="79">
        <f>IF(O47&gt;0, Q47/O47, 0)</f>
        <v/>
      </c>
      <c r="U47" s="12">
        <f>IF(Q47=0, "Exceeds Limit", IF(P47&lt;=O47, "Weight Limited", "Volume Limited"))</f>
        <v/>
      </c>
      <c r="V47" s="97">
        <f>B47&amp;"|"&amp;D47&amp;"|"&amp;F47</f>
        <v/>
      </c>
    </row>
    <row r="48" ht="19" customHeight="1">
      <c r="A48" s="98" t="n">
        <v>38</v>
      </c>
      <c r="B48" s="99" t="inlineStr">
        <is>
          <t>Carbon Steel</t>
        </is>
      </c>
      <c r="C48" s="19" t="inlineStr">
        <is>
          <t>ASME B36.10M / B36.19M</t>
        </is>
      </c>
      <c r="D48" s="18" t="inlineStr">
        <is>
          <t>1/2''</t>
        </is>
      </c>
      <c r="E48" s="98" t="n">
        <v>15</v>
      </c>
      <c r="F48" s="18" t="inlineStr">
        <is>
          <t>80</t>
        </is>
      </c>
      <c r="G48" s="20" t="n">
        <v>0.84</v>
      </c>
      <c r="H48" s="82" t="n">
        <v>21.34</v>
      </c>
      <c r="I48" s="20" t="n">
        <v>0.147</v>
      </c>
      <c r="J48" s="82" t="n">
        <v>3.73</v>
      </c>
      <c r="K48" s="20">
        <f>ROUND((H48-J48)*J48*IF(B48="Carbon Steel",$K$7,IF(B48="Stainless Steel 304",$K$8,$L$8)), 3)</f>
        <v/>
      </c>
      <c r="L48" s="82">
        <f>ROUND(K48*$G$5, 2)</f>
        <v/>
      </c>
      <c r="M48" s="98">
        <f>INT($G$6/H48)</f>
        <v/>
      </c>
      <c r="N48" s="98">
        <f>IF(M48=0, 0, IF(OR($K$6="Square Grid", M48=1), INT($G$7/H48), IF($G$7&lt;H48, 0, 1+INT(($G$7-H48)/(0.8660254*H48)))))</f>
        <v/>
      </c>
      <c r="O48" s="84">
        <f>IF(OR(M48=0,N48=0), 0, IF(OR($K$6="Square Grid", M48=1), M48*N48*$K$5, (INT((N48+1)/2)*M48 + INT(N48/2)*IF(($G$6-M48*H48)&gt;=0.5*H48, M48, M48-1))*$K$5))</f>
        <v/>
      </c>
      <c r="P48" s="84">
        <f>IF(L48&lt;=0, 0, INT($G$8/L48))</f>
        <v/>
      </c>
      <c r="Q48" s="95">
        <f>MIN(O48, P48)</f>
        <v/>
      </c>
      <c r="R48" s="96">
        <f>ROUND((Q48*L48)/1000, 2)</f>
        <v/>
      </c>
      <c r="S48" s="85">
        <f>IF($C$8&gt;0, R48/$C$8, 0)</f>
        <v/>
      </c>
      <c r="T48" s="85">
        <f>IF(O48&gt;0, Q48/O48, 0)</f>
        <v/>
      </c>
      <c r="U48" s="18">
        <f>IF(Q48=0, "Exceeds Limit", IF(P48&lt;=O48, "Weight Limited", "Volume Limited"))</f>
        <v/>
      </c>
      <c r="V48" s="100">
        <f>B48&amp;"|"&amp;D48&amp;"|"&amp;F48</f>
        <v/>
      </c>
    </row>
    <row r="49" ht="19" customHeight="1">
      <c r="A49" s="93" t="n">
        <v>39</v>
      </c>
      <c r="B49" s="94" t="inlineStr">
        <is>
          <t>Carbon Steel</t>
        </is>
      </c>
      <c r="C49" s="13" t="inlineStr">
        <is>
          <t>ASME B36.10M / B36.19M</t>
        </is>
      </c>
      <c r="D49" s="12" t="inlineStr">
        <is>
          <t>1/2''</t>
        </is>
      </c>
      <c r="E49" s="93" t="n">
        <v>15</v>
      </c>
      <c r="F49" s="12" t="inlineStr">
        <is>
          <t>160</t>
        </is>
      </c>
      <c r="G49" s="14" t="n">
        <v>0.84</v>
      </c>
      <c r="H49" s="78" t="n">
        <v>21.34</v>
      </c>
      <c r="I49" s="14" t="n">
        <v>0.188</v>
      </c>
      <c r="J49" s="78" t="n">
        <v>4.78</v>
      </c>
      <c r="K49" s="14">
        <f>ROUND((H49-J49)*J49*IF(B49="Carbon Steel",$K$7,IF(B49="Stainless Steel 304",$K$8,$L$8)), 3)</f>
        <v/>
      </c>
      <c r="L49" s="78">
        <f>ROUND(K49*$G$5, 2)</f>
        <v/>
      </c>
      <c r="M49" s="93">
        <f>INT($G$6/H49)</f>
        <v/>
      </c>
      <c r="N49" s="93">
        <f>IF(M49=0, 0, IF(OR($K$6="Square Grid", M49=1), INT($G$7/H49), IF($G$7&lt;H49, 0, 1+INT(($G$7-H49)/(0.8660254*H49)))))</f>
        <v/>
      </c>
      <c r="O49" s="59">
        <f>IF(OR(M49=0,N49=0), 0, IF(OR($K$6="Square Grid", M49=1), M49*N49*$K$5, (INT((N49+1)/2)*M49 + INT(N49/2)*IF(($G$6-M49*H49)&gt;=0.5*H49, M49, M49-1))*$K$5))</f>
        <v/>
      </c>
      <c r="P49" s="59">
        <f>IF(L49&lt;=0, 0, INT($G$8/L49))</f>
        <v/>
      </c>
      <c r="Q49" s="95">
        <f>MIN(O49, P49)</f>
        <v/>
      </c>
      <c r="R49" s="96">
        <f>ROUND((Q49*L49)/1000, 2)</f>
        <v/>
      </c>
      <c r="S49" s="79">
        <f>IF($C$8&gt;0, R49/$C$8, 0)</f>
        <v/>
      </c>
      <c r="T49" s="79">
        <f>IF(O49&gt;0, Q49/O49, 0)</f>
        <v/>
      </c>
      <c r="U49" s="12">
        <f>IF(Q49=0, "Exceeds Limit", IF(P49&lt;=O49, "Weight Limited", "Volume Limited"))</f>
        <v/>
      </c>
      <c r="V49" s="97">
        <f>B49&amp;"|"&amp;D49&amp;"|"&amp;F49</f>
        <v/>
      </c>
    </row>
    <row r="50" ht="19" customHeight="1">
      <c r="A50" s="98" t="n">
        <v>40</v>
      </c>
      <c r="B50" s="99" t="inlineStr">
        <is>
          <t>Carbon Steel</t>
        </is>
      </c>
      <c r="C50" s="19" t="inlineStr">
        <is>
          <t>ASME B36.10M / B36.19M</t>
        </is>
      </c>
      <c r="D50" s="18" t="inlineStr">
        <is>
          <t>1/2''</t>
        </is>
      </c>
      <c r="E50" s="98" t="n">
        <v>15</v>
      </c>
      <c r="F50" s="18" t="inlineStr">
        <is>
          <t>XXS</t>
        </is>
      </c>
      <c r="G50" s="20" t="n">
        <v>0.84</v>
      </c>
      <c r="H50" s="82" t="n">
        <v>21.34</v>
      </c>
      <c r="I50" s="20" t="n">
        <v>0.294</v>
      </c>
      <c r="J50" s="82" t="n">
        <v>7.47</v>
      </c>
      <c r="K50" s="20">
        <f>ROUND((H50-J50)*J50*IF(B50="Carbon Steel",$K$7,IF(B50="Stainless Steel 304",$K$8,$L$8)), 3)</f>
        <v/>
      </c>
      <c r="L50" s="82">
        <f>ROUND(K50*$G$5, 2)</f>
        <v/>
      </c>
      <c r="M50" s="98">
        <f>INT($G$6/H50)</f>
        <v/>
      </c>
      <c r="N50" s="98">
        <f>IF(M50=0, 0, IF(OR($K$6="Square Grid", M50=1), INT($G$7/H50), IF($G$7&lt;H50, 0, 1+INT(($G$7-H50)/(0.8660254*H50)))))</f>
        <v/>
      </c>
      <c r="O50" s="84">
        <f>IF(OR(M50=0,N50=0), 0, IF(OR($K$6="Square Grid", M50=1), M50*N50*$K$5, (INT((N50+1)/2)*M50 + INT(N50/2)*IF(($G$6-M50*H50)&gt;=0.5*H50, M50, M50-1))*$K$5))</f>
        <v/>
      </c>
      <c r="P50" s="84">
        <f>IF(L50&lt;=0, 0, INT($G$8/L50))</f>
        <v/>
      </c>
      <c r="Q50" s="95">
        <f>MIN(O50, P50)</f>
        <v/>
      </c>
      <c r="R50" s="96">
        <f>ROUND((Q50*L50)/1000, 2)</f>
        <v/>
      </c>
      <c r="S50" s="85">
        <f>IF($C$8&gt;0, R50/$C$8, 0)</f>
        <v/>
      </c>
      <c r="T50" s="85">
        <f>IF(O50&gt;0, Q50/O50, 0)</f>
        <v/>
      </c>
      <c r="U50" s="18">
        <f>IF(Q50=0, "Exceeds Limit", IF(P50&lt;=O50, "Weight Limited", "Volume Limited"))</f>
        <v/>
      </c>
      <c r="V50" s="100">
        <f>B50&amp;"|"&amp;D50&amp;"|"&amp;F50</f>
        <v/>
      </c>
    </row>
    <row r="51" ht="19" customHeight="1">
      <c r="A51" s="93" t="n">
        <v>41</v>
      </c>
      <c r="B51" s="94" t="inlineStr">
        <is>
          <t>Carbon Steel</t>
        </is>
      </c>
      <c r="C51" s="13" t="inlineStr">
        <is>
          <t>ASME B36.10M / B36.19M</t>
        </is>
      </c>
      <c r="D51" s="12" t="inlineStr">
        <is>
          <t>3/4''</t>
        </is>
      </c>
      <c r="E51" s="93" t="n">
        <v>20</v>
      </c>
      <c r="F51" s="12" t="inlineStr">
        <is>
          <t>5S</t>
        </is>
      </c>
      <c r="G51" s="14" t="n">
        <v>1.05</v>
      </c>
      <c r="H51" s="78" t="n">
        <v>26.67</v>
      </c>
      <c r="I51" s="14" t="n">
        <v>0.065</v>
      </c>
      <c r="J51" s="78" t="n">
        <v>1.65</v>
      </c>
      <c r="K51" s="14">
        <f>ROUND((H51-J51)*J51*IF(B51="Carbon Steel",$K$7,IF(B51="Stainless Steel 304",$K$8,$L$8)), 3)</f>
        <v/>
      </c>
      <c r="L51" s="78">
        <f>ROUND(K51*$G$5, 2)</f>
        <v/>
      </c>
      <c r="M51" s="93">
        <f>INT($G$6/H51)</f>
        <v/>
      </c>
      <c r="N51" s="93">
        <f>IF(M51=0, 0, IF(OR($K$6="Square Grid", M51=1), INT($G$7/H51), IF($G$7&lt;H51, 0, 1+INT(($G$7-H51)/(0.8660254*H51)))))</f>
        <v/>
      </c>
      <c r="O51" s="59">
        <f>IF(OR(M51=0,N51=0), 0, IF(OR($K$6="Square Grid", M51=1), M51*N51*$K$5, (INT((N51+1)/2)*M51 + INT(N51/2)*IF(($G$6-M51*H51)&gt;=0.5*H51, M51, M51-1))*$K$5))</f>
        <v/>
      </c>
      <c r="P51" s="59">
        <f>IF(L51&lt;=0, 0, INT($G$8/L51))</f>
        <v/>
      </c>
      <c r="Q51" s="95">
        <f>MIN(O51, P51)</f>
        <v/>
      </c>
      <c r="R51" s="96">
        <f>ROUND((Q51*L51)/1000, 2)</f>
        <v/>
      </c>
      <c r="S51" s="79">
        <f>IF($C$8&gt;0, R51/$C$8, 0)</f>
        <v/>
      </c>
      <c r="T51" s="79">
        <f>IF(O51&gt;0, Q51/O51, 0)</f>
        <v/>
      </c>
      <c r="U51" s="12">
        <f>IF(Q51=0, "Exceeds Limit", IF(P51&lt;=O51, "Weight Limited", "Volume Limited"))</f>
        <v/>
      </c>
      <c r="V51" s="97">
        <f>B51&amp;"|"&amp;D51&amp;"|"&amp;F51</f>
        <v/>
      </c>
    </row>
    <row r="52" ht="19" customHeight="1">
      <c r="A52" s="98" t="n">
        <v>42</v>
      </c>
      <c r="B52" s="99" t="inlineStr">
        <is>
          <t>Carbon Steel</t>
        </is>
      </c>
      <c r="C52" s="19" t="inlineStr">
        <is>
          <t>ASME B36.10M / B36.19M</t>
        </is>
      </c>
      <c r="D52" s="18" t="inlineStr">
        <is>
          <t>3/4''</t>
        </is>
      </c>
      <c r="E52" s="98" t="n">
        <v>20</v>
      </c>
      <c r="F52" s="18" t="inlineStr">
        <is>
          <t>5</t>
        </is>
      </c>
      <c r="G52" s="20" t="n">
        <v>1.05</v>
      </c>
      <c r="H52" s="82" t="n">
        <v>26.67</v>
      </c>
      <c r="I52" s="20" t="n">
        <v>0.065</v>
      </c>
      <c r="J52" s="82" t="n">
        <v>1.65</v>
      </c>
      <c r="K52" s="20">
        <f>ROUND((H52-J52)*J52*IF(B52="Carbon Steel",$K$7,IF(B52="Stainless Steel 304",$K$8,$L$8)), 3)</f>
        <v/>
      </c>
      <c r="L52" s="82">
        <f>ROUND(K52*$G$5, 2)</f>
        <v/>
      </c>
      <c r="M52" s="98">
        <f>INT($G$6/H52)</f>
        <v/>
      </c>
      <c r="N52" s="98">
        <f>IF(M52=0, 0, IF(OR($K$6="Square Grid", M52=1), INT($G$7/H52), IF($G$7&lt;H52, 0, 1+INT(($G$7-H52)/(0.8660254*H52)))))</f>
        <v/>
      </c>
      <c r="O52" s="84">
        <f>IF(OR(M52=0,N52=0), 0, IF(OR($K$6="Square Grid", M52=1), M52*N52*$K$5, (INT((N52+1)/2)*M52 + INT(N52/2)*IF(($G$6-M52*H52)&gt;=0.5*H52, M52, M52-1))*$K$5))</f>
        <v/>
      </c>
      <c r="P52" s="84">
        <f>IF(L52&lt;=0, 0, INT($G$8/L52))</f>
        <v/>
      </c>
      <c r="Q52" s="95">
        <f>MIN(O52, P52)</f>
        <v/>
      </c>
      <c r="R52" s="96">
        <f>ROUND((Q52*L52)/1000, 2)</f>
        <v/>
      </c>
      <c r="S52" s="85">
        <f>IF($C$8&gt;0, R52/$C$8, 0)</f>
        <v/>
      </c>
      <c r="T52" s="85">
        <f>IF(O52&gt;0, Q52/O52, 0)</f>
        <v/>
      </c>
      <c r="U52" s="18">
        <f>IF(Q52=0, "Exceeds Limit", IF(P52&lt;=O52, "Weight Limited", "Volume Limited"))</f>
        <v/>
      </c>
      <c r="V52" s="100">
        <f>B52&amp;"|"&amp;D52&amp;"|"&amp;F52</f>
        <v/>
      </c>
    </row>
    <row r="53" ht="19" customHeight="1">
      <c r="A53" s="93" t="n">
        <v>43</v>
      </c>
      <c r="B53" s="94" t="inlineStr">
        <is>
          <t>Carbon Steel</t>
        </is>
      </c>
      <c r="C53" s="13" t="inlineStr">
        <is>
          <t>ASME B36.10M / B36.19M</t>
        </is>
      </c>
      <c r="D53" s="12" t="inlineStr">
        <is>
          <t>3/4''</t>
        </is>
      </c>
      <c r="E53" s="93" t="n">
        <v>20</v>
      </c>
      <c r="F53" s="12" t="inlineStr">
        <is>
          <t>10S</t>
        </is>
      </c>
      <c r="G53" s="14" t="n">
        <v>1.05</v>
      </c>
      <c r="H53" s="78" t="n">
        <v>26.67</v>
      </c>
      <c r="I53" s="14" t="n">
        <v>0.083</v>
      </c>
      <c r="J53" s="78" t="n">
        <v>2.11</v>
      </c>
      <c r="K53" s="14">
        <f>ROUND((H53-J53)*J53*IF(B53="Carbon Steel",$K$7,IF(B53="Stainless Steel 304",$K$8,$L$8)), 3)</f>
        <v/>
      </c>
      <c r="L53" s="78">
        <f>ROUND(K53*$G$5, 2)</f>
        <v/>
      </c>
      <c r="M53" s="93">
        <f>INT($G$6/H53)</f>
        <v/>
      </c>
      <c r="N53" s="93">
        <f>IF(M53=0, 0, IF(OR($K$6="Square Grid", M53=1), INT($G$7/H53), IF($G$7&lt;H53, 0, 1+INT(($G$7-H53)/(0.8660254*H53)))))</f>
        <v/>
      </c>
      <c r="O53" s="59">
        <f>IF(OR(M53=0,N53=0), 0, IF(OR($K$6="Square Grid", M53=1), M53*N53*$K$5, (INT((N53+1)/2)*M53 + INT(N53/2)*IF(($G$6-M53*H53)&gt;=0.5*H53, M53, M53-1))*$K$5))</f>
        <v/>
      </c>
      <c r="P53" s="59">
        <f>IF(L53&lt;=0, 0, INT($G$8/L53))</f>
        <v/>
      </c>
      <c r="Q53" s="95">
        <f>MIN(O53, P53)</f>
        <v/>
      </c>
      <c r="R53" s="96">
        <f>ROUND((Q53*L53)/1000, 2)</f>
        <v/>
      </c>
      <c r="S53" s="79">
        <f>IF($C$8&gt;0, R53/$C$8, 0)</f>
        <v/>
      </c>
      <c r="T53" s="79">
        <f>IF(O53&gt;0, Q53/O53, 0)</f>
        <v/>
      </c>
      <c r="U53" s="12">
        <f>IF(Q53=0, "Exceeds Limit", IF(P53&lt;=O53, "Weight Limited", "Volume Limited"))</f>
        <v/>
      </c>
      <c r="V53" s="97">
        <f>B53&amp;"|"&amp;D53&amp;"|"&amp;F53</f>
        <v/>
      </c>
    </row>
    <row r="54" ht="19" customHeight="1">
      <c r="A54" s="98" t="n">
        <v>44</v>
      </c>
      <c r="B54" s="99" t="inlineStr">
        <is>
          <t>Carbon Steel</t>
        </is>
      </c>
      <c r="C54" s="19" t="inlineStr">
        <is>
          <t>ASME B36.10M / B36.19M</t>
        </is>
      </c>
      <c r="D54" s="18" t="inlineStr">
        <is>
          <t>3/4''</t>
        </is>
      </c>
      <c r="E54" s="98" t="n">
        <v>20</v>
      </c>
      <c r="F54" s="18" t="inlineStr">
        <is>
          <t>10</t>
        </is>
      </c>
      <c r="G54" s="20" t="n">
        <v>1.05</v>
      </c>
      <c r="H54" s="82" t="n">
        <v>26.67</v>
      </c>
      <c r="I54" s="20" t="n">
        <v>0.083</v>
      </c>
      <c r="J54" s="82" t="n">
        <v>2.11</v>
      </c>
      <c r="K54" s="20">
        <f>ROUND((H54-J54)*J54*IF(B54="Carbon Steel",$K$7,IF(B54="Stainless Steel 304",$K$8,$L$8)), 3)</f>
        <v/>
      </c>
      <c r="L54" s="82">
        <f>ROUND(K54*$G$5, 2)</f>
        <v/>
      </c>
      <c r="M54" s="98">
        <f>INT($G$6/H54)</f>
        <v/>
      </c>
      <c r="N54" s="98">
        <f>IF(M54=0, 0, IF(OR($K$6="Square Grid", M54=1), INT($G$7/H54), IF($G$7&lt;H54, 0, 1+INT(($G$7-H54)/(0.8660254*H54)))))</f>
        <v/>
      </c>
      <c r="O54" s="84">
        <f>IF(OR(M54=0,N54=0), 0, IF(OR($K$6="Square Grid", M54=1), M54*N54*$K$5, (INT((N54+1)/2)*M54 + INT(N54/2)*IF(($G$6-M54*H54)&gt;=0.5*H54, M54, M54-1))*$K$5))</f>
        <v/>
      </c>
      <c r="P54" s="84">
        <f>IF(L54&lt;=0, 0, INT($G$8/L54))</f>
        <v/>
      </c>
      <c r="Q54" s="95">
        <f>MIN(O54, P54)</f>
        <v/>
      </c>
      <c r="R54" s="96">
        <f>ROUND((Q54*L54)/1000, 2)</f>
        <v/>
      </c>
      <c r="S54" s="85">
        <f>IF($C$8&gt;0, R54/$C$8, 0)</f>
        <v/>
      </c>
      <c r="T54" s="85">
        <f>IF(O54&gt;0, Q54/O54, 0)</f>
        <v/>
      </c>
      <c r="U54" s="18">
        <f>IF(Q54=0, "Exceeds Limit", IF(P54&lt;=O54, "Weight Limited", "Volume Limited"))</f>
        <v/>
      </c>
      <c r="V54" s="100">
        <f>B54&amp;"|"&amp;D54&amp;"|"&amp;F54</f>
        <v/>
      </c>
    </row>
    <row r="55" ht="19" customHeight="1">
      <c r="A55" s="93" t="n">
        <v>45</v>
      </c>
      <c r="B55" s="94" t="inlineStr">
        <is>
          <t>Carbon Steel</t>
        </is>
      </c>
      <c r="C55" s="13" t="inlineStr">
        <is>
          <t>ASME B36.10M / B36.19M</t>
        </is>
      </c>
      <c r="D55" s="12" t="inlineStr">
        <is>
          <t>3/4''</t>
        </is>
      </c>
      <c r="E55" s="93" t="n">
        <v>20</v>
      </c>
      <c r="F55" s="12" t="inlineStr">
        <is>
          <t>30</t>
        </is>
      </c>
      <c r="G55" s="14" t="n">
        <v>1.05</v>
      </c>
      <c r="H55" s="78" t="n">
        <v>26.67</v>
      </c>
      <c r="I55" s="14" t="n">
        <v>0.095</v>
      </c>
      <c r="J55" s="78" t="n">
        <v>2.41</v>
      </c>
      <c r="K55" s="14">
        <f>ROUND((H55-J55)*J55*IF(B55="Carbon Steel",$K$7,IF(B55="Stainless Steel 304",$K$8,$L$8)), 3)</f>
        <v/>
      </c>
      <c r="L55" s="78">
        <f>ROUND(K55*$G$5, 2)</f>
        <v/>
      </c>
      <c r="M55" s="93">
        <f>INT($G$6/H55)</f>
        <v/>
      </c>
      <c r="N55" s="93">
        <f>IF(M55=0, 0, IF(OR($K$6="Square Grid", M55=1), INT($G$7/H55), IF($G$7&lt;H55, 0, 1+INT(($G$7-H55)/(0.8660254*H55)))))</f>
        <v/>
      </c>
      <c r="O55" s="59">
        <f>IF(OR(M55=0,N55=0), 0, IF(OR($K$6="Square Grid", M55=1), M55*N55*$K$5, (INT((N55+1)/2)*M55 + INT(N55/2)*IF(($G$6-M55*H55)&gt;=0.5*H55, M55, M55-1))*$K$5))</f>
        <v/>
      </c>
      <c r="P55" s="59">
        <f>IF(L55&lt;=0, 0, INT($G$8/L55))</f>
        <v/>
      </c>
      <c r="Q55" s="95">
        <f>MIN(O55, P55)</f>
        <v/>
      </c>
      <c r="R55" s="96">
        <f>ROUND((Q55*L55)/1000, 2)</f>
        <v/>
      </c>
      <c r="S55" s="79">
        <f>IF($C$8&gt;0, R55/$C$8, 0)</f>
        <v/>
      </c>
      <c r="T55" s="79">
        <f>IF(O55&gt;0, Q55/O55, 0)</f>
        <v/>
      </c>
      <c r="U55" s="12">
        <f>IF(Q55=0, "Exceeds Limit", IF(P55&lt;=O55, "Weight Limited", "Volume Limited"))</f>
        <v/>
      </c>
      <c r="V55" s="97">
        <f>B55&amp;"|"&amp;D55&amp;"|"&amp;F55</f>
        <v/>
      </c>
    </row>
    <row r="56" ht="19" customHeight="1">
      <c r="A56" s="98" t="n">
        <v>46</v>
      </c>
      <c r="B56" s="99" t="inlineStr">
        <is>
          <t>Carbon Steel</t>
        </is>
      </c>
      <c r="C56" s="19" t="inlineStr">
        <is>
          <t>ASME B36.10M / B36.19M</t>
        </is>
      </c>
      <c r="D56" s="18" t="inlineStr">
        <is>
          <t>3/4''</t>
        </is>
      </c>
      <c r="E56" s="98" t="n">
        <v>20</v>
      </c>
      <c r="F56" s="18" t="inlineStr">
        <is>
          <t>40S</t>
        </is>
      </c>
      <c r="G56" s="20" t="n">
        <v>1.05</v>
      </c>
      <c r="H56" s="82" t="n">
        <v>26.67</v>
      </c>
      <c r="I56" s="20" t="n">
        <v>0.113</v>
      </c>
      <c r="J56" s="82" t="n">
        <v>2.87</v>
      </c>
      <c r="K56" s="20">
        <f>ROUND((H56-J56)*J56*IF(B56="Carbon Steel",$K$7,IF(B56="Stainless Steel 304",$K$8,$L$8)), 3)</f>
        <v/>
      </c>
      <c r="L56" s="82">
        <f>ROUND(K56*$G$5, 2)</f>
        <v/>
      </c>
      <c r="M56" s="98">
        <f>INT($G$6/H56)</f>
        <v/>
      </c>
      <c r="N56" s="98">
        <f>IF(M56=0, 0, IF(OR($K$6="Square Grid", M56=1), INT($G$7/H56), IF($G$7&lt;H56, 0, 1+INT(($G$7-H56)/(0.8660254*H56)))))</f>
        <v/>
      </c>
      <c r="O56" s="84">
        <f>IF(OR(M56=0,N56=0), 0, IF(OR($K$6="Square Grid", M56=1), M56*N56*$K$5, (INT((N56+1)/2)*M56 + INT(N56/2)*IF(($G$6-M56*H56)&gt;=0.5*H56, M56, M56-1))*$K$5))</f>
        <v/>
      </c>
      <c r="P56" s="84">
        <f>IF(L56&lt;=0, 0, INT($G$8/L56))</f>
        <v/>
      </c>
      <c r="Q56" s="95">
        <f>MIN(O56, P56)</f>
        <v/>
      </c>
      <c r="R56" s="96">
        <f>ROUND((Q56*L56)/1000, 2)</f>
        <v/>
      </c>
      <c r="S56" s="85">
        <f>IF($C$8&gt;0, R56/$C$8, 0)</f>
        <v/>
      </c>
      <c r="T56" s="85">
        <f>IF(O56&gt;0, Q56/O56, 0)</f>
        <v/>
      </c>
      <c r="U56" s="18">
        <f>IF(Q56=0, "Exceeds Limit", IF(P56&lt;=O56, "Weight Limited", "Volume Limited"))</f>
        <v/>
      </c>
      <c r="V56" s="100">
        <f>B56&amp;"|"&amp;D56&amp;"|"&amp;F56</f>
        <v/>
      </c>
    </row>
    <row r="57" ht="19" customHeight="1">
      <c r="A57" s="93" t="n">
        <v>47</v>
      </c>
      <c r="B57" s="94" t="inlineStr">
        <is>
          <t>Carbon Steel</t>
        </is>
      </c>
      <c r="C57" s="13" t="inlineStr">
        <is>
          <t>ASME B36.10M / B36.19M</t>
        </is>
      </c>
      <c r="D57" s="12" t="inlineStr">
        <is>
          <t>3/4''</t>
        </is>
      </c>
      <c r="E57" s="93" t="n">
        <v>20</v>
      </c>
      <c r="F57" s="12" t="inlineStr">
        <is>
          <t>STD</t>
        </is>
      </c>
      <c r="G57" s="14" t="n">
        <v>1.05</v>
      </c>
      <c r="H57" s="78" t="n">
        <v>26.67</v>
      </c>
      <c r="I57" s="14" t="n">
        <v>0.113</v>
      </c>
      <c r="J57" s="78" t="n">
        <v>2.87</v>
      </c>
      <c r="K57" s="14">
        <f>ROUND((H57-J57)*J57*IF(B57="Carbon Steel",$K$7,IF(B57="Stainless Steel 304",$K$8,$L$8)), 3)</f>
        <v/>
      </c>
      <c r="L57" s="78">
        <f>ROUND(K57*$G$5, 2)</f>
        <v/>
      </c>
      <c r="M57" s="93">
        <f>INT($G$6/H57)</f>
        <v/>
      </c>
      <c r="N57" s="93">
        <f>IF(M57=0, 0, IF(OR($K$6="Square Grid", M57=1), INT($G$7/H57), IF($G$7&lt;H57, 0, 1+INT(($G$7-H57)/(0.8660254*H57)))))</f>
        <v/>
      </c>
      <c r="O57" s="59">
        <f>IF(OR(M57=0,N57=0), 0, IF(OR($K$6="Square Grid", M57=1), M57*N57*$K$5, (INT((N57+1)/2)*M57 + INT(N57/2)*IF(($G$6-M57*H57)&gt;=0.5*H57, M57, M57-1))*$K$5))</f>
        <v/>
      </c>
      <c r="P57" s="59">
        <f>IF(L57&lt;=0, 0, INT($G$8/L57))</f>
        <v/>
      </c>
      <c r="Q57" s="95">
        <f>MIN(O57, P57)</f>
        <v/>
      </c>
      <c r="R57" s="96">
        <f>ROUND((Q57*L57)/1000, 2)</f>
        <v/>
      </c>
      <c r="S57" s="79">
        <f>IF($C$8&gt;0, R57/$C$8, 0)</f>
        <v/>
      </c>
      <c r="T57" s="79">
        <f>IF(O57&gt;0, Q57/O57, 0)</f>
        <v/>
      </c>
      <c r="U57" s="12">
        <f>IF(Q57=0, "Exceeds Limit", IF(P57&lt;=O57, "Weight Limited", "Volume Limited"))</f>
        <v/>
      </c>
      <c r="V57" s="97">
        <f>B57&amp;"|"&amp;D57&amp;"|"&amp;F57</f>
        <v/>
      </c>
    </row>
    <row r="58" ht="19" customHeight="1">
      <c r="A58" s="98" t="n">
        <v>48</v>
      </c>
      <c r="B58" s="99" t="inlineStr">
        <is>
          <t>Carbon Steel</t>
        </is>
      </c>
      <c r="C58" s="19" t="inlineStr">
        <is>
          <t>ASME B36.10M / B36.19M</t>
        </is>
      </c>
      <c r="D58" s="18" t="inlineStr">
        <is>
          <t>3/4''</t>
        </is>
      </c>
      <c r="E58" s="98" t="n">
        <v>20</v>
      </c>
      <c r="F58" s="18" t="inlineStr">
        <is>
          <t>40</t>
        </is>
      </c>
      <c r="G58" s="20" t="n">
        <v>1.05</v>
      </c>
      <c r="H58" s="82" t="n">
        <v>26.67</v>
      </c>
      <c r="I58" s="20" t="n">
        <v>0.113</v>
      </c>
      <c r="J58" s="82" t="n">
        <v>2.87</v>
      </c>
      <c r="K58" s="20">
        <f>ROUND((H58-J58)*J58*IF(B58="Carbon Steel",$K$7,IF(B58="Stainless Steel 304",$K$8,$L$8)), 3)</f>
        <v/>
      </c>
      <c r="L58" s="82">
        <f>ROUND(K58*$G$5, 2)</f>
        <v/>
      </c>
      <c r="M58" s="98">
        <f>INT($G$6/H58)</f>
        <v/>
      </c>
      <c r="N58" s="98">
        <f>IF(M58=0, 0, IF(OR($K$6="Square Grid", M58=1), INT($G$7/H58), IF($G$7&lt;H58, 0, 1+INT(($G$7-H58)/(0.8660254*H58)))))</f>
        <v/>
      </c>
      <c r="O58" s="84">
        <f>IF(OR(M58=0,N58=0), 0, IF(OR($K$6="Square Grid", M58=1), M58*N58*$K$5, (INT((N58+1)/2)*M58 + INT(N58/2)*IF(($G$6-M58*H58)&gt;=0.5*H58, M58, M58-1))*$K$5))</f>
        <v/>
      </c>
      <c r="P58" s="84">
        <f>IF(L58&lt;=0, 0, INT($G$8/L58))</f>
        <v/>
      </c>
      <c r="Q58" s="95">
        <f>MIN(O58, P58)</f>
        <v/>
      </c>
      <c r="R58" s="96">
        <f>ROUND((Q58*L58)/1000, 2)</f>
        <v/>
      </c>
      <c r="S58" s="85">
        <f>IF($C$8&gt;0, R58/$C$8, 0)</f>
        <v/>
      </c>
      <c r="T58" s="85">
        <f>IF(O58&gt;0, Q58/O58, 0)</f>
        <v/>
      </c>
      <c r="U58" s="18">
        <f>IF(Q58=0, "Exceeds Limit", IF(P58&lt;=O58, "Weight Limited", "Volume Limited"))</f>
        <v/>
      </c>
      <c r="V58" s="100">
        <f>B58&amp;"|"&amp;D58&amp;"|"&amp;F58</f>
        <v/>
      </c>
    </row>
    <row r="59" ht="19" customHeight="1">
      <c r="A59" s="93" t="n">
        <v>49</v>
      </c>
      <c r="B59" s="94" t="inlineStr">
        <is>
          <t>Carbon Steel</t>
        </is>
      </c>
      <c r="C59" s="13" t="inlineStr">
        <is>
          <t>ASME B36.10M / B36.19M</t>
        </is>
      </c>
      <c r="D59" s="12" t="inlineStr">
        <is>
          <t>3/4''</t>
        </is>
      </c>
      <c r="E59" s="93" t="n">
        <v>20</v>
      </c>
      <c r="F59" s="12" t="inlineStr">
        <is>
          <t>80S</t>
        </is>
      </c>
      <c r="G59" s="14" t="n">
        <v>1.05</v>
      </c>
      <c r="H59" s="78" t="n">
        <v>26.67</v>
      </c>
      <c r="I59" s="14" t="n">
        <v>0.154</v>
      </c>
      <c r="J59" s="78" t="n">
        <v>3.91</v>
      </c>
      <c r="K59" s="14">
        <f>ROUND((H59-J59)*J59*IF(B59="Carbon Steel",$K$7,IF(B59="Stainless Steel 304",$K$8,$L$8)), 3)</f>
        <v/>
      </c>
      <c r="L59" s="78">
        <f>ROUND(K59*$G$5, 2)</f>
        <v/>
      </c>
      <c r="M59" s="93">
        <f>INT($G$6/H59)</f>
        <v/>
      </c>
      <c r="N59" s="93">
        <f>IF(M59=0, 0, IF(OR($K$6="Square Grid", M59=1), INT($G$7/H59), IF($G$7&lt;H59, 0, 1+INT(($G$7-H59)/(0.8660254*H59)))))</f>
        <v/>
      </c>
      <c r="O59" s="59">
        <f>IF(OR(M59=0,N59=0), 0, IF(OR($K$6="Square Grid", M59=1), M59*N59*$K$5, (INT((N59+1)/2)*M59 + INT(N59/2)*IF(($G$6-M59*H59)&gt;=0.5*H59, M59, M59-1))*$K$5))</f>
        <v/>
      </c>
      <c r="P59" s="59">
        <f>IF(L59&lt;=0, 0, INT($G$8/L59))</f>
        <v/>
      </c>
      <c r="Q59" s="95">
        <f>MIN(O59, P59)</f>
        <v/>
      </c>
      <c r="R59" s="96">
        <f>ROUND((Q59*L59)/1000, 2)</f>
        <v/>
      </c>
      <c r="S59" s="79">
        <f>IF($C$8&gt;0, R59/$C$8, 0)</f>
        <v/>
      </c>
      <c r="T59" s="79">
        <f>IF(O59&gt;0, Q59/O59, 0)</f>
        <v/>
      </c>
      <c r="U59" s="12">
        <f>IF(Q59=0, "Exceeds Limit", IF(P59&lt;=O59, "Weight Limited", "Volume Limited"))</f>
        <v/>
      </c>
      <c r="V59" s="97">
        <f>B59&amp;"|"&amp;D59&amp;"|"&amp;F59</f>
        <v/>
      </c>
    </row>
    <row r="60" ht="19" customHeight="1">
      <c r="A60" s="98" t="n">
        <v>50</v>
      </c>
      <c r="B60" s="99" t="inlineStr">
        <is>
          <t>Carbon Steel</t>
        </is>
      </c>
      <c r="C60" s="19" t="inlineStr">
        <is>
          <t>ASME B36.10M / B36.19M</t>
        </is>
      </c>
      <c r="D60" s="18" t="inlineStr">
        <is>
          <t>3/4''</t>
        </is>
      </c>
      <c r="E60" s="98" t="n">
        <v>20</v>
      </c>
      <c r="F60" s="18" t="inlineStr">
        <is>
          <t>XS</t>
        </is>
      </c>
      <c r="G60" s="20" t="n">
        <v>1.05</v>
      </c>
      <c r="H60" s="82" t="n">
        <v>26.67</v>
      </c>
      <c r="I60" s="20" t="n">
        <v>0.154</v>
      </c>
      <c r="J60" s="82" t="n">
        <v>3.91</v>
      </c>
      <c r="K60" s="20">
        <f>ROUND((H60-J60)*J60*IF(B60="Carbon Steel",$K$7,IF(B60="Stainless Steel 304",$K$8,$L$8)), 3)</f>
        <v/>
      </c>
      <c r="L60" s="82">
        <f>ROUND(K60*$G$5, 2)</f>
        <v/>
      </c>
      <c r="M60" s="98">
        <f>INT($G$6/H60)</f>
        <v/>
      </c>
      <c r="N60" s="98">
        <f>IF(M60=0, 0, IF(OR($K$6="Square Grid", M60=1), INT($G$7/H60), IF($G$7&lt;H60, 0, 1+INT(($G$7-H60)/(0.8660254*H60)))))</f>
        <v/>
      </c>
      <c r="O60" s="84">
        <f>IF(OR(M60=0,N60=0), 0, IF(OR($K$6="Square Grid", M60=1), M60*N60*$K$5, (INT((N60+1)/2)*M60 + INT(N60/2)*IF(($G$6-M60*H60)&gt;=0.5*H60, M60, M60-1))*$K$5))</f>
        <v/>
      </c>
      <c r="P60" s="84">
        <f>IF(L60&lt;=0, 0, INT($G$8/L60))</f>
        <v/>
      </c>
      <c r="Q60" s="95">
        <f>MIN(O60, P60)</f>
        <v/>
      </c>
      <c r="R60" s="96">
        <f>ROUND((Q60*L60)/1000, 2)</f>
        <v/>
      </c>
      <c r="S60" s="85">
        <f>IF($C$8&gt;0, R60/$C$8, 0)</f>
        <v/>
      </c>
      <c r="T60" s="85">
        <f>IF(O60&gt;0, Q60/O60, 0)</f>
        <v/>
      </c>
      <c r="U60" s="18">
        <f>IF(Q60=0, "Exceeds Limit", IF(P60&lt;=O60, "Weight Limited", "Volume Limited"))</f>
        <v/>
      </c>
      <c r="V60" s="100">
        <f>B60&amp;"|"&amp;D60&amp;"|"&amp;F60</f>
        <v/>
      </c>
    </row>
    <row r="61" ht="19" customHeight="1">
      <c r="A61" s="93" t="n">
        <v>51</v>
      </c>
      <c r="B61" s="94" t="inlineStr">
        <is>
          <t>Carbon Steel</t>
        </is>
      </c>
      <c r="C61" s="13" t="inlineStr">
        <is>
          <t>ASME B36.10M / B36.19M</t>
        </is>
      </c>
      <c r="D61" s="12" t="inlineStr">
        <is>
          <t>3/4''</t>
        </is>
      </c>
      <c r="E61" s="93" t="n">
        <v>20</v>
      </c>
      <c r="F61" s="12" t="inlineStr">
        <is>
          <t>80</t>
        </is>
      </c>
      <c r="G61" s="14" t="n">
        <v>1.05</v>
      </c>
      <c r="H61" s="78" t="n">
        <v>26.67</v>
      </c>
      <c r="I61" s="14" t="n">
        <v>0.154</v>
      </c>
      <c r="J61" s="78" t="n">
        <v>3.91</v>
      </c>
      <c r="K61" s="14">
        <f>ROUND((H61-J61)*J61*IF(B61="Carbon Steel",$K$7,IF(B61="Stainless Steel 304",$K$8,$L$8)), 3)</f>
        <v/>
      </c>
      <c r="L61" s="78">
        <f>ROUND(K61*$G$5, 2)</f>
        <v/>
      </c>
      <c r="M61" s="93">
        <f>INT($G$6/H61)</f>
        <v/>
      </c>
      <c r="N61" s="93">
        <f>IF(M61=0, 0, IF(OR($K$6="Square Grid", M61=1), INT($G$7/H61), IF($G$7&lt;H61, 0, 1+INT(($G$7-H61)/(0.8660254*H61)))))</f>
        <v/>
      </c>
      <c r="O61" s="59">
        <f>IF(OR(M61=0,N61=0), 0, IF(OR($K$6="Square Grid", M61=1), M61*N61*$K$5, (INT((N61+1)/2)*M61 + INT(N61/2)*IF(($G$6-M61*H61)&gt;=0.5*H61, M61, M61-1))*$K$5))</f>
        <v/>
      </c>
      <c r="P61" s="59">
        <f>IF(L61&lt;=0, 0, INT($G$8/L61))</f>
        <v/>
      </c>
      <c r="Q61" s="95">
        <f>MIN(O61, P61)</f>
        <v/>
      </c>
      <c r="R61" s="96">
        <f>ROUND((Q61*L61)/1000, 2)</f>
        <v/>
      </c>
      <c r="S61" s="79">
        <f>IF($C$8&gt;0, R61/$C$8, 0)</f>
        <v/>
      </c>
      <c r="T61" s="79">
        <f>IF(O61&gt;0, Q61/O61, 0)</f>
        <v/>
      </c>
      <c r="U61" s="12">
        <f>IF(Q61=0, "Exceeds Limit", IF(P61&lt;=O61, "Weight Limited", "Volume Limited"))</f>
        <v/>
      </c>
      <c r="V61" s="97">
        <f>B61&amp;"|"&amp;D61&amp;"|"&amp;F61</f>
        <v/>
      </c>
    </row>
    <row r="62" ht="19" customHeight="1">
      <c r="A62" s="98" t="n">
        <v>52</v>
      </c>
      <c r="B62" s="99" t="inlineStr">
        <is>
          <t>Carbon Steel</t>
        </is>
      </c>
      <c r="C62" s="19" t="inlineStr">
        <is>
          <t>ASME B36.10M / B36.19M</t>
        </is>
      </c>
      <c r="D62" s="18" t="inlineStr">
        <is>
          <t>3/4''</t>
        </is>
      </c>
      <c r="E62" s="98" t="n">
        <v>20</v>
      </c>
      <c r="F62" s="18" t="inlineStr">
        <is>
          <t>160</t>
        </is>
      </c>
      <c r="G62" s="20" t="n">
        <v>1.05</v>
      </c>
      <c r="H62" s="82" t="n">
        <v>26.67</v>
      </c>
      <c r="I62" s="20" t="n">
        <v>0.219</v>
      </c>
      <c r="J62" s="82" t="n">
        <v>5.56</v>
      </c>
      <c r="K62" s="20">
        <f>ROUND((H62-J62)*J62*IF(B62="Carbon Steel",$K$7,IF(B62="Stainless Steel 304",$K$8,$L$8)), 3)</f>
        <v/>
      </c>
      <c r="L62" s="82">
        <f>ROUND(K62*$G$5, 2)</f>
        <v/>
      </c>
      <c r="M62" s="98">
        <f>INT($G$6/H62)</f>
        <v/>
      </c>
      <c r="N62" s="98">
        <f>IF(M62=0, 0, IF(OR($K$6="Square Grid", M62=1), INT($G$7/H62), IF($G$7&lt;H62, 0, 1+INT(($G$7-H62)/(0.8660254*H62)))))</f>
        <v/>
      </c>
      <c r="O62" s="84">
        <f>IF(OR(M62=0,N62=0), 0, IF(OR($K$6="Square Grid", M62=1), M62*N62*$K$5, (INT((N62+1)/2)*M62 + INT(N62/2)*IF(($G$6-M62*H62)&gt;=0.5*H62, M62, M62-1))*$K$5))</f>
        <v/>
      </c>
      <c r="P62" s="84">
        <f>IF(L62&lt;=0, 0, INT($G$8/L62))</f>
        <v/>
      </c>
      <c r="Q62" s="95">
        <f>MIN(O62, P62)</f>
        <v/>
      </c>
      <c r="R62" s="96">
        <f>ROUND((Q62*L62)/1000, 2)</f>
        <v/>
      </c>
      <c r="S62" s="85">
        <f>IF($C$8&gt;0, R62/$C$8, 0)</f>
        <v/>
      </c>
      <c r="T62" s="85">
        <f>IF(O62&gt;0, Q62/O62, 0)</f>
        <v/>
      </c>
      <c r="U62" s="18">
        <f>IF(Q62=0, "Exceeds Limit", IF(P62&lt;=O62, "Weight Limited", "Volume Limited"))</f>
        <v/>
      </c>
      <c r="V62" s="100">
        <f>B62&amp;"|"&amp;D62&amp;"|"&amp;F62</f>
        <v/>
      </c>
    </row>
    <row r="63" ht="19" customHeight="1">
      <c r="A63" s="93" t="n">
        <v>53</v>
      </c>
      <c r="B63" s="94" t="inlineStr">
        <is>
          <t>Carbon Steel</t>
        </is>
      </c>
      <c r="C63" s="13" t="inlineStr">
        <is>
          <t>ASME B36.10M / B36.19M</t>
        </is>
      </c>
      <c r="D63" s="12" t="inlineStr">
        <is>
          <t>3/4''</t>
        </is>
      </c>
      <c r="E63" s="93" t="n">
        <v>20</v>
      </c>
      <c r="F63" s="12" t="inlineStr">
        <is>
          <t>XXS</t>
        </is>
      </c>
      <c r="G63" s="14" t="n">
        <v>1.05</v>
      </c>
      <c r="H63" s="78" t="n">
        <v>26.67</v>
      </c>
      <c r="I63" s="14" t="n">
        <v>0.308</v>
      </c>
      <c r="J63" s="78" t="n">
        <v>7.82</v>
      </c>
      <c r="K63" s="14">
        <f>ROUND((H63-J63)*J63*IF(B63="Carbon Steel",$K$7,IF(B63="Stainless Steel 304",$K$8,$L$8)), 3)</f>
        <v/>
      </c>
      <c r="L63" s="78">
        <f>ROUND(K63*$G$5, 2)</f>
        <v/>
      </c>
      <c r="M63" s="93">
        <f>INT($G$6/H63)</f>
        <v/>
      </c>
      <c r="N63" s="93">
        <f>IF(M63=0, 0, IF(OR($K$6="Square Grid", M63=1), INT($G$7/H63), IF($G$7&lt;H63, 0, 1+INT(($G$7-H63)/(0.8660254*H63)))))</f>
        <v/>
      </c>
      <c r="O63" s="59">
        <f>IF(OR(M63=0,N63=0), 0, IF(OR($K$6="Square Grid", M63=1), M63*N63*$K$5, (INT((N63+1)/2)*M63 + INT(N63/2)*IF(($G$6-M63*H63)&gt;=0.5*H63, M63, M63-1))*$K$5))</f>
        <v/>
      </c>
      <c r="P63" s="59">
        <f>IF(L63&lt;=0, 0, INT($G$8/L63))</f>
        <v/>
      </c>
      <c r="Q63" s="95">
        <f>MIN(O63, P63)</f>
        <v/>
      </c>
      <c r="R63" s="96">
        <f>ROUND((Q63*L63)/1000, 2)</f>
        <v/>
      </c>
      <c r="S63" s="79">
        <f>IF($C$8&gt;0, R63/$C$8, 0)</f>
        <v/>
      </c>
      <c r="T63" s="79">
        <f>IF(O63&gt;0, Q63/O63, 0)</f>
        <v/>
      </c>
      <c r="U63" s="12">
        <f>IF(Q63=0, "Exceeds Limit", IF(P63&lt;=O63, "Weight Limited", "Volume Limited"))</f>
        <v/>
      </c>
      <c r="V63" s="97">
        <f>B63&amp;"|"&amp;D63&amp;"|"&amp;F63</f>
        <v/>
      </c>
    </row>
    <row r="64" ht="19" customHeight="1">
      <c r="A64" s="98" t="n">
        <v>54</v>
      </c>
      <c r="B64" s="99" t="inlineStr">
        <is>
          <t>Carbon Steel</t>
        </is>
      </c>
      <c r="C64" s="19" t="inlineStr">
        <is>
          <t>ASME B36.10M / B36.19M</t>
        </is>
      </c>
      <c r="D64" s="18" t="inlineStr">
        <is>
          <t>1''</t>
        </is>
      </c>
      <c r="E64" s="98" t="n">
        <v>25</v>
      </c>
      <c r="F64" s="18" t="inlineStr">
        <is>
          <t>5S</t>
        </is>
      </c>
      <c r="G64" s="20" t="n">
        <v>1.315</v>
      </c>
      <c r="H64" s="82" t="n">
        <v>33.4</v>
      </c>
      <c r="I64" s="20" t="n">
        <v>0.065</v>
      </c>
      <c r="J64" s="82" t="n">
        <v>1.65</v>
      </c>
      <c r="K64" s="20">
        <f>ROUND((H64-J64)*J64*IF(B64="Carbon Steel",$K$7,IF(B64="Stainless Steel 304",$K$8,$L$8)), 3)</f>
        <v/>
      </c>
      <c r="L64" s="82">
        <f>ROUND(K64*$G$5, 2)</f>
        <v/>
      </c>
      <c r="M64" s="98">
        <f>INT($G$6/H64)</f>
        <v/>
      </c>
      <c r="N64" s="98">
        <f>IF(M64=0, 0, IF(OR($K$6="Square Grid", M64=1), INT($G$7/H64), IF($G$7&lt;H64, 0, 1+INT(($G$7-H64)/(0.8660254*H64)))))</f>
        <v/>
      </c>
      <c r="O64" s="84">
        <f>IF(OR(M64=0,N64=0), 0, IF(OR($K$6="Square Grid", M64=1), M64*N64*$K$5, (INT((N64+1)/2)*M64 + INT(N64/2)*IF(($G$6-M64*H64)&gt;=0.5*H64, M64, M64-1))*$K$5))</f>
        <v/>
      </c>
      <c r="P64" s="84">
        <f>IF(L64&lt;=0, 0, INT($G$8/L64))</f>
        <v/>
      </c>
      <c r="Q64" s="95">
        <f>MIN(O64, P64)</f>
        <v/>
      </c>
      <c r="R64" s="96">
        <f>ROUND((Q64*L64)/1000, 2)</f>
        <v/>
      </c>
      <c r="S64" s="85">
        <f>IF($C$8&gt;0, R64/$C$8, 0)</f>
        <v/>
      </c>
      <c r="T64" s="85">
        <f>IF(O64&gt;0, Q64/O64, 0)</f>
        <v/>
      </c>
      <c r="U64" s="18">
        <f>IF(Q64=0, "Exceeds Limit", IF(P64&lt;=O64, "Weight Limited", "Volume Limited"))</f>
        <v/>
      </c>
      <c r="V64" s="100">
        <f>B64&amp;"|"&amp;D64&amp;"|"&amp;F64</f>
        <v/>
      </c>
    </row>
    <row r="65" ht="19" customHeight="1">
      <c r="A65" s="93" t="n">
        <v>55</v>
      </c>
      <c r="B65" s="94" t="inlineStr">
        <is>
          <t>Carbon Steel</t>
        </is>
      </c>
      <c r="C65" s="13" t="inlineStr">
        <is>
          <t>ASME B36.10M / B36.19M</t>
        </is>
      </c>
      <c r="D65" s="12" t="inlineStr">
        <is>
          <t>1''</t>
        </is>
      </c>
      <c r="E65" s="93" t="n">
        <v>25</v>
      </c>
      <c r="F65" s="12" t="inlineStr">
        <is>
          <t>5</t>
        </is>
      </c>
      <c r="G65" s="14" t="n">
        <v>1.315</v>
      </c>
      <c r="H65" s="78" t="n">
        <v>33.4</v>
      </c>
      <c r="I65" s="14" t="n">
        <v>0.065</v>
      </c>
      <c r="J65" s="78" t="n">
        <v>1.65</v>
      </c>
      <c r="K65" s="14">
        <f>ROUND((H65-J65)*J65*IF(B65="Carbon Steel",$K$7,IF(B65="Stainless Steel 304",$K$8,$L$8)), 3)</f>
        <v/>
      </c>
      <c r="L65" s="78">
        <f>ROUND(K65*$G$5, 2)</f>
        <v/>
      </c>
      <c r="M65" s="93">
        <f>INT($G$6/H65)</f>
        <v/>
      </c>
      <c r="N65" s="93">
        <f>IF(M65=0, 0, IF(OR($K$6="Square Grid", M65=1), INT($G$7/H65), IF($G$7&lt;H65, 0, 1+INT(($G$7-H65)/(0.8660254*H65)))))</f>
        <v/>
      </c>
      <c r="O65" s="59">
        <f>IF(OR(M65=0,N65=0), 0, IF(OR($K$6="Square Grid", M65=1), M65*N65*$K$5, (INT((N65+1)/2)*M65 + INT(N65/2)*IF(($G$6-M65*H65)&gt;=0.5*H65, M65, M65-1))*$K$5))</f>
        <v/>
      </c>
      <c r="P65" s="59">
        <f>IF(L65&lt;=0, 0, INT($G$8/L65))</f>
        <v/>
      </c>
      <c r="Q65" s="95">
        <f>MIN(O65, P65)</f>
        <v/>
      </c>
      <c r="R65" s="96">
        <f>ROUND((Q65*L65)/1000, 2)</f>
        <v/>
      </c>
      <c r="S65" s="79">
        <f>IF($C$8&gt;0, R65/$C$8, 0)</f>
        <v/>
      </c>
      <c r="T65" s="79">
        <f>IF(O65&gt;0, Q65/O65, 0)</f>
        <v/>
      </c>
      <c r="U65" s="12">
        <f>IF(Q65=0, "Exceeds Limit", IF(P65&lt;=O65, "Weight Limited", "Volume Limited"))</f>
        <v/>
      </c>
      <c r="V65" s="97">
        <f>B65&amp;"|"&amp;D65&amp;"|"&amp;F65</f>
        <v/>
      </c>
    </row>
    <row r="66" ht="19" customHeight="1">
      <c r="A66" s="98" t="n">
        <v>56</v>
      </c>
      <c r="B66" s="99" t="inlineStr">
        <is>
          <t>Carbon Steel</t>
        </is>
      </c>
      <c r="C66" s="19" t="inlineStr">
        <is>
          <t>ASME B36.10M / B36.19M</t>
        </is>
      </c>
      <c r="D66" s="18" t="inlineStr">
        <is>
          <t>1''</t>
        </is>
      </c>
      <c r="E66" s="98" t="n">
        <v>25</v>
      </c>
      <c r="F66" s="18" t="inlineStr">
        <is>
          <t>10S</t>
        </is>
      </c>
      <c r="G66" s="20" t="n">
        <v>1.315</v>
      </c>
      <c r="H66" s="82" t="n">
        <v>33.4</v>
      </c>
      <c r="I66" s="20" t="n">
        <v>0.109</v>
      </c>
      <c r="J66" s="82" t="n">
        <v>2.77</v>
      </c>
      <c r="K66" s="20">
        <f>ROUND((H66-J66)*J66*IF(B66="Carbon Steel",$K$7,IF(B66="Stainless Steel 304",$K$8,$L$8)), 3)</f>
        <v/>
      </c>
      <c r="L66" s="82">
        <f>ROUND(K66*$G$5, 2)</f>
        <v/>
      </c>
      <c r="M66" s="98">
        <f>INT($G$6/H66)</f>
        <v/>
      </c>
      <c r="N66" s="98">
        <f>IF(M66=0, 0, IF(OR($K$6="Square Grid", M66=1), INT($G$7/H66), IF($G$7&lt;H66, 0, 1+INT(($G$7-H66)/(0.8660254*H66)))))</f>
        <v/>
      </c>
      <c r="O66" s="84">
        <f>IF(OR(M66=0,N66=0), 0, IF(OR($K$6="Square Grid", M66=1), M66*N66*$K$5, (INT((N66+1)/2)*M66 + INT(N66/2)*IF(($G$6-M66*H66)&gt;=0.5*H66, M66, M66-1))*$K$5))</f>
        <v/>
      </c>
      <c r="P66" s="84">
        <f>IF(L66&lt;=0, 0, INT($G$8/L66))</f>
        <v/>
      </c>
      <c r="Q66" s="95">
        <f>MIN(O66, P66)</f>
        <v/>
      </c>
      <c r="R66" s="96">
        <f>ROUND((Q66*L66)/1000, 2)</f>
        <v/>
      </c>
      <c r="S66" s="85">
        <f>IF($C$8&gt;0, R66/$C$8, 0)</f>
        <v/>
      </c>
      <c r="T66" s="85">
        <f>IF(O66&gt;0, Q66/O66, 0)</f>
        <v/>
      </c>
      <c r="U66" s="18">
        <f>IF(Q66=0, "Exceeds Limit", IF(P66&lt;=O66, "Weight Limited", "Volume Limited"))</f>
        <v/>
      </c>
      <c r="V66" s="100">
        <f>B66&amp;"|"&amp;D66&amp;"|"&amp;F66</f>
        <v/>
      </c>
    </row>
    <row r="67" ht="19" customHeight="1">
      <c r="A67" s="93" t="n">
        <v>57</v>
      </c>
      <c r="B67" s="94" t="inlineStr">
        <is>
          <t>Carbon Steel</t>
        </is>
      </c>
      <c r="C67" s="13" t="inlineStr">
        <is>
          <t>ASME B36.10M / B36.19M</t>
        </is>
      </c>
      <c r="D67" s="12" t="inlineStr">
        <is>
          <t>1''</t>
        </is>
      </c>
      <c r="E67" s="93" t="n">
        <v>25</v>
      </c>
      <c r="F67" s="12" t="inlineStr">
        <is>
          <t>10</t>
        </is>
      </c>
      <c r="G67" s="14" t="n">
        <v>1.315</v>
      </c>
      <c r="H67" s="78" t="n">
        <v>33.4</v>
      </c>
      <c r="I67" s="14" t="n">
        <v>0.109</v>
      </c>
      <c r="J67" s="78" t="n">
        <v>2.77</v>
      </c>
      <c r="K67" s="14">
        <f>ROUND((H67-J67)*J67*IF(B67="Carbon Steel",$K$7,IF(B67="Stainless Steel 304",$K$8,$L$8)), 3)</f>
        <v/>
      </c>
      <c r="L67" s="78">
        <f>ROUND(K67*$G$5, 2)</f>
        <v/>
      </c>
      <c r="M67" s="93">
        <f>INT($G$6/H67)</f>
        <v/>
      </c>
      <c r="N67" s="93">
        <f>IF(M67=0, 0, IF(OR($K$6="Square Grid", M67=1), INT($G$7/H67), IF($G$7&lt;H67, 0, 1+INT(($G$7-H67)/(0.8660254*H67)))))</f>
        <v/>
      </c>
      <c r="O67" s="59">
        <f>IF(OR(M67=0,N67=0), 0, IF(OR($K$6="Square Grid", M67=1), M67*N67*$K$5, (INT((N67+1)/2)*M67 + INT(N67/2)*IF(($G$6-M67*H67)&gt;=0.5*H67, M67, M67-1))*$K$5))</f>
        <v/>
      </c>
      <c r="P67" s="59">
        <f>IF(L67&lt;=0, 0, INT($G$8/L67))</f>
        <v/>
      </c>
      <c r="Q67" s="95">
        <f>MIN(O67, P67)</f>
        <v/>
      </c>
      <c r="R67" s="96">
        <f>ROUND((Q67*L67)/1000, 2)</f>
        <v/>
      </c>
      <c r="S67" s="79">
        <f>IF($C$8&gt;0, R67/$C$8, 0)</f>
        <v/>
      </c>
      <c r="T67" s="79">
        <f>IF(O67&gt;0, Q67/O67, 0)</f>
        <v/>
      </c>
      <c r="U67" s="12">
        <f>IF(Q67=0, "Exceeds Limit", IF(P67&lt;=O67, "Weight Limited", "Volume Limited"))</f>
        <v/>
      </c>
      <c r="V67" s="97">
        <f>B67&amp;"|"&amp;D67&amp;"|"&amp;F67</f>
        <v/>
      </c>
    </row>
    <row r="68" ht="19" customHeight="1">
      <c r="A68" s="98" t="n">
        <v>58</v>
      </c>
      <c r="B68" s="99" t="inlineStr">
        <is>
          <t>Carbon Steel</t>
        </is>
      </c>
      <c r="C68" s="19" t="inlineStr">
        <is>
          <t>ASME B36.10M / B36.19M</t>
        </is>
      </c>
      <c r="D68" s="18" t="inlineStr">
        <is>
          <t>1''</t>
        </is>
      </c>
      <c r="E68" s="98" t="n">
        <v>25</v>
      </c>
      <c r="F68" s="18" t="inlineStr">
        <is>
          <t>30</t>
        </is>
      </c>
      <c r="G68" s="20" t="n">
        <v>1.315</v>
      </c>
      <c r="H68" s="82" t="n">
        <v>33.4</v>
      </c>
      <c r="I68" s="20" t="n">
        <v>0.114</v>
      </c>
      <c r="J68" s="82" t="n">
        <v>2.9</v>
      </c>
      <c r="K68" s="20">
        <f>ROUND((H68-J68)*J68*IF(B68="Carbon Steel",$K$7,IF(B68="Stainless Steel 304",$K$8,$L$8)), 3)</f>
        <v/>
      </c>
      <c r="L68" s="82">
        <f>ROUND(K68*$G$5, 2)</f>
        <v/>
      </c>
      <c r="M68" s="98">
        <f>INT($G$6/H68)</f>
        <v/>
      </c>
      <c r="N68" s="98">
        <f>IF(M68=0, 0, IF(OR($K$6="Square Grid", M68=1), INT($G$7/H68), IF($G$7&lt;H68, 0, 1+INT(($G$7-H68)/(0.8660254*H68)))))</f>
        <v/>
      </c>
      <c r="O68" s="84">
        <f>IF(OR(M68=0,N68=0), 0, IF(OR($K$6="Square Grid", M68=1), M68*N68*$K$5, (INT((N68+1)/2)*M68 + INT(N68/2)*IF(($G$6-M68*H68)&gt;=0.5*H68, M68, M68-1))*$K$5))</f>
        <v/>
      </c>
      <c r="P68" s="84">
        <f>IF(L68&lt;=0, 0, INT($G$8/L68))</f>
        <v/>
      </c>
      <c r="Q68" s="95">
        <f>MIN(O68, P68)</f>
        <v/>
      </c>
      <c r="R68" s="96">
        <f>ROUND((Q68*L68)/1000, 2)</f>
        <v/>
      </c>
      <c r="S68" s="85">
        <f>IF($C$8&gt;0, R68/$C$8, 0)</f>
        <v/>
      </c>
      <c r="T68" s="85">
        <f>IF(O68&gt;0, Q68/O68, 0)</f>
        <v/>
      </c>
      <c r="U68" s="18">
        <f>IF(Q68=0, "Exceeds Limit", IF(P68&lt;=O68, "Weight Limited", "Volume Limited"))</f>
        <v/>
      </c>
      <c r="V68" s="100">
        <f>B68&amp;"|"&amp;D68&amp;"|"&amp;F68</f>
        <v/>
      </c>
    </row>
    <row r="69" ht="19" customHeight="1">
      <c r="A69" s="93" t="n">
        <v>59</v>
      </c>
      <c r="B69" s="94" t="inlineStr">
        <is>
          <t>Carbon Steel</t>
        </is>
      </c>
      <c r="C69" s="13" t="inlineStr">
        <is>
          <t>ASME B36.10M / B36.19M</t>
        </is>
      </c>
      <c r="D69" s="12" t="inlineStr">
        <is>
          <t>1''</t>
        </is>
      </c>
      <c r="E69" s="93" t="n">
        <v>25</v>
      </c>
      <c r="F69" s="12" t="inlineStr">
        <is>
          <t>40S</t>
        </is>
      </c>
      <c r="G69" s="14" t="n">
        <v>1.315</v>
      </c>
      <c r="H69" s="78" t="n">
        <v>33.4</v>
      </c>
      <c r="I69" s="14" t="n">
        <v>0.133</v>
      </c>
      <c r="J69" s="78" t="n">
        <v>3.38</v>
      </c>
      <c r="K69" s="14">
        <f>ROUND((H69-J69)*J69*IF(B69="Carbon Steel",$K$7,IF(B69="Stainless Steel 304",$K$8,$L$8)), 3)</f>
        <v/>
      </c>
      <c r="L69" s="78">
        <f>ROUND(K69*$G$5, 2)</f>
        <v/>
      </c>
      <c r="M69" s="93">
        <f>INT($G$6/H69)</f>
        <v/>
      </c>
      <c r="N69" s="93">
        <f>IF(M69=0, 0, IF(OR($K$6="Square Grid", M69=1), INT($G$7/H69), IF($G$7&lt;H69, 0, 1+INT(($G$7-H69)/(0.8660254*H69)))))</f>
        <v/>
      </c>
      <c r="O69" s="59">
        <f>IF(OR(M69=0,N69=0), 0, IF(OR($K$6="Square Grid", M69=1), M69*N69*$K$5, (INT((N69+1)/2)*M69 + INT(N69/2)*IF(($G$6-M69*H69)&gt;=0.5*H69, M69, M69-1))*$K$5))</f>
        <v/>
      </c>
      <c r="P69" s="59">
        <f>IF(L69&lt;=0, 0, INT($G$8/L69))</f>
        <v/>
      </c>
      <c r="Q69" s="95">
        <f>MIN(O69, P69)</f>
        <v/>
      </c>
      <c r="R69" s="96">
        <f>ROUND((Q69*L69)/1000, 2)</f>
        <v/>
      </c>
      <c r="S69" s="79">
        <f>IF($C$8&gt;0, R69/$C$8, 0)</f>
        <v/>
      </c>
      <c r="T69" s="79">
        <f>IF(O69&gt;0, Q69/O69, 0)</f>
        <v/>
      </c>
      <c r="U69" s="12">
        <f>IF(Q69=0, "Exceeds Limit", IF(P69&lt;=O69, "Weight Limited", "Volume Limited"))</f>
        <v/>
      </c>
      <c r="V69" s="97">
        <f>B69&amp;"|"&amp;D69&amp;"|"&amp;F69</f>
        <v/>
      </c>
    </row>
    <row r="70" ht="19" customHeight="1">
      <c r="A70" s="98" t="n">
        <v>60</v>
      </c>
      <c r="B70" s="99" t="inlineStr">
        <is>
          <t>Carbon Steel</t>
        </is>
      </c>
      <c r="C70" s="19" t="inlineStr">
        <is>
          <t>ASME B36.10M / B36.19M</t>
        </is>
      </c>
      <c r="D70" s="18" t="inlineStr">
        <is>
          <t>1''</t>
        </is>
      </c>
      <c r="E70" s="98" t="n">
        <v>25</v>
      </c>
      <c r="F70" s="18" t="inlineStr">
        <is>
          <t>STD</t>
        </is>
      </c>
      <c r="G70" s="20" t="n">
        <v>1.315</v>
      </c>
      <c r="H70" s="82" t="n">
        <v>33.4</v>
      </c>
      <c r="I70" s="20" t="n">
        <v>0.133</v>
      </c>
      <c r="J70" s="82" t="n">
        <v>3.38</v>
      </c>
      <c r="K70" s="20">
        <f>ROUND((H70-J70)*J70*IF(B70="Carbon Steel",$K$7,IF(B70="Stainless Steel 304",$K$8,$L$8)), 3)</f>
        <v/>
      </c>
      <c r="L70" s="82">
        <f>ROUND(K70*$G$5, 2)</f>
        <v/>
      </c>
      <c r="M70" s="98">
        <f>INT($G$6/H70)</f>
        <v/>
      </c>
      <c r="N70" s="98">
        <f>IF(M70=0, 0, IF(OR($K$6="Square Grid", M70=1), INT($G$7/H70), IF($G$7&lt;H70, 0, 1+INT(($G$7-H70)/(0.8660254*H70)))))</f>
        <v/>
      </c>
      <c r="O70" s="84">
        <f>IF(OR(M70=0,N70=0), 0, IF(OR($K$6="Square Grid", M70=1), M70*N70*$K$5, (INT((N70+1)/2)*M70 + INT(N70/2)*IF(($G$6-M70*H70)&gt;=0.5*H70, M70, M70-1))*$K$5))</f>
        <v/>
      </c>
      <c r="P70" s="84">
        <f>IF(L70&lt;=0, 0, INT($G$8/L70))</f>
        <v/>
      </c>
      <c r="Q70" s="95">
        <f>MIN(O70, P70)</f>
        <v/>
      </c>
      <c r="R70" s="96">
        <f>ROUND((Q70*L70)/1000, 2)</f>
        <v/>
      </c>
      <c r="S70" s="85">
        <f>IF($C$8&gt;0, R70/$C$8, 0)</f>
        <v/>
      </c>
      <c r="T70" s="85">
        <f>IF(O70&gt;0, Q70/O70, 0)</f>
        <v/>
      </c>
      <c r="U70" s="18">
        <f>IF(Q70=0, "Exceeds Limit", IF(P70&lt;=O70, "Weight Limited", "Volume Limited"))</f>
        <v/>
      </c>
      <c r="V70" s="100">
        <f>B70&amp;"|"&amp;D70&amp;"|"&amp;F70</f>
        <v/>
      </c>
    </row>
    <row r="71" ht="19" customHeight="1">
      <c r="A71" s="93" t="n">
        <v>61</v>
      </c>
      <c r="B71" s="94" t="inlineStr">
        <is>
          <t>Carbon Steel</t>
        </is>
      </c>
      <c r="C71" s="13" t="inlineStr">
        <is>
          <t>ASME B36.10M / B36.19M</t>
        </is>
      </c>
      <c r="D71" s="12" t="inlineStr">
        <is>
          <t>1''</t>
        </is>
      </c>
      <c r="E71" s="93" t="n">
        <v>25</v>
      </c>
      <c r="F71" s="12" t="inlineStr">
        <is>
          <t>40</t>
        </is>
      </c>
      <c r="G71" s="14" t="n">
        <v>1.315</v>
      </c>
      <c r="H71" s="78" t="n">
        <v>33.4</v>
      </c>
      <c r="I71" s="14" t="n">
        <v>0.133</v>
      </c>
      <c r="J71" s="78" t="n">
        <v>3.38</v>
      </c>
      <c r="K71" s="14">
        <f>ROUND((H71-J71)*J71*IF(B71="Carbon Steel",$K$7,IF(B71="Stainless Steel 304",$K$8,$L$8)), 3)</f>
        <v/>
      </c>
      <c r="L71" s="78">
        <f>ROUND(K71*$G$5, 2)</f>
        <v/>
      </c>
      <c r="M71" s="93">
        <f>INT($G$6/H71)</f>
        <v/>
      </c>
      <c r="N71" s="93">
        <f>IF(M71=0, 0, IF(OR($K$6="Square Grid", M71=1), INT($G$7/H71), IF($G$7&lt;H71, 0, 1+INT(($G$7-H71)/(0.8660254*H71)))))</f>
        <v/>
      </c>
      <c r="O71" s="59">
        <f>IF(OR(M71=0,N71=0), 0, IF(OR($K$6="Square Grid", M71=1), M71*N71*$K$5, (INT((N71+1)/2)*M71 + INT(N71/2)*IF(($G$6-M71*H71)&gt;=0.5*H71, M71, M71-1))*$K$5))</f>
        <v/>
      </c>
      <c r="P71" s="59">
        <f>IF(L71&lt;=0, 0, INT($G$8/L71))</f>
        <v/>
      </c>
      <c r="Q71" s="95">
        <f>MIN(O71, P71)</f>
        <v/>
      </c>
      <c r="R71" s="96">
        <f>ROUND((Q71*L71)/1000, 2)</f>
        <v/>
      </c>
      <c r="S71" s="79">
        <f>IF($C$8&gt;0, R71/$C$8, 0)</f>
        <v/>
      </c>
      <c r="T71" s="79">
        <f>IF(O71&gt;0, Q71/O71, 0)</f>
        <v/>
      </c>
      <c r="U71" s="12">
        <f>IF(Q71=0, "Exceeds Limit", IF(P71&lt;=O71, "Weight Limited", "Volume Limited"))</f>
        <v/>
      </c>
      <c r="V71" s="97">
        <f>B71&amp;"|"&amp;D71&amp;"|"&amp;F71</f>
        <v/>
      </c>
    </row>
    <row r="72" ht="19" customHeight="1">
      <c r="A72" s="98" t="n">
        <v>62</v>
      </c>
      <c r="B72" s="99" t="inlineStr">
        <is>
          <t>Carbon Steel</t>
        </is>
      </c>
      <c r="C72" s="19" t="inlineStr">
        <is>
          <t>ASME B36.10M / B36.19M</t>
        </is>
      </c>
      <c r="D72" s="18" t="inlineStr">
        <is>
          <t>1''</t>
        </is>
      </c>
      <c r="E72" s="98" t="n">
        <v>25</v>
      </c>
      <c r="F72" s="18" t="inlineStr">
        <is>
          <t>80S</t>
        </is>
      </c>
      <c r="G72" s="20" t="n">
        <v>1.315</v>
      </c>
      <c r="H72" s="82" t="n">
        <v>33.4</v>
      </c>
      <c r="I72" s="20" t="n">
        <v>0.179</v>
      </c>
      <c r="J72" s="82" t="n">
        <v>4.55</v>
      </c>
      <c r="K72" s="20">
        <f>ROUND((H72-J72)*J72*IF(B72="Carbon Steel",$K$7,IF(B72="Stainless Steel 304",$K$8,$L$8)), 3)</f>
        <v/>
      </c>
      <c r="L72" s="82">
        <f>ROUND(K72*$G$5, 2)</f>
        <v/>
      </c>
      <c r="M72" s="98">
        <f>INT($G$6/H72)</f>
        <v/>
      </c>
      <c r="N72" s="98">
        <f>IF(M72=0, 0, IF(OR($K$6="Square Grid", M72=1), INT($G$7/H72), IF($G$7&lt;H72, 0, 1+INT(($G$7-H72)/(0.8660254*H72)))))</f>
        <v/>
      </c>
      <c r="O72" s="84">
        <f>IF(OR(M72=0,N72=0), 0, IF(OR($K$6="Square Grid", M72=1), M72*N72*$K$5, (INT((N72+1)/2)*M72 + INT(N72/2)*IF(($G$6-M72*H72)&gt;=0.5*H72, M72, M72-1))*$K$5))</f>
        <v/>
      </c>
      <c r="P72" s="84">
        <f>IF(L72&lt;=0, 0, INT($G$8/L72))</f>
        <v/>
      </c>
      <c r="Q72" s="95">
        <f>MIN(O72, P72)</f>
        <v/>
      </c>
      <c r="R72" s="96">
        <f>ROUND((Q72*L72)/1000, 2)</f>
        <v/>
      </c>
      <c r="S72" s="85">
        <f>IF($C$8&gt;0, R72/$C$8, 0)</f>
        <v/>
      </c>
      <c r="T72" s="85">
        <f>IF(O72&gt;0, Q72/O72, 0)</f>
        <v/>
      </c>
      <c r="U72" s="18">
        <f>IF(Q72=0, "Exceeds Limit", IF(P72&lt;=O72, "Weight Limited", "Volume Limited"))</f>
        <v/>
      </c>
      <c r="V72" s="100">
        <f>B72&amp;"|"&amp;D72&amp;"|"&amp;F72</f>
        <v/>
      </c>
    </row>
    <row r="73" ht="19" customHeight="1">
      <c r="A73" s="93" t="n">
        <v>63</v>
      </c>
      <c r="B73" s="94" t="inlineStr">
        <is>
          <t>Carbon Steel</t>
        </is>
      </c>
      <c r="C73" s="13" t="inlineStr">
        <is>
          <t>ASME B36.10M / B36.19M</t>
        </is>
      </c>
      <c r="D73" s="12" t="inlineStr">
        <is>
          <t>1''</t>
        </is>
      </c>
      <c r="E73" s="93" t="n">
        <v>25</v>
      </c>
      <c r="F73" s="12" t="inlineStr">
        <is>
          <t>XS</t>
        </is>
      </c>
      <c r="G73" s="14" t="n">
        <v>1.315</v>
      </c>
      <c r="H73" s="78" t="n">
        <v>33.4</v>
      </c>
      <c r="I73" s="14" t="n">
        <v>0.179</v>
      </c>
      <c r="J73" s="78" t="n">
        <v>4.55</v>
      </c>
      <c r="K73" s="14">
        <f>ROUND((H73-J73)*J73*IF(B73="Carbon Steel",$K$7,IF(B73="Stainless Steel 304",$K$8,$L$8)), 3)</f>
        <v/>
      </c>
      <c r="L73" s="78">
        <f>ROUND(K73*$G$5, 2)</f>
        <v/>
      </c>
      <c r="M73" s="93">
        <f>INT($G$6/H73)</f>
        <v/>
      </c>
      <c r="N73" s="93">
        <f>IF(M73=0, 0, IF(OR($K$6="Square Grid", M73=1), INT($G$7/H73), IF($G$7&lt;H73, 0, 1+INT(($G$7-H73)/(0.8660254*H73)))))</f>
        <v/>
      </c>
      <c r="O73" s="59">
        <f>IF(OR(M73=0,N73=0), 0, IF(OR($K$6="Square Grid", M73=1), M73*N73*$K$5, (INT((N73+1)/2)*M73 + INT(N73/2)*IF(($G$6-M73*H73)&gt;=0.5*H73, M73, M73-1))*$K$5))</f>
        <v/>
      </c>
      <c r="P73" s="59">
        <f>IF(L73&lt;=0, 0, INT($G$8/L73))</f>
        <v/>
      </c>
      <c r="Q73" s="95">
        <f>MIN(O73, P73)</f>
        <v/>
      </c>
      <c r="R73" s="96">
        <f>ROUND((Q73*L73)/1000, 2)</f>
        <v/>
      </c>
      <c r="S73" s="79">
        <f>IF($C$8&gt;0, R73/$C$8, 0)</f>
        <v/>
      </c>
      <c r="T73" s="79">
        <f>IF(O73&gt;0, Q73/O73, 0)</f>
        <v/>
      </c>
      <c r="U73" s="12">
        <f>IF(Q73=0, "Exceeds Limit", IF(P73&lt;=O73, "Weight Limited", "Volume Limited"))</f>
        <v/>
      </c>
      <c r="V73" s="97">
        <f>B73&amp;"|"&amp;D73&amp;"|"&amp;F73</f>
        <v/>
      </c>
    </row>
    <row r="74" ht="19" customHeight="1">
      <c r="A74" s="98" t="n">
        <v>64</v>
      </c>
      <c r="B74" s="99" t="inlineStr">
        <is>
          <t>Carbon Steel</t>
        </is>
      </c>
      <c r="C74" s="19" t="inlineStr">
        <is>
          <t>ASME B36.10M / B36.19M</t>
        </is>
      </c>
      <c r="D74" s="18" t="inlineStr">
        <is>
          <t>1''</t>
        </is>
      </c>
      <c r="E74" s="98" t="n">
        <v>25</v>
      </c>
      <c r="F74" s="18" t="inlineStr">
        <is>
          <t>80</t>
        </is>
      </c>
      <c r="G74" s="20" t="n">
        <v>1.315</v>
      </c>
      <c r="H74" s="82" t="n">
        <v>33.4</v>
      </c>
      <c r="I74" s="20" t="n">
        <v>0.179</v>
      </c>
      <c r="J74" s="82" t="n">
        <v>4.55</v>
      </c>
      <c r="K74" s="20">
        <f>ROUND((H74-J74)*J74*IF(B74="Carbon Steel",$K$7,IF(B74="Stainless Steel 304",$K$8,$L$8)), 3)</f>
        <v/>
      </c>
      <c r="L74" s="82">
        <f>ROUND(K74*$G$5, 2)</f>
        <v/>
      </c>
      <c r="M74" s="98">
        <f>INT($G$6/H74)</f>
        <v/>
      </c>
      <c r="N74" s="98">
        <f>IF(M74=0, 0, IF(OR($K$6="Square Grid", M74=1), INT($G$7/H74), IF($G$7&lt;H74, 0, 1+INT(($G$7-H74)/(0.8660254*H74)))))</f>
        <v/>
      </c>
      <c r="O74" s="84">
        <f>IF(OR(M74=0,N74=0), 0, IF(OR($K$6="Square Grid", M74=1), M74*N74*$K$5, (INT((N74+1)/2)*M74 + INT(N74/2)*IF(($G$6-M74*H74)&gt;=0.5*H74, M74, M74-1))*$K$5))</f>
        <v/>
      </c>
      <c r="P74" s="84">
        <f>IF(L74&lt;=0, 0, INT($G$8/L74))</f>
        <v/>
      </c>
      <c r="Q74" s="95">
        <f>MIN(O74, P74)</f>
        <v/>
      </c>
      <c r="R74" s="96">
        <f>ROUND((Q74*L74)/1000, 2)</f>
        <v/>
      </c>
      <c r="S74" s="85">
        <f>IF($C$8&gt;0, R74/$C$8, 0)</f>
        <v/>
      </c>
      <c r="T74" s="85">
        <f>IF(O74&gt;0, Q74/O74, 0)</f>
        <v/>
      </c>
      <c r="U74" s="18">
        <f>IF(Q74=0, "Exceeds Limit", IF(P74&lt;=O74, "Weight Limited", "Volume Limited"))</f>
        <v/>
      </c>
      <c r="V74" s="100">
        <f>B74&amp;"|"&amp;D74&amp;"|"&amp;F74</f>
        <v/>
      </c>
    </row>
    <row r="75" ht="19" customHeight="1">
      <c r="A75" s="93" t="n">
        <v>65</v>
      </c>
      <c r="B75" s="94" t="inlineStr">
        <is>
          <t>Carbon Steel</t>
        </is>
      </c>
      <c r="C75" s="13" t="inlineStr">
        <is>
          <t>ASME B36.10M / B36.19M</t>
        </is>
      </c>
      <c r="D75" s="12" t="inlineStr">
        <is>
          <t>1''</t>
        </is>
      </c>
      <c r="E75" s="93" t="n">
        <v>25</v>
      </c>
      <c r="F75" s="12" t="inlineStr">
        <is>
          <t>160</t>
        </is>
      </c>
      <c r="G75" s="14" t="n">
        <v>1.315</v>
      </c>
      <c r="H75" s="78" t="n">
        <v>33.4</v>
      </c>
      <c r="I75" s="14" t="n">
        <v>0.25</v>
      </c>
      <c r="J75" s="78" t="n">
        <v>6.35</v>
      </c>
      <c r="K75" s="14">
        <f>ROUND((H75-J75)*J75*IF(B75="Carbon Steel",$K$7,IF(B75="Stainless Steel 304",$K$8,$L$8)), 3)</f>
        <v/>
      </c>
      <c r="L75" s="78">
        <f>ROUND(K75*$G$5, 2)</f>
        <v/>
      </c>
      <c r="M75" s="93">
        <f>INT($G$6/H75)</f>
        <v/>
      </c>
      <c r="N75" s="93">
        <f>IF(M75=0, 0, IF(OR($K$6="Square Grid", M75=1), INT($G$7/H75), IF($G$7&lt;H75, 0, 1+INT(($G$7-H75)/(0.8660254*H75)))))</f>
        <v/>
      </c>
      <c r="O75" s="59">
        <f>IF(OR(M75=0,N75=0), 0, IF(OR($K$6="Square Grid", M75=1), M75*N75*$K$5, (INT((N75+1)/2)*M75 + INT(N75/2)*IF(($G$6-M75*H75)&gt;=0.5*H75, M75, M75-1))*$K$5))</f>
        <v/>
      </c>
      <c r="P75" s="59">
        <f>IF(L75&lt;=0, 0, INT($G$8/L75))</f>
        <v/>
      </c>
      <c r="Q75" s="95">
        <f>MIN(O75, P75)</f>
        <v/>
      </c>
      <c r="R75" s="96">
        <f>ROUND((Q75*L75)/1000, 2)</f>
        <v/>
      </c>
      <c r="S75" s="79">
        <f>IF($C$8&gt;0, R75/$C$8, 0)</f>
        <v/>
      </c>
      <c r="T75" s="79">
        <f>IF(O75&gt;0, Q75/O75, 0)</f>
        <v/>
      </c>
      <c r="U75" s="12">
        <f>IF(Q75=0, "Exceeds Limit", IF(P75&lt;=O75, "Weight Limited", "Volume Limited"))</f>
        <v/>
      </c>
      <c r="V75" s="97">
        <f>B75&amp;"|"&amp;D75&amp;"|"&amp;F75</f>
        <v/>
      </c>
    </row>
    <row r="76" ht="19" customHeight="1">
      <c r="A76" s="98" t="n">
        <v>66</v>
      </c>
      <c r="B76" s="99" t="inlineStr">
        <is>
          <t>Carbon Steel</t>
        </is>
      </c>
      <c r="C76" s="19" t="inlineStr">
        <is>
          <t>ASME B36.10M / B36.19M</t>
        </is>
      </c>
      <c r="D76" s="18" t="inlineStr">
        <is>
          <t>1''</t>
        </is>
      </c>
      <c r="E76" s="98" t="n">
        <v>25</v>
      </c>
      <c r="F76" s="18" t="inlineStr">
        <is>
          <t>XXS</t>
        </is>
      </c>
      <c r="G76" s="20" t="n">
        <v>1.315</v>
      </c>
      <c r="H76" s="82" t="n">
        <v>33.4</v>
      </c>
      <c r="I76" s="20" t="n">
        <v>0.358</v>
      </c>
      <c r="J76" s="82" t="n">
        <v>9.09</v>
      </c>
      <c r="K76" s="20">
        <f>ROUND((H76-J76)*J76*IF(B76="Carbon Steel",$K$7,IF(B76="Stainless Steel 304",$K$8,$L$8)), 3)</f>
        <v/>
      </c>
      <c r="L76" s="82">
        <f>ROUND(K76*$G$5, 2)</f>
        <v/>
      </c>
      <c r="M76" s="98">
        <f>INT($G$6/H76)</f>
        <v/>
      </c>
      <c r="N76" s="98">
        <f>IF(M76=0, 0, IF(OR($K$6="Square Grid", M76=1), INT($G$7/H76), IF($G$7&lt;H76, 0, 1+INT(($G$7-H76)/(0.8660254*H76)))))</f>
        <v/>
      </c>
      <c r="O76" s="84">
        <f>IF(OR(M76=0,N76=0), 0, IF(OR($K$6="Square Grid", M76=1), M76*N76*$K$5, (INT((N76+1)/2)*M76 + INT(N76/2)*IF(($G$6-M76*H76)&gt;=0.5*H76, M76, M76-1))*$K$5))</f>
        <v/>
      </c>
      <c r="P76" s="84">
        <f>IF(L76&lt;=0, 0, INT($G$8/L76))</f>
        <v/>
      </c>
      <c r="Q76" s="95">
        <f>MIN(O76, P76)</f>
        <v/>
      </c>
      <c r="R76" s="96">
        <f>ROUND((Q76*L76)/1000, 2)</f>
        <v/>
      </c>
      <c r="S76" s="85">
        <f>IF($C$8&gt;0, R76/$C$8, 0)</f>
        <v/>
      </c>
      <c r="T76" s="85">
        <f>IF(O76&gt;0, Q76/O76, 0)</f>
        <v/>
      </c>
      <c r="U76" s="18">
        <f>IF(Q76=0, "Exceeds Limit", IF(P76&lt;=O76, "Weight Limited", "Volume Limited"))</f>
        <v/>
      </c>
      <c r="V76" s="100">
        <f>B76&amp;"|"&amp;D76&amp;"|"&amp;F76</f>
        <v/>
      </c>
    </row>
    <row r="77" ht="19" customHeight="1">
      <c r="A77" s="93" t="n">
        <v>67</v>
      </c>
      <c r="B77" s="94" t="inlineStr">
        <is>
          <t>Carbon Steel</t>
        </is>
      </c>
      <c r="C77" s="13" t="inlineStr">
        <is>
          <t>ASME B36.10M / B36.19M</t>
        </is>
      </c>
      <c r="D77" s="12" t="inlineStr">
        <is>
          <t>1-1/4''</t>
        </is>
      </c>
      <c r="E77" s="93" t="n">
        <v>32</v>
      </c>
      <c r="F77" s="12" t="inlineStr">
        <is>
          <t>5S</t>
        </is>
      </c>
      <c r="G77" s="14" t="n">
        <v>1.66</v>
      </c>
      <c r="H77" s="78" t="n">
        <v>42.16</v>
      </c>
      <c r="I77" s="14" t="n">
        <v>0.065</v>
      </c>
      <c r="J77" s="78" t="n">
        <v>1.65</v>
      </c>
      <c r="K77" s="14">
        <f>ROUND((H77-J77)*J77*IF(B77="Carbon Steel",$K$7,IF(B77="Stainless Steel 304",$K$8,$L$8)), 3)</f>
        <v/>
      </c>
      <c r="L77" s="78">
        <f>ROUND(K77*$G$5, 2)</f>
        <v/>
      </c>
      <c r="M77" s="93">
        <f>INT($G$6/H77)</f>
        <v/>
      </c>
      <c r="N77" s="93">
        <f>IF(M77=0, 0, IF(OR($K$6="Square Grid", M77=1), INT($G$7/H77), IF($G$7&lt;H77, 0, 1+INT(($G$7-H77)/(0.8660254*H77)))))</f>
        <v/>
      </c>
      <c r="O77" s="59">
        <f>IF(OR(M77=0,N77=0), 0, IF(OR($K$6="Square Grid", M77=1), M77*N77*$K$5, (INT((N77+1)/2)*M77 + INT(N77/2)*IF(($G$6-M77*H77)&gt;=0.5*H77, M77, M77-1))*$K$5))</f>
        <v/>
      </c>
      <c r="P77" s="59">
        <f>IF(L77&lt;=0, 0, INT($G$8/L77))</f>
        <v/>
      </c>
      <c r="Q77" s="95">
        <f>MIN(O77, P77)</f>
        <v/>
      </c>
      <c r="R77" s="96">
        <f>ROUND((Q77*L77)/1000, 2)</f>
        <v/>
      </c>
      <c r="S77" s="79">
        <f>IF($C$8&gt;0, R77/$C$8, 0)</f>
        <v/>
      </c>
      <c r="T77" s="79">
        <f>IF(O77&gt;0, Q77/O77, 0)</f>
        <v/>
      </c>
      <c r="U77" s="12">
        <f>IF(Q77=0, "Exceeds Limit", IF(P77&lt;=O77, "Weight Limited", "Volume Limited"))</f>
        <v/>
      </c>
      <c r="V77" s="97">
        <f>B77&amp;"|"&amp;D77&amp;"|"&amp;F77</f>
        <v/>
      </c>
    </row>
    <row r="78" ht="19" customHeight="1">
      <c r="A78" s="98" t="n">
        <v>68</v>
      </c>
      <c r="B78" s="99" t="inlineStr">
        <is>
          <t>Carbon Steel</t>
        </is>
      </c>
      <c r="C78" s="19" t="inlineStr">
        <is>
          <t>ASME B36.10M / B36.19M</t>
        </is>
      </c>
      <c r="D78" s="18" t="inlineStr">
        <is>
          <t>1-1/4''</t>
        </is>
      </c>
      <c r="E78" s="98" t="n">
        <v>32</v>
      </c>
      <c r="F78" s="18" t="inlineStr">
        <is>
          <t>5</t>
        </is>
      </c>
      <c r="G78" s="20" t="n">
        <v>1.66</v>
      </c>
      <c r="H78" s="82" t="n">
        <v>42.16</v>
      </c>
      <c r="I78" s="20" t="n">
        <v>0.065</v>
      </c>
      <c r="J78" s="82" t="n">
        <v>1.65</v>
      </c>
      <c r="K78" s="20">
        <f>ROUND((H78-J78)*J78*IF(B78="Carbon Steel",$K$7,IF(B78="Stainless Steel 304",$K$8,$L$8)), 3)</f>
        <v/>
      </c>
      <c r="L78" s="82">
        <f>ROUND(K78*$G$5, 2)</f>
        <v/>
      </c>
      <c r="M78" s="98">
        <f>INT($G$6/H78)</f>
        <v/>
      </c>
      <c r="N78" s="98">
        <f>IF(M78=0, 0, IF(OR($K$6="Square Grid", M78=1), INT($G$7/H78), IF($G$7&lt;H78, 0, 1+INT(($G$7-H78)/(0.8660254*H78)))))</f>
        <v/>
      </c>
      <c r="O78" s="84">
        <f>IF(OR(M78=0,N78=0), 0, IF(OR($K$6="Square Grid", M78=1), M78*N78*$K$5, (INT((N78+1)/2)*M78 + INT(N78/2)*IF(($G$6-M78*H78)&gt;=0.5*H78, M78, M78-1))*$K$5))</f>
        <v/>
      </c>
      <c r="P78" s="84">
        <f>IF(L78&lt;=0, 0, INT($G$8/L78))</f>
        <v/>
      </c>
      <c r="Q78" s="95">
        <f>MIN(O78, P78)</f>
        <v/>
      </c>
      <c r="R78" s="96">
        <f>ROUND((Q78*L78)/1000, 2)</f>
        <v/>
      </c>
      <c r="S78" s="85">
        <f>IF($C$8&gt;0, R78/$C$8, 0)</f>
        <v/>
      </c>
      <c r="T78" s="85">
        <f>IF(O78&gt;0, Q78/O78, 0)</f>
        <v/>
      </c>
      <c r="U78" s="18">
        <f>IF(Q78=0, "Exceeds Limit", IF(P78&lt;=O78, "Weight Limited", "Volume Limited"))</f>
        <v/>
      </c>
      <c r="V78" s="100">
        <f>B78&amp;"|"&amp;D78&amp;"|"&amp;F78</f>
        <v/>
      </c>
    </row>
    <row r="79" ht="19" customHeight="1">
      <c r="A79" s="93" t="n">
        <v>69</v>
      </c>
      <c r="B79" s="94" t="inlineStr">
        <is>
          <t>Carbon Steel</t>
        </is>
      </c>
      <c r="C79" s="13" t="inlineStr">
        <is>
          <t>ASME B36.10M / B36.19M</t>
        </is>
      </c>
      <c r="D79" s="12" t="inlineStr">
        <is>
          <t>1-1/4''</t>
        </is>
      </c>
      <c r="E79" s="93" t="n">
        <v>32</v>
      </c>
      <c r="F79" s="12" t="inlineStr">
        <is>
          <t>10S</t>
        </is>
      </c>
      <c r="G79" s="14" t="n">
        <v>1.66</v>
      </c>
      <c r="H79" s="78" t="n">
        <v>42.16</v>
      </c>
      <c r="I79" s="14" t="n">
        <v>0.109</v>
      </c>
      <c r="J79" s="78" t="n">
        <v>2.77</v>
      </c>
      <c r="K79" s="14">
        <f>ROUND((H79-J79)*J79*IF(B79="Carbon Steel",$K$7,IF(B79="Stainless Steel 304",$K$8,$L$8)), 3)</f>
        <v/>
      </c>
      <c r="L79" s="78">
        <f>ROUND(K79*$G$5, 2)</f>
        <v/>
      </c>
      <c r="M79" s="93">
        <f>INT($G$6/H79)</f>
        <v/>
      </c>
      <c r="N79" s="93">
        <f>IF(M79=0, 0, IF(OR($K$6="Square Grid", M79=1), INT($G$7/H79), IF($G$7&lt;H79, 0, 1+INT(($G$7-H79)/(0.8660254*H79)))))</f>
        <v/>
      </c>
      <c r="O79" s="59">
        <f>IF(OR(M79=0,N79=0), 0, IF(OR($K$6="Square Grid", M79=1), M79*N79*$K$5, (INT((N79+1)/2)*M79 + INT(N79/2)*IF(($G$6-M79*H79)&gt;=0.5*H79, M79, M79-1))*$K$5))</f>
        <v/>
      </c>
      <c r="P79" s="59">
        <f>IF(L79&lt;=0, 0, INT($G$8/L79))</f>
        <v/>
      </c>
      <c r="Q79" s="95">
        <f>MIN(O79, P79)</f>
        <v/>
      </c>
      <c r="R79" s="96">
        <f>ROUND((Q79*L79)/1000, 2)</f>
        <v/>
      </c>
      <c r="S79" s="79">
        <f>IF($C$8&gt;0, R79/$C$8, 0)</f>
        <v/>
      </c>
      <c r="T79" s="79">
        <f>IF(O79&gt;0, Q79/O79, 0)</f>
        <v/>
      </c>
      <c r="U79" s="12">
        <f>IF(Q79=0, "Exceeds Limit", IF(P79&lt;=O79, "Weight Limited", "Volume Limited"))</f>
        <v/>
      </c>
      <c r="V79" s="97">
        <f>B79&amp;"|"&amp;D79&amp;"|"&amp;F79</f>
        <v/>
      </c>
    </row>
    <row r="80" ht="19" customHeight="1">
      <c r="A80" s="98" t="n">
        <v>70</v>
      </c>
      <c r="B80" s="99" t="inlineStr">
        <is>
          <t>Carbon Steel</t>
        </is>
      </c>
      <c r="C80" s="19" t="inlineStr">
        <is>
          <t>ASME B36.10M / B36.19M</t>
        </is>
      </c>
      <c r="D80" s="18" t="inlineStr">
        <is>
          <t>1-1/4''</t>
        </is>
      </c>
      <c r="E80" s="98" t="n">
        <v>32</v>
      </c>
      <c r="F80" s="18" t="inlineStr">
        <is>
          <t>10</t>
        </is>
      </c>
      <c r="G80" s="20" t="n">
        <v>1.66</v>
      </c>
      <c r="H80" s="82" t="n">
        <v>42.16</v>
      </c>
      <c r="I80" s="20" t="n">
        <v>0.109</v>
      </c>
      <c r="J80" s="82" t="n">
        <v>2.77</v>
      </c>
      <c r="K80" s="20">
        <f>ROUND((H80-J80)*J80*IF(B80="Carbon Steel",$K$7,IF(B80="Stainless Steel 304",$K$8,$L$8)), 3)</f>
        <v/>
      </c>
      <c r="L80" s="82">
        <f>ROUND(K80*$G$5, 2)</f>
        <v/>
      </c>
      <c r="M80" s="98">
        <f>INT($G$6/H80)</f>
        <v/>
      </c>
      <c r="N80" s="98">
        <f>IF(M80=0, 0, IF(OR($K$6="Square Grid", M80=1), INT($G$7/H80), IF($G$7&lt;H80, 0, 1+INT(($G$7-H80)/(0.8660254*H80)))))</f>
        <v/>
      </c>
      <c r="O80" s="84">
        <f>IF(OR(M80=0,N80=0), 0, IF(OR($K$6="Square Grid", M80=1), M80*N80*$K$5, (INT((N80+1)/2)*M80 + INT(N80/2)*IF(($G$6-M80*H80)&gt;=0.5*H80, M80, M80-1))*$K$5))</f>
        <v/>
      </c>
      <c r="P80" s="84">
        <f>IF(L80&lt;=0, 0, INT($G$8/L80))</f>
        <v/>
      </c>
      <c r="Q80" s="95">
        <f>MIN(O80, P80)</f>
        <v/>
      </c>
      <c r="R80" s="96">
        <f>ROUND((Q80*L80)/1000, 2)</f>
        <v/>
      </c>
      <c r="S80" s="85">
        <f>IF($C$8&gt;0, R80/$C$8, 0)</f>
        <v/>
      </c>
      <c r="T80" s="85">
        <f>IF(O80&gt;0, Q80/O80, 0)</f>
        <v/>
      </c>
      <c r="U80" s="18">
        <f>IF(Q80=0, "Exceeds Limit", IF(P80&lt;=O80, "Weight Limited", "Volume Limited"))</f>
        <v/>
      </c>
      <c r="V80" s="100">
        <f>B80&amp;"|"&amp;D80&amp;"|"&amp;F80</f>
        <v/>
      </c>
    </row>
    <row r="81" ht="19" customHeight="1">
      <c r="A81" s="93" t="n">
        <v>71</v>
      </c>
      <c r="B81" s="94" t="inlineStr">
        <is>
          <t>Carbon Steel</t>
        </is>
      </c>
      <c r="C81" s="13" t="inlineStr">
        <is>
          <t>ASME B36.10M / B36.19M</t>
        </is>
      </c>
      <c r="D81" s="12" t="inlineStr">
        <is>
          <t>1-1/4''</t>
        </is>
      </c>
      <c r="E81" s="93" t="n">
        <v>32</v>
      </c>
      <c r="F81" s="12" t="inlineStr">
        <is>
          <t>30</t>
        </is>
      </c>
      <c r="G81" s="14" t="n">
        <v>1.66</v>
      </c>
      <c r="H81" s="78" t="n">
        <v>42.16</v>
      </c>
      <c r="I81" s="14" t="n">
        <v>0.117</v>
      </c>
      <c r="J81" s="78" t="n">
        <v>2.97</v>
      </c>
      <c r="K81" s="14">
        <f>ROUND((H81-J81)*J81*IF(B81="Carbon Steel",$K$7,IF(B81="Stainless Steel 304",$K$8,$L$8)), 3)</f>
        <v/>
      </c>
      <c r="L81" s="78">
        <f>ROUND(K81*$G$5, 2)</f>
        <v/>
      </c>
      <c r="M81" s="93">
        <f>INT($G$6/H81)</f>
        <v/>
      </c>
      <c r="N81" s="93">
        <f>IF(M81=0, 0, IF(OR($K$6="Square Grid", M81=1), INT($G$7/H81), IF($G$7&lt;H81, 0, 1+INT(($G$7-H81)/(0.8660254*H81)))))</f>
        <v/>
      </c>
      <c r="O81" s="59">
        <f>IF(OR(M81=0,N81=0), 0, IF(OR($K$6="Square Grid", M81=1), M81*N81*$K$5, (INT((N81+1)/2)*M81 + INT(N81/2)*IF(($G$6-M81*H81)&gt;=0.5*H81, M81, M81-1))*$K$5))</f>
        <v/>
      </c>
      <c r="P81" s="59">
        <f>IF(L81&lt;=0, 0, INT($G$8/L81))</f>
        <v/>
      </c>
      <c r="Q81" s="95">
        <f>MIN(O81, P81)</f>
        <v/>
      </c>
      <c r="R81" s="96">
        <f>ROUND((Q81*L81)/1000, 2)</f>
        <v/>
      </c>
      <c r="S81" s="79">
        <f>IF($C$8&gt;0, R81/$C$8, 0)</f>
        <v/>
      </c>
      <c r="T81" s="79">
        <f>IF(O81&gt;0, Q81/O81, 0)</f>
        <v/>
      </c>
      <c r="U81" s="12">
        <f>IF(Q81=0, "Exceeds Limit", IF(P81&lt;=O81, "Weight Limited", "Volume Limited"))</f>
        <v/>
      </c>
      <c r="V81" s="97">
        <f>B81&amp;"|"&amp;D81&amp;"|"&amp;F81</f>
        <v/>
      </c>
    </row>
    <row r="82" ht="19" customHeight="1">
      <c r="A82" s="98" t="n">
        <v>72</v>
      </c>
      <c r="B82" s="99" t="inlineStr">
        <is>
          <t>Carbon Steel</t>
        </is>
      </c>
      <c r="C82" s="19" t="inlineStr">
        <is>
          <t>ASME B36.10M / B36.19M</t>
        </is>
      </c>
      <c r="D82" s="18" t="inlineStr">
        <is>
          <t>1-1/4''</t>
        </is>
      </c>
      <c r="E82" s="98" t="n">
        <v>32</v>
      </c>
      <c r="F82" s="18" t="inlineStr">
        <is>
          <t>40S</t>
        </is>
      </c>
      <c r="G82" s="20" t="n">
        <v>1.66</v>
      </c>
      <c r="H82" s="82" t="n">
        <v>42.16</v>
      </c>
      <c r="I82" s="20" t="n">
        <v>0.14</v>
      </c>
      <c r="J82" s="82" t="n">
        <v>3.56</v>
      </c>
      <c r="K82" s="20">
        <f>ROUND((H82-J82)*J82*IF(B82="Carbon Steel",$K$7,IF(B82="Stainless Steel 304",$K$8,$L$8)), 3)</f>
        <v/>
      </c>
      <c r="L82" s="82">
        <f>ROUND(K82*$G$5, 2)</f>
        <v/>
      </c>
      <c r="M82" s="98">
        <f>INT($G$6/H82)</f>
        <v/>
      </c>
      <c r="N82" s="98">
        <f>IF(M82=0, 0, IF(OR($K$6="Square Grid", M82=1), INT($G$7/H82), IF($G$7&lt;H82, 0, 1+INT(($G$7-H82)/(0.8660254*H82)))))</f>
        <v/>
      </c>
      <c r="O82" s="84">
        <f>IF(OR(M82=0,N82=0), 0, IF(OR($K$6="Square Grid", M82=1), M82*N82*$K$5, (INT((N82+1)/2)*M82 + INT(N82/2)*IF(($G$6-M82*H82)&gt;=0.5*H82, M82, M82-1))*$K$5))</f>
        <v/>
      </c>
      <c r="P82" s="84">
        <f>IF(L82&lt;=0, 0, INT($G$8/L82))</f>
        <v/>
      </c>
      <c r="Q82" s="95">
        <f>MIN(O82, P82)</f>
        <v/>
      </c>
      <c r="R82" s="96">
        <f>ROUND((Q82*L82)/1000, 2)</f>
        <v/>
      </c>
      <c r="S82" s="85">
        <f>IF($C$8&gt;0, R82/$C$8, 0)</f>
        <v/>
      </c>
      <c r="T82" s="85">
        <f>IF(O82&gt;0, Q82/O82, 0)</f>
        <v/>
      </c>
      <c r="U82" s="18">
        <f>IF(Q82=0, "Exceeds Limit", IF(P82&lt;=O82, "Weight Limited", "Volume Limited"))</f>
        <v/>
      </c>
      <c r="V82" s="100">
        <f>B82&amp;"|"&amp;D82&amp;"|"&amp;F82</f>
        <v/>
      </c>
    </row>
    <row r="83" ht="19" customHeight="1">
      <c r="A83" s="93" t="n">
        <v>73</v>
      </c>
      <c r="B83" s="94" t="inlineStr">
        <is>
          <t>Carbon Steel</t>
        </is>
      </c>
      <c r="C83" s="13" t="inlineStr">
        <is>
          <t>ASME B36.10M / B36.19M</t>
        </is>
      </c>
      <c r="D83" s="12" t="inlineStr">
        <is>
          <t>1-1/4''</t>
        </is>
      </c>
      <c r="E83" s="93" t="n">
        <v>32</v>
      </c>
      <c r="F83" s="12" t="inlineStr">
        <is>
          <t>STD</t>
        </is>
      </c>
      <c r="G83" s="14" t="n">
        <v>1.66</v>
      </c>
      <c r="H83" s="78" t="n">
        <v>42.16</v>
      </c>
      <c r="I83" s="14" t="n">
        <v>0.14</v>
      </c>
      <c r="J83" s="78" t="n">
        <v>3.56</v>
      </c>
      <c r="K83" s="14">
        <f>ROUND((H83-J83)*J83*IF(B83="Carbon Steel",$K$7,IF(B83="Stainless Steel 304",$K$8,$L$8)), 3)</f>
        <v/>
      </c>
      <c r="L83" s="78">
        <f>ROUND(K83*$G$5, 2)</f>
        <v/>
      </c>
      <c r="M83" s="93">
        <f>INT($G$6/H83)</f>
        <v/>
      </c>
      <c r="N83" s="93">
        <f>IF(M83=0, 0, IF(OR($K$6="Square Grid", M83=1), INT($G$7/H83), IF($G$7&lt;H83, 0, 1+INT(($G$7-H83)/(0.8660254*H83)))))</f>
        <v/>
      </c>
      <c r="O83" s="59">
        <f>IF(OR(M83=0,N83=0), 0, IF(OR($K$6="Square Grid", M83=1), M83*N83*$K$5, (INT((N83+1)/2)*M83 + INT(N83/2)*IF(($G$6-M83*H83)&gt;=0.5*H83, M83, M83-1))*$K$5))</f>
        <v/>
      </c>
      <c r="P83" s="59">
        <f>IF(L83&lt;=0, 0, INT($G$8/L83))</f>
        <v/>
      </c>
      <c r="Q83" s="95">
        <f>MIN(O83, P83)</f>
        <v/>
      </c>
      <c r="R83" s="96">
        <f>ROUND((Q83*L83)/1000, 2)</f>
        <v/>
      </c>
      <c r="S83" s="79">
        <f>IF($C$8&gt;0, R83/$C$8, 0)</f>
        <v/>
      </c>
      <c r="T83" s="79">
        <f>IF(O83&gt;0, Q83/O83, 0)</f>
        <v/>
      </c>
      <c r="U83" s="12">
        <f>IF(Q83=0, "Exceeds Limit", IF(P83&lt;=O83, "Weight Limited", "Volume Limited"))</f>
        <v/>
      </c>
      <c r="V83" s="97">
        <f>B83&amp;"|"&amp;D83&amp;"|"&amp;F83</f>
        <v/>
      </c>
    </row>
    <row r="84" ht="19" customHeight="1">
      <c r="A84" s="98" t="n">
        <v>74</v>
      </c>
      <c r="B84" s="99" t="inlineStr">
        <is>
          <t>Carbon Steel</t>
        </is>
      </c>
      <c r="C84" s="19" t="inlineStr">
        <is>
          <t>ASME B36.10M / B36.19M</t>
        </is>
      </c>
      <c r="D84" s="18" t="inlineStr">
        <is>
          <t>1-1/4''</t>
        </is>
      </c>
      <c r="E84" s="98" t="n">
        <v>32</v>
      </c>
      <c r="F84" s="18" t="inlineStr">
        <is>
          <t>40</t>
        </is>
      </c>
      <c r="G84" s="20" t="n">
        <v>1.66</v>
      </c>
      <c r="H84" s="82" t="n">
        <v>42.16</v>
      </c>
      <c r="I84" s="20" t="n">
        <v>0.14</v>
      </c>
      <c r="J84" s="82" t="n">
        <v>3.56</v>
      </c>
      <c r="K84" s="20">
        <f>ROUND((H84-J84)*J84*IF(B84="Carbon Steel",$K$7,IF(B84="Stainless Steel 304",$K$8,$L$8)), 3)</f>
        <v/>
      </c>
      <c r="L84" s="82">
        <f>ROUND(K84*$G$5, 2)</f>
        <v/>
      </c>
      <c r="M84" s="98">
        <f>INT($G$6/H84)</f>
        <v/>
      </c>
      <c r="N84" s="98">
        <f>IF(M84=0, 0, IF(OR($K$6="Square Grid", M84=1), INT($G$7/H84), IF($G$7&lt;H84, 0, 1+INT(($G$7-H84)/(0.8660254*H84)))))</f>
        <v/>
      </c>
      <c r="O84" s="84">
        <f>IF(OR(M84=0,N84=0), 0, IF(OR($K$6="Square Grid", M84=1), M84*N84*$K$5, (INT((N84+1)/2)*M84 + INT(N84/2)*IF(($G$6-M84*H84)&gt;=0.5*H84, M84, M84-1))*$K$5))</f>
        <v/>
      </c>
      <c r="P84" s="84">
        <f>IF(L84&lt;=0, 0, INT($G$8/L84))</f>
        <v/>
      </c>
      <c r="Q84" s="95">
        <f>MIN(O84, P84)</f>
        <v/>
      </c>
      <c r="R84" s="96">
        <f>ROUND((Q84*L84)/1000, 2)</f>
        <v/>
      </c>
      <c r="S84" s="85">
        <f>IF($C$8&gt;0, R84/$C$8, 0)</f>
        <v/>
      </c>
      <c r="T84" s="85">
        <f>IF(O84&gt;0, Q84/O84, 0)</f>
        <v/>
      </c>
      <c r="U84" s="18">
        <f>IF(Q84=0, "Exceeds Limit", IF(P84&lt;=O84, "Weight Limited", "Volume Limited"))</f>
        <v/>
      </c>
      <c r="V84" s="100">
        <f>B84&amp;"|"&amp;D84&amp;"|"&amp;F84</f>
        <v/>
      </c>
    </row>
    <row r="85" ht="19" customHeight="1">
      <c r="A85" s="93" t="n">
        <v>75</v>
      </c>
      <c r="B85" s="94" t="inlineStr">
        <is>
          <t>Carbon Steel</t>
        </is>
      </c>
      <c r="C85" s="13" t="inlineStr">
        <is>
          <t>ASME B36.10M / B36.19M</t>
        </is>
      </c>
      <c r="D85" s="12" t="inlineStr">
        <is>
          <t>1-1/4''</t>
        </is>
      </c>
      <c r="E85" s="93" t="n">
        <v>32</v>
      </c>
      <c r="F85" s="12" t="inlineStr">
        <is>
          <t>80S</t>
        </is>
      </c>
      <c r="G85" s="14" t="n">
        <v>1.66</v>
      </c>
      <c r="H85" s="78" t="n">
        <v>42.16</v>
      </c>
      <c r="I85" s="14" t="n">
        <v>0.191</v>
      </c>
      <c r="J85" s="78" t="n">
        <v>4.85</v>
      </c>
      <c r="K85" s="14">
        <f>ROUND((H85-J85)*J85*IF(B85="Carbon Steel",$K$7,IF(B85="Stainless Steel 304",$K$8,$L$8)), 3)</f>
        <v/>
      </c>
      <c r="L85" s="78">
        <f>ROUND(K85*$G$5, 2)</f>
        <v/>
      </c>
      <c r="M85" s="93">
        <f>INT($G$6/H85)</f>
        <v/>
      </c>
      <c r="N85" s="93">
        <f>IF(M85=0, 0, IF(OR($K$6="Square Grid", M85=1), INT($G$7/H85), IF($G$7&lt;H85, 0, 1+INT(($G$7-H85)/(0.8660254*H85)))))</f>
        <v/>
      </c>
      <c r="O85" s="59">
        <f>IF(OR(M85=0,N85=0), 0, IF(OR($K$6="Square Grid", M85=1), M85*N85*$K$5, (INT((N85+1)/2)*M85 + INT(N85/2)*IF(($G$6-M85*H85)&gt;=0.5*H85, M85, M85-1))*$K$5))</f>
        <v/>
      </c>
      <c r="P85" s="59">
        <f>IF(L85&lt;=0, 0, INT($G$8/L85))</f>
        <v/>
      </c>
      <c r="Q85" s="95">
        <f>MIN(O85, P85)</f>
        <v/>
      </c>
      <c r="R85" s="96">
        <f>ROUND((Q85*L85)/1000, 2)</f>
        <v/>
      </c>
      <c r="S85" s="79">
        <f>IF($C$8&gt;0, R85/$C$8, 0)</f>
        <v/>
      </c>
      <c r="T85" s="79">
        <f>IF(O85&gt;0, Q85/O85, 0)</f>
        <v/>
      </c>
      <c r="U85" s="12">
        <f>IF(Q85=0, "Exceeds Limit", IF(P85&lt;=O85, "Weight Limited", "Volume Limited"))</f>
        <v/>
      </c>
      <c r="V85" s="97">
        <f>B85&amp;"|"&amp;D85&amp;"|"&amp;F85</f>
        <v/>
      </c>
    </row>
    <row r="86" ht="19" customHeight="1">
      <c r="A86" s="98" t="n">
        <v>76</v>
      </c>
      <c r="B86" s="99" t="inlineStr">
        <is>
          <t>Carbon Steel</t>
        </is>
      </c>
      <c r="C86" s="19" t="inlineStr">
        <is>
          <t>ASME B36.10M / B36.19M</t>
        </is>
      </c>
      <c r="D86" s="18" t="inlineStr">
        <is>
          <t>1-1/4''</t>
        </is>
      </c>
      <c r="E86" s="98" t="n">
        <v>32</v>
      </c>
      <c r="F86" s="18" t="inlineStr">
        <is>
          <t>XS</t>
        </is>
      </c>
      <c r="G86" s="20" t="n">
        <v>1.66</v>
      </c>
      <c r="H86" s="82" t="n">
        <v>42.16</v>
      </c>
      <c r="I86" s="20" t="n">
        <v>0.191</v>
      </c>
      <c r="J86" s="82" t="n">
        <v>4.85</v>
      </c>
      <c r="K86" s="20">
        <f>ROUND((H86-J86)*J86*IF(B86="Carbon Steel",$K$7,IF(B86="Stainless Steel 304",$K$8,$L$8)), 3)</f>
        <v/>
      </c>
      <c r="L86" s="82">
        <f>ROUND(K86*$G$5, 2)</f>
        <v/>
      </c>
      <c r="M86" s="98">
        <f>INT($G$6/H86)</f>
        <v/>
      </c>
      <c r="N86" s="98">
        <f>IF(M86=0, 0, IF(OR($K$6="Square Grid", M86=1), INT($G$7/H86), IF($G$7&lt;H86, 0, 1+INT(($G$7-H86)/(0.8660254*H86)))))</f>
        <v/>
      </c>
      <c r="O86" s="84">
        <f>IF(OR(M86=0,N86=0), 0, IF(OR($K$6="Square Grid", M86=1), M86*N86*$K$5, (INT((N86+1)/2)*M86 + INT(N86/2)*IF(($G$6-M86*H86)&gt;=0.5*H86, M86, M86-1))*$K$5))</f>
        <v/>
      </c>
      <c r="P86" s="84">
        <f>IF(L86&lt;=0, 0, INT($G$8/L86))</f>
        <v/>
      </c>
      <c r="Q86" s="95">
        <f>MIN(O86, P86)</f>
        <v/>
      </c>
      <c r="R86" s="96">
        <f>ROUND((Q86*L86)/1000, 2)</f>
        <v/>
      </c>
      <c r="S86" s="85">
        <f>IF($C$8&gt;0, R86/$C$8, 0)</f>
        <v/>
      </c>
      <c r="T86" s="85">
        <f>IF(O86&gt;0, Q86/O86, 0)</f>
        <v/>
      </c>
      <c r="U86" s="18">
        <f>IF(Q86=0, "Exceeds Limit", IF(P86&lt;=O86, "Weight Limited", "Volume Limited"))</f>
        <v/>
      </c>
      <c r="V86" s="100">
        <f>B86&amp;"|"&amp;D86&amp;"|"&amp;F86</f>
        <v/>
      </c>
    </row>
    <row r="87" ht="19" customHeight="1">
      <c r="A87" s="93" t="n">
        <v>77</v>
      </c>
      <c r="B87" s="94" t="inlineStr">
        <is>
          <t>Carbon Steel</t>
        </is>
      </c>
      <c r="C87" s="13" t="inlineStr">
        <is>
          <t>ASME B36.10M / B36.19M</t>
        </is>
      </c>
      <c r="D87" s="12" t="inlineStr">
        <is>
          <t>1-1/4''</t>
        </is>
      </c>
      <c r="E87" s="93" t="n">
        <v>32</v>
      </c>
      <c r="F87" s="12" t="inlineStr">
        <is>
          <t>80</t>
        </is>
      </c>
      <c r="G87" s="14" t="n">
        <v>1.66</v>
      </c>
      <c r="H87" s="78" t="n">
        <v>42.16</v>
      </c>
      <c r="I87" s="14" t="n">
        <v>0.191</v>
      </c>
      <c r="J87" s="78" t="n">
        <v>4.85</v>
      </c>
      <c r="K87" s="14">
        <f>ROUND((H87-J87)*J87*IF(B87="Carbon Steel",$K$7,IF(B87="Stainless Steel 304",$K$8,$L$8)), 3)</f>
        <v/>
      </c>
      <c r="L87" s="78">
        <f>ROUND(K87*$G$5, 2)</f>
        <v/>
      </c>
      <c r="M87" s="93">
        <f>INT($G$6/H87)</f>
        <v/>
      </c>
      <c r="N87" s="93">
        <f>IF(M87=0, 0, IF(OR($K$6="Square Grid", M87=1), INT($G$7/H87), IF($G$7&lt;H87, 0, 1+INT(($G$7-H87)/(0.8660254*H87)))))</f>
        <v/>
      </c>
      <c r="O87" s="59">
        <f>IF(OR(M87=0,N87=0), 0, IF(OR($K$6="Square Grid", M87=1), M87*N87*$K$5, (INT((N87+1)/2)*M87 + INT(N87/2)*IF(($G$6-M87*H87)&gt;=0.5*H87, M87, M87-1))*$K$5))</f>
        <v/>
      </c>
      <c r="P87" s="59">
        <f>IF(L87&lt;=0, 0, INT($G$8/L87))</f>
        <v/>
      </c>
      <c r="Q87" s="95">
        <f>MIN(O87, P87)</f>
        <v/>
      </c>
      <c r="R87" s="96">
        <f>ROUND((Q87*L87)/1000, 2)</f>
        <v/>
      </c>
      <c r="S87" s="79">
        <f>IF($C$8&gt;0, R87/$C$8, 0)</f>
        <v/>
      </c>
      <c r="T87" s="79">
        <f>IF(O87&gt;0, Q87/O87, 0)</f>
        <v/>
      </c>
      <c r="U87" s="12">
        <f>IF(Q87=0, "Exceeds Limit", IF(P87&lt;=O87, "Weight Limited", "Volume Limited"))</f>
        <v/>
      </c>
      <c r="V87" s="97">
        <f>B87&amp;"|"&amp;D87&amp;"|"&amp;F87</f>
        <v/>
      </c>
    </row>
    <row r="88" ht="19" customHeight="1">
      <c r="A88" s="98" t="n">
        <v>78</v>
      </c>
      <c r="B88" s="99" t="inlineStr">
        <is>
          <t>Carbon Steel</t>
        </is>
      </c>
      <c r="C88" s="19" t="inlineStr">
        <is>
          <t>ASME B36.10M / B36.19M</t>
        </is>
      </c>
      <c r="D88" s="18" t="inlineStr">
        <is>
          <t>1-1/4''</t>
        </is>
      </c>
      <c r="E88" s="98" t="n">
        <v>32</v>
      </c>
      <c r="F88" s="18" t="inlineStr">
        <is>
          <t>160</t>
        </is>
      </c>
      <c r="G88" s="20" t="n">
        <v>1.66</v>
      </c>
      <c r="H88" s="82" t="n">
        <v>42.16</v>
      </c>
      <c r="I88" s="20" t="n">
        <v>0.25</v>
      </c>
      <c r="J88" s="82" t="n">
        <v>6.35</v>
      </c>
      <c r="K88" s="20">
        <f>ROUND((H88-J88)*J88*IF(B88="Carbon Steel",$K$7,IF(B88="Stainless Steel 304",$K$8,$L$8)), 3)</f>
        <v/>
      </c>
      <c r="L88" s="82">
        <f>ROUND(K88*$G$5, 2)</f>
        <v/>
      </c>
      <c r="M88" s="98">
        <f>INT($G$6/H88)</f>
        <v/>
      </c>
      <c r="N88" s="98">
        <f>IF(M88=0, 0, IF(OR($K$6="Square Grid", M88=1), INT($G$7/H88), IF($G$7&lt;H88, 0, 1+INT(($G$7-H88)/(0.8660254*H88)))))</f>
        <v/>
      </c>
      <c r="O88" s="84">
        <f>IF(OR(M88=0,N88=0), 0, IF(OR($K$6="Square Grid", M88=1), M88*N88*$K$5, (INT((N88+1)/2)*M88 + INT(N88/2)*IF(($G$6-M88*H88)&gt;=0.5*H88, M88, M88-1))*$K$5))</f>
        <v/>
      </c>
      <c r="P88" s="84">
        <f>IF(L88&lt;=0, 0, INT($G$8/L88))</f>
        <v/>
      </c>
      <c r="Q88" s="95">
        <f>MIN(O88, P88)</f>
        <v/>
      </c>
      <c r="R88" s="96">
        <f>ROUND((Q88*L88)/1000, 2)</f>
        <v/>
      </c>
      <c r="S88" s="85">
        <f>IF($C$8&gt;0, R88/$C$8, 0)</f>
        <v/>
      </c>
      <c r="T88" s="85">
        <f>IF(O88&gt;0, Q88/O88, 0)</f>
        <v/>
      </c>
      <c r="U88" s="18">
        <f>IF(Q88=0, "Exceeds Limit", IF(P88&lt;=O88, "Weight Limited", "Volume Limited"))</f>
        <v/>
      </c>
      <c r="V88" s="100">
        <f>B88&amp;"|"&amp;D88&amp;"|"&amp;F88</f>
        <v/>
      </c>
    </row>
    <row r="89" ht="19" customHeight="1">
      <c r="A89" s="93" t="n">
        <v>79</v>
      </c>
      <c r="B89" s="94" t="inlineStr">
        <is>
          <t>Carbon Steel</t>
        </is>
      </c>
      <c r="C89" s="13" t="inlineStr">
        <is>
          <t>ASME B36.10M / B36.19M</t>
        </is>
      </c>
      <c r="D89" s="12" t="inlineStr">
        <is>
          <t>1-1/4''</t>
        </is>
      </c>
      <c r="E89" s="93" t="n">
        <v>32</v>
      </c>
      <c r="F89" s="12" t="inlineStr">
        <is>
          <t>XXS</t>
        </is>
      </c>
      <c r="G89" s="14" t="n">
        <v>1.66</v>
      </c>
      <c r="H89" s="78" t="n">
        <v>42.16</v>
      </c>
      <c r="I89" s="14" t="n">
        <v>0.382</v>
      </c>
      <c r="J89" s="78" t="n">
        <v>9.699999999999999</v>
      </c>
      <c r="K89" s="14">
        <f>ROUND((H89-J89)*J89*IF(B89="Carbon Steel",$K$7,IF(B89="Stainless Steel 304",$K$8,$L$8)), 3)</f>
        <v/>
      </c>
      <c r="L89" s="78">
        <f>ROUND(K89*$G$5, 2)</f>
        <v/>
      </c>
      <c r="M89" s="93">
        <f>INT($G$6/H89)</f>
        <v/>
      </c>
      <c r="N89" s="93">
        <f>IF(M89=0, 0, IF(OR($K$6="Square Grid", M89=1), INT($G$7/H89), IF($G$7&lt;H89, 0, 1+INT(($G$7-H89)/(0.8660254*H89)))))</f>
        <v/>
      </c>
      <c r="O89" s="59">
        <f>IF(OR(M89=0,N89=0), 0, IF(OR($K$6="Square Grid", M89=1), M89*N89*$K$5, (INT((N89+1)/2)*M89 + INT(N89/2)*IF(($G$6-M89*H89)&gt;=0.5*H89, M89, M89-1))*$K$5))</f>
        <v/>
      </c>
      <c r="P89" s="59">
        <f>IF(L89&lt;=0, 0, INT($G$8/L89))</f>
        <v/>
      </c>
      <c r="Q89" s="95">
        <f>MIN(O89, P89)</f>
        <v/>
      </c>
      <c r="R89" s="96">
        <f>ROUND((Q89*L89)/1000, 2)</f>
        <v/>
      </c>
      <c r="S89" s="79">
        <f>IF($C$8&gt;0, R89/$C$8, 0)</f>
        <v/>
      </c>
      <c r="T89" s="79">
        <f>IF(O89&gt;0, Q89/O89, 0)</f>
        <v/>
      </c>
      <c r="U89" s="12">
        <f>IF(Q89=0, "Exceeds Limit", IF(P89&lt;=O89, "Weight Limited", "Volume Limited"))</f>
        <v/>
      </c>
      <c r="V89" s="97">
        <f>B89&amp;"|"&amp;D89&amp;"|"&amp;F89</f>
        <v/>
      </c>
    </row>
    <row r="90" ht="19" customHeight="1">
      <c r="A90" s="98" t="n">
        <v>80</v>
      </c>
      <c r="B90" s="99" t="inlineStr">
        <is>
          <t>Carbon Steel</t>
        </is>
      </c>
      <c r="C90" s="19" t="inlineStr">
        <is>
          <t>ASME B36.10M / B36.19M</t>
        </is>
      </c>
      <c r="D90" s="18" t="inlineStr">
        <is>
          <t>1-1/2''</t>
        </is>
      </c>
      <c r="E90" s="98" t="n">
        <v>40</v>
      </c>
      <c r="F90" s="18" t="inlineStr">
        <is>
          <t>5S</t>
        </is>
      </c>
      <c r="G90" s="20" t="n">
        <v>1.9</v>
      </c>
      <c r="H90" s="82" t="n">
        <v>48.26</v>
      </c>
      <c r="I90" s="20" t="n">
        <v>0.065</v>
      </c>
      <c r="J90" s="82" t="n">
        <v>1.65</v>
      </c>
      <c r="K90" s="20">
        <f>ROUND((H90-J90)*J90*IF(B90="Carbon Steel",$K$7,IF(B90="Stainless Steel 304",$K$8,$L$8)), 3)</f>
        <v/>
      </c>
      <c r="L90" s="82">
        <f>ROUND(K90*$G$5, 2)</f>
        <v/>
      </c>
      <c r="M90" s="98">
        <f>INT($G$6/H90)</f>
        <v/>
      </c>
      <c r="N90" s="98">
        <f>IF(M90=0, 0, IF(OR($K$6="Square Grid", M90=1), INT($G$7/H90), IF($G$7&lt;H90, 0, 1+INT(($G$7-H90)/(0.8660254*H90)))))</f>
        <v/>
      </c>
      <c r="O90" s="84">
        <f>IF(OR(M90=0,N90=0), 0, IF(OR($K$6="Square Grid", M90=1), M90*N90*$K$5, (INT((N90+1)/2)*M90 + INT(N90/2)*IF(($G$6-M90*H90)&gt;=0.5*H90, M90, M90-1))*$K$5))</f>
        <v/>
      </c>
      <c r="P90" s="84">
        <f>IF(L90&lt;=0, 0, INT($G$8/L90))</f>
        <v/>
      </c>
      <c r="Q90" s="95">
        <f>MIN(O90, P90)</f>
        <v/>
      </c>
      <c r="R90" s="96">
        <f>ROUND((Q90*L90)/1000, 2)</f>
        <v/>
      </c>
      <c r="S90" s="85">
        <f>IF($C$8&gt;0, R90/$C$8, 0)</f>
        <v/>
      </c>
      <c r="T90" s="85">
        <f>IF(O90&gt;0, Q90/O90, 0)</f>
        <v/>
      </c>
      <c r="U90" s="18">
        <f>IF(Q90=0, "Exceeds Limit", IF(P90&lt;=O90, "Weight Limited", "Volume Limited"))</f>
        <v/>
      </c>
      <c r="V90" s="100">
        <f>B90&amp;"|"&amp;D90&amp;"|"&amp;F90</f>
        <v/>
      </c>
    </row>
    <row r="91" ht="19" customHeight="1">
      <c r="A91" s="93" t="n">
        <v>81</v>
      </c>
      <c r="B91" s="94" t="inlineStr">
        <is>
          <t>Carbon Steel</t>
        </is>
      </c>
      <c r="C91" s="13" t="inlineStr">
        <is>
          <t>ASME B36.10M / B36.19M</t>
        </is>
      </c>
      <c r="D91" s="12" t="inlineStr">
        <is>
          <t>1-1/2''</t>
        </is>
      </c>
      <c r="E91" s="93" t="n">
        <v>40</v>
      </c>
      <c r="F91" s="12" t="inlineStr">
        <is>
          <t>5</t>
        </is>
      </c>
      <c r="G91" s="14" t="n">
        <v>1.9</v>
      </c>
      <c r="H91" s="78" t="n">
        <v>48.26</v>
      </c>
      <c r="I91" s="14" t="n">
        <v>0.065</v>
      </c>
      <c r="J91" s="78" t="n">
        <v>1.65</v>
      </c>
      <c r="K91" s="14">
        <f>ROUND((H91-J91)*J91*IF(B91="Carbon Steel",$K$7,IF(B91="Stainless Steel 304",$K$8,$L$8)), 3)</f>
        <v/>
      </c>
      <c r="L91" s="78">
        <f>ROUND(K91*$G$5, 2)</f>
        <v/>
      </c>
      <c r="M91" s="93">
        <f>INT($G$6/H91)</f>
        <v/>
      </c>
      <c r="N91" s="93">
        <f>IF(M91=0, 0, IF(OR($K$6="Square Grid", M91=1), INT($G$7/H91), IF($G$7&lt;H91, 0, 1+INT(($G$7-H91)/(0.8660254*H91)))))</f>
        <v/>
      </c>
      <c r="O91" s="59">
        <f>IF(OR(M91=0,N91=0), 0, IF(OR($K$6="Square Grid", M91=1), M91*N91*$K$5, (INT((N91+1)/2)*M91 + INT(N91/2)*IF(($G$6-M91*H91)&gt;=0.5*H91, M91, M91-1))*$K$5))</f>
        <v/>
      </c>
      <c r="P91" s="59">
        <f>IF(L91&lt;=0, 0, INT($G$8/L91))</f>
        <v/>
      </c>
      <c r="Q91" s="95">
        <f>MIN(O91, P91)</f>
        <v/>
      </c>
      <c r="R91" s="96">
        <f>ROUND((Q91*L91)/1000, 2)</f>
        <v/>
      </c>
      <c r="S91" s="79">
        <f>IF($C$8&gt;0, R91/$C$8, 0)</f>
        <v/>
      </c>
      <c r="T91" s="79">
        <f>IF(O91&gt;0, Q91/O91, 0)</f>
        <v/>
      </c>
      <c r="U91" s="12">
        <f>IF(Q91=0, "Exceeds Limit", IF(P91&lt;=O91, "Weight Limited", "Volume Limited"))</f>
        <v/>
      </c>
      <c r="V91" s="97">
        <f>B91&amp;"|"&amp;D91&amp;"|"&amp;F91</f>
        <v/>
      </c>
    </row>
    <row r="92" ht="19" customHeight="1">
      <c r="A92" s="98" t="n">
        <v>82</v>
      </c>
      <c r="B92" s="99" t="inlineStr">
        <is>
          <t>Carbon Steel</t>
        </is>
      </c>
      <c r="C92" s="19" t="inlineStr">
        <is>
          <t>ASME B36.10M / B36.19M</t>
        </is>
      </c>
      <c r="D92" s="18" t="inlineStr">
        <is>
          <t>1-1/2''</t>
        </is>
      </c>
      <c r="E92" s="98" t="n">
        <v>40</v>
      </c>
      <c r="F92" s="18" t="inlineStr">
        <is>
          <t>10S</t>
        </is>
      </c>
      <c r="G92" s="20" t="n">
        <v>1.9</v>
      </c>
      <c r="H92" s="82" t="n">
        <v>48.26</v>
      </c>
      <c r="I92" s="20" t="n">
        <v>0.109</v>
      </c>
      <c r="J92" s="82" t="n">
        <v>2.77</v>
      </c>
      <c r="K92" s="20">
        <f>ROUND((H92-J92)*J92*IF(B92="Carbon Steel",$K$7,IF(B92="Stainless Steel 304",$K$8,$L$8)), 3)</f>
        <v/>
      </c>
      <c r="L92" s="82">
        <f>ROUND(K92*$G$5, 2)</f>
        <v/>
      </c>
      <c r="M92" s="98">
        <f>INT($G$6/H92)</f>
        <v/>
      </c>
      <c r="N92" s="98">
        <f>IF(M92=0, 0, IF(OR($K$6="Square Grid", M92=1), INT($G$7/H92), IF($G$7&lt;H92, 0, 1+INT(($G$7-H92)/(0.8660254*H92)))))</f>
        <v/>
      </c>
      <c r="O92" s="84">
        <f>IF(OR(M92=0,N92=0), 0, IF(OR($K$6="Square Grid", M92=1), M92*N92*$K$5, (INT((N92+1)/2)*M92 + INT(N92/2)*IF(($G$6-M92*H92)&gt;=0.5*H92, M92, M92-1))*$K$5))</f>
        <v/>
      </c>
      <c r="P92" s="84">
        <f>IF(L92&lt;=0, 0, INT($G$8/L92))</f>
        <v/>
      </c>
      <c r="Q92" s="95">
        <f>MIN(O92, P92)</f>
        <v/>
      </c>
      <c r="R92" s="96">
        <f>ROUND((Q92*L92)/1000, 2)</f>
        <v/>
      </c>
      <c r="S92" s="85">
        <f>IF($C$8&gt;0, R92/$C$8, 0)</f>
        <v/>
      </c>
      <c r="T92" s="85">
        <f>IF(O92&gt;0, Q92/O92, 0)</f>
        <v/>
      </c>
      <c r="U92" s="18">
        <f>IF(Q92=0, "Exceeds Limit", IF(P92&lt;=O92, "Weight Limited", "Volume Limited"))</f>
        <v/>
      </c>
      <c r="V92" s="100">
        <f>B92&amp;"|"&amp;D92&amp;"|"&amp;F92</f>
        <v/>
      </c>
    </row>
    <row r="93" ht="19" customHeight="1">
      <c r="A93" s="93" t="n">
        <v>83</v>
      </c>
      <c r="B93" s="94" t="inlineStr">
        <is>
          <t>Carbon Steel</t>
        </is>
      </c>
      <c r="C93" s="13" t="inlineStr">
        <is>
          <t>ASME B36.10M / B36.19M</t>
        </is>
      </c>
      <c r="D93" s="12" t="inlineStr">
        <is>
          <t>1-1/2''</t>
        </is>
      </c>
      <c r="E93" s="93" t="n">
        <v>40</v>
      </c>
      <c r="F93" s="12" t="inlineStr">
        <is>
          <t>10</t>
        </is>
      </c>
      <c r="G93" s="14" t="n">
        <v>1.9</v>
      </c>
      <c r="H93" s="78" t="n">
        <v>48.26</v>
      </c>
      <c r="I93" s="14" t="n">
        <v>0.109</v>
      </c>
      <c r="J93" s="78" t="n">
        <v>2.77</v>
      </c>
      <c r="K93" s="14">
        <f>ROUND((H93-J93)*J93*IF(B93="Carbon Steel",$K$7,IF(B93="Stainless Steel 304",$K$8,$L$8)), 3)</f>
        <v/>
      </c>
      <c r="L93" s="78">
        <f>ROUND(K93*$G$5, 2)</f>
        <v/>
      </c>
      <c r="M93" s="93">
        <f>INT($G$6/H93)</f>
        <v/>
      </c>
      <c r="N93" s="93">
        <f>IF(M93=0, 0, IF(OR($K$6="Square Grid", M93=1), INT($G$7/H93), IF($G$7&lt;H93, 0, 1+INT(($G$7-H93)/(0.8660254*H93)))))</f>
        <v/>
      </c>
      <c r="O93" s="59">
        <f>IF(OR(M93=0,N93=0), 0, IF(OR($K$6="Square Grid", M93=1), M93*N93*$K$5, (INT((N93+1)/2)*M93 + INT(N93/2)*IF(($G$6-M93*H93)&gt;=0.5*H93, M93, M93-1))*$K$5))</f>
        <v/>
      </c>
      <c r="P93" s="59">
        <f>IF(L93&lt;=0, 0, INT($G$8/L93))</f>
        <v/>
      </c>
      <c r="Q93" s="95">
        <f>MIN(O93, P93)</f>
        <v/>
      </c>
      <c r="R93" s="96">
        <f>ROUND((Q93*L93)/1000, 2)</f>
        <v/>
      </c>
      <c r="S93" s="79">
        <f>IF($C$8&gt;0, R93/$C$8, 0)</f>
        <v/>
      </c>
      <c r="T93" s="79">
        <f>IF(O93&gt;0, Q93/O93, 0)</f>
        <v/>
      </c>
      <c r="U93" s="12">
        <f>IF(Q93=0, "Exceeds Limit", IF(P93&lt;=O93, "Weight Limited", "Volume Limited"))</f>
        <v/>
      </c>
      <c r="V93" s="97">
        <f>B93&amp;"|"&amp;D93&amp;"|"&amp;F93</f>
        <v/>
      </c>
    </row>
    <row r="94" ht="19" customHeight="1">
      <c r="A94" s="98" t="n">
        <v>84</v>
      </c>
      <c r="B94" s="99" t="inlineStr">
        <is>
          <t>Carbon Steel</t>
        </is>
      </c>
      <c r="C94" s="19" t="inlineStr">
        <is>
          <t>ASME B36.10M / B36.19M</t>
        </is>
      </c>
      <c r="D94" s="18" t="inlineStr">
        <is>
          <t>1-1/2''</t>
        </is>
      </c>
      <c r="E94" s="98" t="n">
        <v>40</v>
      </c>
      <c r="F94" s="18" t="inlineStr">
        <is>
          <t>30</t>
        </is>
      </c>
      <c r="G94" s="20" t="n">
        <v>1.9</v>
      </c>
      <c r="H94" s="82" t="n">
        <v>48.26</v>
      </c>
      <c r="I94" s="20" t="n">
        <v>0.125</v>
      </c>
      <c r="J94" s="82" t="n">
        <v>3.17</v>
      </c>
      <c r="K94" s="20">
        <f>ROUND((H94-J94)*J94*IF(B94="Carbon Steel",$K$7,IF(B94="Stainless Steel 304",$K$8,$L$8)), 3)</f>
        <v/>
      </c>
      <c r="L94" s="82">
        <f>ROUND(K94*$G$5, 2)</f>
        <v/>
      </c>
      <c r="M94" s="98">
        <f>INT($G$6/H94)</f>
        <v/>
      </c>
      <c r="N94" s="98">
        <f>IF(M94=0, 0, IF(OR($K$6="Square Grid", M94=1), INT($G$7/H94), IF($G$7&lt;H94, 0, 1+INT(($G$7-H94)/(0.8660254*H94)))))</f>
        <v/>
      </c>
      <c r="O94" s="84">
        <f>IF(OR(M94=0,N94=0), 0, IF(OR($K$6="Square Grid", M94=1), M94*N94*$K$5, (INT((N94+1)/2)*M94 + INT(N94/2)*IF(($G$6-M94*H94)&gt;=0.5*H94, M94, M94-1))*$K$5))</f>
        <v/>
      </c>
      <c r="P94" s="84">
        <f>IF(L94&lt;=0, 0, INT($G$8/L94))</f>
        <v/>
      </c>
      <c r="Q94" s="95">
        <f>MIN(O94, P94)</f>
        <v/>
      </c>
      <c r="R94" s="96">
        <f>ROUND((Q94*L94)/1000, 2)</f>
        <v/>
      </c>
      <c r="S94" s="85">
        <f>IF($C$8&gt;0, R94/$C$8, 0)</f>
        <v/>
      </c>
      <c r="T94" s="85">
        <f>IF(O94&gt;0, Q94/O94, 0)</f>
        <v/>
      </c>
      <c r="U94" s="18">
        <f>IF(Q94=0, "Exceeds Limit", IF(P94&lt;=O94, "Weight Limited", "Volume Limited"))</f>
        <v/>
      </c>
      <c r="V94" s="100">
        <f>B94&amp;"|"&amp;D94&amp;"|"&amp;F94</f>
        <v/>
      </c>
    </row>
    <row r="95" ht="19" customHeight="1">
      <c r="A95" s="93" t="n">
        <v>85</v>
      </c>
      <c r="B95" s="94" t="inlineStr">
        <is>
          <t>Carbon Steel</t>
        </is>
      </c>
      <c r="C95" s="13" t="inlineStr">
        <is>
          <t>ASME B36.10M / B36.19M</t>
        </is>
      </c>
      <c r="D95" s="12" t="inlineStr">
        <is>
          <t>1-1/2''</t>
        </is>
      </c>
      <c r="E95" s="93" t="n">
        <v>40</v>
      </c>
      <c r="F95" s="12" t="inlineStr">
        <is>
          <t>40S</t>
        </is>
      </c>
      <c r="G95" s="14" t="n">
        <v>1.9</v>
      </c>
      <c r="H95" s="78" t="n">
        <v>48.26</v>
      </c>
      <c r="I95" s="14" t="n">
        <v>0.145</v>
      </c>
      <c r="J95" s="78" t="n">
        <v>3.68</v>
      </c>
      <c r="K95" s="14">
        <f>ROUND((H95-J95)*J95*IF(B95="Carbon Steel",$K$7,IF(B95="Stainless Steel 304",$K$8,$L$8)), 3)</f>
        <v/>
      </c>
      <c r="L95" s="78">
        <f>ROUND(K95*$G$5, 2)</f>
        <v/>
      </c>
      <c r="M95" s="93">
        <f>INT($G$6/H95)</f>
        <v/>
      </c>
      <c r="N95" s="93">
        <f>IF(M95=0, 0, IF(OR($K$6="Square Grid", M95=1), INT($G$7/H95), IF($G$7&lt;H95, 0, 1+INT(($G$7-H95)/(0.8660254*H95)))))</f>
        <v/>
      </c>
      <c r="O95" s="59">
        <f>IF(OR(M95=0,N95=0), 0, IF(OR($K$6="Square Grid", M95=1), M95*N95*$K$5, (INT((N95+1)/2)*M95 + INT(N95/2)*IF(($G$6-M95*H95)&gt;=0.5*H95, M95, M95-1))*$K$5))</f>
        <v/>
      </c>
      <c r="P95" s="59">
        <f>IF(L95&lt;=0, 0, INT($G$8/L95))</f>
        <v/>
      </c>
      <c r="Q95" s="95">
        <f>MIN(O95, P95)</f>
        <v/>
      </c>
      <c r="R95" s="96">
        <f>ROUND((Q95*L95)/1000, 2)</f>
        <v/>
      </c>
      <c r="S95" s="79">
        <f>IF($C$8&gt;0, R95/$C$8, 0)</f>
        <v/>
      </c>
      <c r="T95" s="79">
        <f>IF(O95&gt;0, Q95/O95, 0)</f>
        <v/>
      </c>
      <c r="U95" s="12">
        <f>IF(Q95=0, "Exceeds Limit", IF(P95&lt;=O95, "Weight Limited", "Volume Limited"))</f>
        <v/>
      </c>
      <c r="V95" s="97">
        <f>B95&amp;"|"&amp;D95&amp;"|"&amp;F95</f>
        <v/>
      </c>
    </row>
    <row r="96" ht="19" customHeight="1">
      <c r="A96" s="98" t="n">
        <v>86</v>
      </c>
      <c r="B96" s="99" t="inlineStr">
        <is>
          <t>Carbon Steel</t>
        </is>
      </c>
      <c r="C96" s="19" t="inlineStr">
        <is>
          <t>ASME B36.10M / B36.19M</t>
        </is>
      </c>
      <c r="D96" s="18" t="inlineStr">
        <is>
          <t>1-1/2''</t>
        </is>
      </c>
      <c r="E96" s="98" t="n">
        <v>40</v>
      </c>
      <c r="F96" s="18" t="inlineStr">
        <is>
          <t>STD</t>
        </is>
      </c>
      <c r="G96" s="20" t="n">
        <v>1.9</v>
      </c>
      <c r="H96" s="82" t="n">
        <v>48.26</v>
      </c>
      <c r="I96" s="20" t="n">
        <v>0.145</v>
      </c>
      <c r="J96" s="82" t="n">
        <v>3.68</v>
      </c>
      <c r="K96" s="20">
        <f>ROUND((H96-J96)*J96*IF(B96="Carbon Steel",$K$7,IF(B96="Stainless Steel 304",$K$8,$L$8)), 3)</f>
        <v/>
      </c>
      <c r="L96" s="82">
        <f>ROUND(K96*$G$5, 2)</f>
        <v/>
      </c>
      <c r="M96" s="98">
        <f>INT($G$6/H96)</f>
        <v/>
      </c>
      <c r="N96" s="98">
        <f>IF(M96=0, 0, IF(OR($K$6="Square Grid", M96=1), INT($G$7/H96), IF($G$7&lt;H96, 0, 1+INT(($G$7-H96)/(0.8660254*H96)))))</f>
        <v/>
      </c>
      <c r="O96" s="84">
        <f>IF(OR(M96=0,N96=0), 0, IF(OR($K$6="Square Grid", M96=1), M96*N96*$K$5, (INT((N96+1)/2)*M96 + INT(N96/2)*IF(($G$6-M96*H96)&gt;=0.5*H96, M96, M96-1))*$K$5))</f>
        <v/>
      </c>
      <c r="P96" s="84">
        <f>IF(L96&lt;=0, 0, INT($G$8/L96))</f>
        <v/>
      </c>
      <c r="Q96" s="95">
        <f>MIN(O96, P96)</f>
        <v/>
      </c>
      <c r="R96" s="96">
        <f>ROUND((Q96*L96)/1000, 2)</f>
        <v/>
      </c>
      <c r="S96" s="85">
        <f>IF($C$8&gt;0, R96/$C$8, 0)</f>
        <v/>
      </c>
      <c r="T96" s="85">
        <f>IF(O96&gt;0, Q96/O96, 0)</f>
        <v/>
      </c>
      <c r="U96" s="18">
        <f>IF(Q96=0, "Exceeds Limit", IF(P96&lt;=O96, "Weight Limited", "Volume Limited"))</f>
        <v/>
      </c>
      <c r="V96" s="100">
        <f>B96&amp;"|"&amp;D96&amp;"|"&amp;F96</f>
        <v/>
      </c>
    </row>
    <row r="97" ht="19" customHeight="1">
      <c r="A97" s="93" t="n">
        <v>87</v>
      </c>
      <c r="B97" s="94" t="inlineStr">
        <is>
          <t>Carbon Steel</t>
        </is>
      </c>
      <c r="C97" s="13" t="inlineStr">
        <is>
          <t>ASME B36.10M / B36.19M</t>
        </is>
      </c>
      <c r="D97" s="12" t="inlineStr">
        <is>
          <t>1-1/2''</t>
        </is>
      </c>
      <c r="E97" s="93" t="n">
        <v>40</v>
      </c>
      <c r="F97" s="12" t="inlineStr">
        <is>
          <t>40</t>
        </is>
      </c>
      <c r="G97" s="14" t="n">
        <v>1.9</v>
      </c>
      <c r="H97" s="78" t="n">
        <v>48.26</v>
      </c>
      <c r="I97" s="14" t="n">
        <v>0.145</v>
      </c>
      <c r="J97" s="78" t="n">
        <v>3.68</v>
      </c>
      <c r="K97" s="14">
        <f>ROUND((H97-J97)*J97*IF(B97="Carbon Steel",$K$7,IF(B97="Stainless Steel 304",$K$8,$L$8)), 3)</f>
        <v/>
      </c>
      <c r="L97" s="78">
        <f>ROUND(K97*$G$5, 2)</f>
        <v/>
      </c>
      <c r="M97" s="93">
        <f>INT($G$6/H97)</f>
        <v/>
      </c>
      <c r="N97" s="93">
        <f>IF(M97=0, 0, IF(OR($K$6="Square Grid", M97=1), INT($G$7/H97), IF($G$7&lt;H97, 0, 1+INT(($G$7-H97)/(0.8660254*H97)))))</f>
        <v/>
      </c>
      <c r="O97" s="59">
        <f>IF(OR(M97=0,N97=0), 0, IF(OR($K$6="Square Grid", M97=1), M97*N97*$K$5, (INT((N97+1)/2)*M97 + INT(N97/2)*IF(($G$6-M97*H97)&gt;=0.5*H97, M97, M97-1))*$K$5))</f>
        <v/>
      </c>
      <c r="P97" s="59">
        <f>IF(L97&lt;=0, 0, INT($G$8/L97))</f>
        <v/>
      </c>
      <c r="Q97" s="95">
        <f>MIN(O97, P97)</f>
        <v/>
      </c>
      <c r="R97" s="96">
        <f>ROUND((Q97*L97)/1000, 2)</f>
        <v/>
      </c>
      <c r="S97" s="79">
        <f>IF($C$8&gt;0, R97/$C$8, 0)</f>
        <v/>
      </c>
      <c r="T97" s="79">
        <f>IF(O97&gt;0, Q97/O97, 0)</f>
        <v/>
      </c>
      <c r="U97" s="12">
        <f>IF(Q97=0, "Exceeds Limit", IF(P97&lt;=O97, "Weight Limited", "Volume Limited"))</f>
        <v/>
      </c>
      <c r="V97" s="97">
        <f>B97&amp;"|"&amp;D97&amp;"|"&amp;F97</f>
        <v/>
      </c>
    </row>
    <row r="98" ht="19" customHeight="1">
      <c r="A98" s="98" t="n">
        <v>88</v>
      </c>
      <c r="B98" s="99" t="inlineStr">
        <is>
          <t>Carbon Steel</t>
        </is>
      </c>
      <c r="C98" s="19" t="inlineStr">
        <is>
          <t>ASME B36.10M / B36.19M</t>
        </is>
      </c>
      <c r="D98" s="18" t="inlineStr">
        <is>
          <t>1-1/2''</t>
        </is>
      </c>
      <c r="E98" s="98" t="n">
        <v>40</v>
      </c>
      <c r="F98" s="18" t="inlineStr">
        <is>
          <t>80S</t>
        </is>
      </c>
      <c r="G98" s="20" t="n">
        <v>1.9</v>
      </c>
      <c r="H98" s="82" t="n">
        <v>48.26</v>
      </c>
      <c r="I98" s="20" t="n">
        <v>0.2</v>
      </c>
      <c r="J98" s="82" t="n">
        <v>5.08</v>
      </c>
      <c r="K98" s="20">
        <f>ROUND((H98-J98)*J98*IF(B98="Carbon Steel",$K$7,IF(B98="Stainless Steel 304",$K$8,$L$8)), 3)</f>
        <v/>
      </c>
      <c r="L98" s="82">
        <f>ROUND(K98*$G$5, 2)</f>
        <v/>
      </c>
      <c r="M98" s="98">
        <f>INT($G$6/H98)</f>
        <v/>
      </c>
      <c r="N98" s="98">
        <f>IF(M98=0, 0, IF(OR($K$6="Square Grid", M98=1), INT($G$7/H98), IF($G$7&lt;H98, 0, 1+INT(($G$7-H98)/(0.8660254*H98)))))</f>
        <v/>
      </c>
      <c r="O98" s="84">
        <f>IF(OR(M98=0,N98=0), 0, IF(OR($K$6="Square Grid", M98=1), M98*N98*$K$5, (INT((N98+1)/2)*M98 + INT(N98/2)*IF(($G$6-M98*H98)&gt;=0.5*H98, M98, M98-1))*$K$5))</f>
        <v/>
      </c>
      <c r="P98" s="84">
        <f>IF(L98&lt;=0, 0, INT($G$8/L98))</f>
        <v/>
      </c>
      <c r="Q98" s="95">
        <f>MIN(O98, P98)</f>
        <v/>
      </c>
      <c r="R98" s="96">
        <f>ROUND((Q98*L98)/1000, 2)</f>
        <v/>
      </c>
      <c r="S98" s="85">
        <f>IF($C$8&gt;0, R98/$C$8, 0)</f>
        <v/>
      </c>
      <c r="T98" s="85">
        <f>IF(O98&gt;0, Q98/O98, 0)</f>
        <v/>
      </c>
      <c r="U98" s="18">
        <f>IF(Q98=0, "Exceeds Limit", IF(P98&lt;=O98, "Weight Limited", "Volume Limited"))</f>
        <v/>
      </c>
      <c r="V98" s="100">
        <f>B98&amp;"|"&amp;D98&amp;"|"&amp;F98</f>
        <v/>
      </c>
    </row>
    <row r="99" ht="19" customHeight="1">
      <c r="A99" s="93" t="n">
        <v>89</v>
      </c>
      <c r="B99" s="94" t="inlineStr">
        <is>
          <t>Carbon Steel</t>
        </is>
      </c>
      <c r="C99" s="13" t="inlineStr">
        <is>
          <t>ASME B36.10M / B36.19M</t>
        </is>
      </c>
      <c r="D99" s="12" t="inlineStr">
        <is>
          <t>1-1/2''</t>
        </is>
      </c>
      <c r="E99" s="93" t="n">
        <v>40</v>
      </c>
      <c r="F99" s="12" t="inlineStr">
        <is>
          <t>XS</t>
        </is>
      </c>
      <c r="G99" s="14" t="n">
        <v>1.9</v>
      </c>
      <c r="H99" s="78" t="n">
        <v>48.26</v>
      </c>
      <c r="I99" s="14" t="n">
        <v>0.2</v>
      </c>
      <c r="J99" s="78" t="n">
        <v>5.08</v>
      </c>
      <c r="K99" s="14">
        <f>ROUND((H99-J99)*J99*IF(B99="Carbon Steel",$K$7,IF(B99="Stainless Steel 304",$K$8,$L$8)), 3)</f>
        <v/>
      </c>
      <c r="L99" s="78">
        <f>ROUND(K99*$G$5, 2)</f>
        <v/>
      </c>
      <c r="M99" s="93">
        <f>INT($G$6/H99)</f>
        <v/>
      </c>
      <c r="N99" s="93">
        <f>IF(M99=0, 0, IF(OR($K$6="Square Grid", M99=1), INT($G$7/H99), IF($G$7&lt;H99, 0, 1+INT(($G$7-H99)/(0.8660254*H99)))))</f>
        <v/>
      </c>
      <c r="O99" s="59">
        <f>IF(OR(M99=0,N99=0), 0, IF(OR($K$6="Square Grid", M99=1), M99*N99*$K$5, (INT((N99+1)/2)*M99 + INT(N99/2)*IF(($G$6-M99*H99)&gt;=0.5*H99, M99, M99-1))*$K$5))</f>
        <v/>
      </c>
      <c r="P99" s="59">
        <f>IF(L99&lt;=0, 0, INT($G$8/L99))</f>
        <v/>
      </c>
      <c r="Q99" s="95">
        <f>MIN(O99, P99)</f>
        <v/>
      </c>
      <c r="R99" s="96">
        <f>ROUND((Q99*L99)/1000, 2)</f>
        <v/>
      </c>
      <c r="S99" s="79">
        <f>IF($C$8&gt;0, R99/$C$8, 0)</f>
        <v/>
      </c>
      <c r="T99" s="79">
        <f>IF(O99&gt;0, Q99/O99, 0)</f>
        <v/>
      </c>
      <c r="U99" s="12">
        <f>IF(Q99=0, "Exceeds Limit", IF(P99&lt;=O99, "Weight Limited", "Volume Limited"))</f>
        <v/>
      </c>
      <c r="V99" s="97">
        <f>B99&amp;"|"&amp;D99&amp;"|"&amp;F99</f>
        <v/>
      </c>
    </row>
    <row r="100" ht="19" customHeight="1">
      <c r="A100" s="98" t="n">
        <v>90</v>
      </c>
      <c r="B100" s="99" t="inlineStr">
        <is>
          <t>Carbon Steel</t>
        </is>
      </c>
      <c r="C100" s="19" t="inlineStr">
        <is>
          <t>ASME B36.10M / B36.19M</t>
        </is>
      </c>
      <c r="D100" s="18" t="inlineStr">
        <is>
          <t>1-1/2''</t>
        </is>
      </c>
      <c r="E100" s="98" t="n">
        <v>40</v>
      </c>
      <c r="F100" s="18" t="inlineStr">
        <is>
          <t>80</t>
        </is>
      </c>
      <c r="G100" s="20" t="n">
        <v>1.9</v>
      </c>
      <c r="H100" s="82" t="n">
        <v>48.26</v>
      </c>
      <c r="I100" s="20" t="n">
        <v>0.2</v>
      </c>
      <c r="J100" s="82" t="n">
        <v>5.08</v>
      </c>
      <c r="K100" s="20">
        <f>ROUND((H100-J100)*J100*IF(B100="Carbon Steel",$K$7,IF(B100="Stainless Steel 304",$K$8,$L$8)), 3)</f>
        <v/>
      </c>
      <c r="L100" s="82">
        <f>ROUND(K100*$G$5, 2)</f>
        <v/>
      </c>
      <c r="M100" s="98">
        <f>INT($G$6/H100)</f>
        <v/>
      </c>
      <c r="N100" s="98">
        <f>IF(M100=0, 0, IF(OR($K$6="Square Grid", M100=1), INT($G$7/H100), IF($G$7&lt;H100, 0, 1+INT(($G$7-H100)/(0.8660254*H100)))))</f>
        <v/>
      </c>
      <c r="O100" s="84">
        <f>IF(OR(M100=0,N100=0), 0, IF(OR($K$6="Square Grid", M100=1), M100*N100*$K$5, (INT((N100+1)/2)*M100 + INT(N100/2)*IF(($G$6-M100*H100)&gt;=0.5*H100, M100, M100-1))*$K$5))</f>
        <v/>
      </c>
      <c r="P100" s="84">
        <f>IF(L100&lt;=0, 0, INT($G$8/L100))</f>
        <v/>
      </c>
      <c r="Q100" s="95">
        <f>MIN(O100, P100)</f>
        <v/>
      </c>
      <c r="R100" s="96">
        <f>ROUND((Q100*L100)/1000, 2)</f>
        <v/>
      </c>
      <c r="S100" s="85">
        <f>IF($C$8&gt;0, R100/$C$8, 0)</f>
        <v/>
      </c>
      <c r="T100" s="85">
        <f>IF(O100&gt;0, Q100/O100, 0)</f>
        <v/>
      </c>
      <c r="U100" s="18">
        <f>IF(Q100=0, "Exceeds Limit", IF(P100&lt;=O100, "Weight Limited", "Volume Limited"))</f>
        <v/>
      </c>
      <c r="V100" s="100">
        <f>B100&amp;"|"&amp;D100&amp;"|"&amp;F100</f>
        <v/>
      </c>
    </row>
    <row r="101" ht="19" customHeight="1">
      <c r="A101" s="93" t="n">
        <v>91</v>
      </c>
      <c r="B101" s="94" t="inlineStr">
        <is>
          <t>Carbon Steel</t>
        </is>
      </c>
      <c r="C101" s="13" t="inlineStr">
        <is>
          <t>ASME B36.10M / B36.19M</t>
        </is>
      </c>
      <c r="D101" s="12" t="inlineStr">
        <is>
          <t>1-1/2''</t>
        </is>
      </c>
      <c r="E101" s="93" t="n">
        <v>40</v>
      </c>
      <c r="F101" s="12" t="inlineStr">
        <is>
          <t>160</t>
        </is>
      </c>
      <c r="G101" s="14" t="n">
        <v>1.9</v>
      </c>
      <c r="H101" s="78" t="n">
        <v>48.26</v>
      </c>
      <c r="I101" s="14" t="n">
        <v>0.281</v>
      </c>
      <c r="J101" s="78" t="n">
        <v>7.14</v>
      </c>
      <c r="K101" s="14">
        <f>ROUND((H101-J101)*J101*IF(B101="Carbon Steel",$K$7,IF(B101="Stainless Steel 304",$K$8,$L$8)), 3)</f>
        <v/>
      </c>
      <c r="L101" s="78">
        <f>ROUND(K101*$G$5, 2)</f>
        <v/>
      </c>
      <c r="M101" s="93">
        <f>INT($G$6/H101)</f>
        <v/>
      </c>
      <c r="N101" s="93">
        <f>IF(M101=0, 0, IF(OR($K$6="Square Grid", M101=1), INT($G$7/H101), IF($G$7&lt;H101, 0, 1+INT(($G$7-H101)/(0.8660254*H101)))))</f>
        <v/>
      </c>
      <c r="O101" s="59">
        <f>IF(OR(M101=0,N101=0), 0, IF(OR($K$6="Square Grid", M101=1), M101*N101*$K$5, (INT((N101+1)/2)*M101 + INT(N101/2)*IF(($G$6-M101*H101)&gt;=0.5*H101, M101, M101-1))*$K$5))</f>
        <v/>
      </c>
      <c r="P101" s="59">
        <f>IF(L101&lt;=0, 0, INT($G$8/L101))</f>
        <v/>
      </c>
      <c r="Q101" s="95">
        <f>MIN(O101, P101)</f>
        <v/>
      </c>
      <c r="R101" s="96">
        <f>ROUND((Q101*L101)/1000, 2)</f>
        <v/>
      </c>
      <c r="S101" s="79">
        <f>IF($C$8&gt;0, R101/$C$8, 0)</f>
        <v/>
      </c>
      <c r="T101" s="79">
        <f>IF(O101&gt;0, Q101/O101, 0)</f>
        <v/>
      </c>
      <c r="U101" s="12">
        <f>IF(Q101=0, "Exceeds Limit", IF(P101&lt;=O101, "Weight Limited", "Volume Limited"))</f>
        <v/>
      </c>
      <c r="V101" s="97">
        <f>B101&amp;"|"&amp;D101&amp;"|"&amp;F101</f>
        <v/>
      </c>
    </row>
    <row r="102" ht="19" customHeight="1">
      <c r="A102" s="98" t="n">
        <v>92</v>
      </c>
      <c r="B102" s="99" t="inlineStr">
        <is>
          <t>Carbon Steel</t>
        </is>
      </c>
      <c r="C102" s="19" t="inlineStr">
        <is>
          <t>ASME B36.10M / B36.19M</t>
        </is>
      </c>
      <c r="D102" s="18" t="inlineStr">
        <is>
          <t>1-1/2''</t>
        </is>
      </c>
      <c r="E102" s="98" t="n">
        <v>40</v>
      </c>
      <c r="F102" s="18" t="inlineStr">
        <is>
          <t>XXS</t>
        </is>
      </c>
      <c r="G102" s="20" t="n">
        <v>1.9</v>
      </c>
      <c r="H102" s="82" t="n">
        <v>48.26</v>
      </c>
      <c r="I102" s="20" t="n">
        <v>0.4</v>
      </c>
      <c r="J102" s="82" t="n">
        <v>10.16</v>
      </c>
      <c r="K102" s="20">
        <f>ROUND((H102-J102)*J102*IF(B102="Carbon Steel",$K$7,IF(B102="Stainless Steel 304",$K$8,$L$8)), 3)</f>
        <v/>
      </c>
      <c r="L102" s="82">
        <f>ROUND(K102*$G$5, 2)</f>
        <v/>
      </c>
      <c r="M102" s="98">
        <f>INT($G$6/H102)</f>
        <v/>
      </c>
      <c r="N102" s="98">
        <f>IF(M102=0, 0, IF(OR($K$6="Square Grid", M102=1), INT($G$7/H102), IF($G$7&lt;H102, 0, 1+INT(($G$7-H102)/(0.8660254*H102)))))</f>
        <v/>
      </c>
      <c r="O102" s="84">
        <f>IF(OR(M102=0,N102=0), 0, IF(OR($K$6="Square Grid", M102=1), M102*N102*$K$5, (INT((N102+1)/2)*M102 + INT(N102/2)*IF(($G$6-M102*H102)&gt;=0.5*H102, M102, M102-1))*$K$5))</f>
        <v/>
      </c>
      <c r="P102" s="84">
        <f>IF(L102&lt;=0, 0, INT($G$8/L102))</f>
        <v/>
      </c>
      <c r="Q102" s="95">
        <f>MIN(O102, P102)</f>
        <v/>
      </c>
      <c r="R102" s="96">
        <f>ROUND((Q102*L102)/1000, 2)</f>
        <v/>
      </c>
      <c r="S102" s="85">
        <f>IF($C$8&gt;0, R102/$C$8, 0)</f>
        <v/>
      </c>
      <c r="T102" s="85">
        <f>IF(O102&gt;0, Q102/O102, 0)</f>
        <v/>
      </c>
      <c r="U102" s="18">
        <f>IF(Q102=0, "Exceeds Limit", IF(P102&lt;=O102, "Weight Limited", "Volume Limited"))</f>
        <v/>
      </c>
      <c r="V102" s="100">
        <f>B102&amp;"|"&amp;D102&amp;"|"&amp;F102</f>
        <v/>
      </c>
    </row>
    <row r="103" ht="19" customHeight="1">
      <c r="A103" s="93" t="n">
        <v>93</v>
      </c>
      <c r="B103" s="94" t="inlineStr">
        <is>
          <t>Carbon Steel</t>
        </is>
      </c>
      <c r="C103" s="13" t="inlineStr">
        <is>
          <t>ASME B36.10M / B36.19M</t>
        </is>
      </c>
      <c r="D103" s="12" t="inlineStr">
        <is>
          <t>2''</t>
        </is>
      </c>
      <c r="E103" s="93" t="n">
        <v>50</v>
      </c>
      <c r="F103" s="12" t="inlineStr">
        <is>
          <t>5S</t>
        </is>
      </c>
      <c r="G103" s="14" t="n">
        <v>2.375</v>
      </c>
      <c r="H103" s="78" t="n">
        <v>60.32</v>
      </c>
      <c r="I103" s="14" t="n">
        <v>0.065</v>
      </c>
      <c r="J103" s="78" t="n">
        <v>1.65</v>
      </c>
      <c r="K103" s="14">
        <f>ROUND((H103-J103)*J103*IF(B103="Carbon Steel",$K$7,IF(B103="Stainless Steel 304",$K$8,$L$8)), 3)</f>
        <v/>
      </c>
      <c r="L103" s="78">
        <f>ROUND(K103*$G$5, 2)</f>
        <v/>
      </c>
      <c r="M103" s="93">
        <f>INT($G$6/H103)</f>
        <v/>
      </c>
      <c r="N103" s="93">
        <f>IF(M103=0, 0, IF(OR($K$6="Square Grid", M103=1), INT($G$7/H103), IF($G$7&lt;H103, 0, 1+INT(($G$7-H103)/(0.8660254*H103)))))</f>
        <v/>
      </c>
      <c r="O103" s="59">
        <f>IF(OR(M103=0,N103=0), 0, IF(OR($K$6="Square Grid", M103=1), M103*N103*$K$5, (INT((N103+1)/2)*M103 + INT(N103/2)*IF(($G$6-M103*H103)&gt;=0.5*H103, M103, M103-1))*$K$5))</f>
        <v/>
      </c>
      <c r="P103" s="59">
        <f>IF(L103&lt;=0, 0, INT($G$8/L103))</f>
        <v/>
      </c>
      <c r="Q103" s="95">
        <f>MIN(O103, P103)</f>
        <v/>
      </c>
      <c r="R103" s="96">
        <f>ROUND((Q103*L103)/1000, 2)</f>
        <v/>
      </c>
      <c r="S103" s="79">
        <f>IF($C$8&gt;0, R103/$C$8, 0)</f>
        <v/>
      </c>
      <c r="T103" s="79">
        <f>IF(O103&gt;0, Q103/O103, 0)</f>
        <v/>
      </c>
      <c r="U103" s="12">
        <f>IF(Q103=0, "Exceeds Limit", IF(P103&lt;=O103, "Weight Limited", "Volume Limited"))</f>
        <v/>
      </c>
      <c r="V103" s="97">
        <f>B103&amp;"|"&amp;D103&amp;"|"&amp;F103</f>
        <v/>
      </c>
    </row>
    <row r="104" ht="19" customHeight="1">
      <c r="A104" s="98" t="n">
        <v>94</v>
      </c>
      <c r="B104" s="99" t="inlineStr">
        <is>
          <t>Carbon Steel</t>
        </is>
      </c>
      <c r="C104" s="19" t="inlineStr">
        <is>
          <t>ASME B36.10M / B36.19M</t>
        </is>
      </c>
      <c r="D104" s="18" t="inlineStr">
        <is>
          <t>2''</t>
        </is>
      </c>
      <c r="E104" s="98" t="n">
        <v>50</v>
      </c>
      <c r="F104" s="18" t="inlineStr">
        <is>
          <t>5</t>
        </is>
      </c>
      <c r="G104" s="20" t="n">
        <v>2.375</v>
      </c>
      <c r="H104" s="82" t="n">
        <v>60.32</v>
      </c>
      <c r="I104" s="20" t="n">
        <v>0.065</v>
      </c>
      <c r="J104" s="82" t="n">
        <v>1.65</v>
      </c>
      <c r="K104" s="20">
        <f>ROUND((H104-J104)*J104*IF(B104="Carbon Steel",$K$7,IF(B104="Stainless Steel 304",$K$8,$L$8)), 3)</f>
        <v/>
      </c>
      <c r="L104" s="82">
        <f>ROUND(K104*$G$5, 2)</f>
        <v/>
      </c>
      <c r="M104" s="98">
        <f>INT($G$6/H104)</f>
        <v/>
      </c>
      <c r="N104" s="98">
        <f>IF(M104=0, 0, IF(OR($K$6="Square Grid", M104=1), INT($G$7/H104), IF($G$7&lt;H104, 0, 1+INT(($G$7-H104)/(0.8660254*H104)))))</f>
        <v/>
      </c>
      <c r="O104" s="84">
        <f>IF(OR(M104=0,N104=0), 0, IF(OR($K$6="Square Grid", M104=1), M104*N104*$K$5, (INT((N104+1)/2)*M104 + INT(N104/2)*IF(($G$6-M104*H104)&gt;=0.5*H104, M104, M104-1))*$K$5))</f>
        <v/>
      </c>
      <c r="P104" s="84">
        <f>IF(L104&lt;=0, 0, INT($G$8/L104))</f>
        <v/>
      </c>
      <c r="Q104" s="95">
        <f>MIN(O104, P104)</f>
        <v/>
      </c>
      <c r="R104" s="96">
        <f>ROUND((Q104*L104)/1000, 2)</f>
        <v/>
      </c>
      <c r="S104" s="85">
        <f>IF($C$8&gt;0, R104/$C$8, 0)</f>
        <v/>
      </c>
      <c r="T104" s="85">
        <f>IF(O104&gt;0, Q104/O104, 0)</f>
        <v/>
      </c>
      <c r="U104" s="18">
        <f>IF(Q104=0, "Exceeds Limit", IF(P104&lt;=O104, "Weight Limited", "Volume Limited"))</f>
        <v/>
      </c>
      <c r="V104" s="100">
        <f>B104&amp;"|"&amp;D104&amp;"|"&amp;F104</f>
        <v/>
      </c>
    </row>
    <row r="105" ht="19" customHeight="1">
      <c r="A105" s="93" t="n">
        <v>95</v>
      </c>
      <c r="B105" s="94" t="inlineStr">
        <is>
          <t>Carbon Steel</t>
        </is>
      </c>
      <c r="C105" s="13" t="inlineStr">
        <is>
          <t>ASME B36.10M / B36.19M</t>
        </is>
      </c>
      <c r="D105" s="12" t="inlineStr">
        <is>
          <t>2''</t>
        </is>
      </c>
      <c r="E105" s="93" t="n">
        <v>50</v>
      </c>
      <c r="F105" s="12" t="inlineStr">
        <is>
          <t>10S</t>
        </is>
      </c>
      <c r="G105" s="14" t="n">
        <v>2.375</v>
      </c>
      <c r="H105" s="78" t="n">
        <v>60.32</v>
      </c>
      <c r="I105" s="14" t="n">
        <v>0.109</v>
      </c>
      <c r="J105" s="78" t="n">
        <v>2.77</v>
      </c>
      <c r="K105" s="14">
        <f>ROUND((H105-J105)*J105*IF(B105="Carbon Steel",$K$7,IF(B105="Stainless Steel 304",$K$8,$L$8)), 3)</f>
        <v/>
      </c>
      <c r="L105" s="78">
        <f>ROUND(K105*$G$5, 2)</f>
        <v/>
      </c>
      <c r="M105" s="93">
        <f>INT($G$6/H105)</f>
        <v/>
      </c>
      <c r="N105" s="93">
        <f>IF(M105=0, 0, IF(OR($K$6="Square Grid", M105=1), INT($G$7/H105), IF($G$7&lt;H105, 0, 1+INT(($G$7-H105)/(0.8660254*H105)))))</f>
        <v/>
      </c>
      <c r="O105" s="59">
        <f>IF(OR(M105=0,N105=0), 0, IF(OR($K$6="Square Grid", M105=1), M105*N105*$K$5, (INT((N105+1)/2)*M105 + INT(N105/2)*IF(($G$6-M105*H105)&gt;=0.5*H105, M105, M105-1))*$K$5))</f>
        <v/>
      </c>
      <c r="P105" s="59">
        <f>IF(L105&lt;=0, 0, INT($G$8/L105))</f>
        <v/>
      </c>
      <c r="Q105" s="95">
        <f>MIN(O105, P105)</f>
        <v/>
      </c>
      <c r="R105" s="96">
        <f>ROUND((Q105*L105)/1000, 2)</f>
        <v/>
      </c>
      <c r="S105" s="79">
        <f>IF($C$8&gt;0, R105/$C$8, 0)</f>
        <v/>
      </c>
      <c r="T105" s="79">
        <f>IF(O105&gt;0, Q105/O105, 0)</f>
        <v/>
      </c>
      <c r="U105" s="12">
        <f>IF(Q105=0, "Exceeds Limit", IF(P105&lt;=O105, "Weight Limited", "Volume Limited"))</f>
        <v/>
      </c>
      <c r="V105" s="97">
        <f>B105&amp;"|"&amp;D105&amp;"|"&amp;F105</f>
        <v/>
      </c>
    </row>
    <row r="106" ht="19" customHeight="1">
      <c r="A106" s="98" t="n">
        <v>96</v>
      </c>
      <c r="B106" s="99" t="inlineStr">
        <is>
          <t>Carbon Steel</t>
        </is>
      </c>
      <c r="C106" s="19" t="inlineStr">
        <is>
          <t>ASME B36.10M / B36.19M</t>
        </is>
      </c>
      <c r="D106" s="18" t="inlineStr">
        <is>
          <t>2''</t>
        </is>
      </c>
      <c r="E106" s="98" t="n">
        <v>50</v>
      </c>
      <c r="F106" s="18" t="inlineStr">
        <is>
          <t>10</t>
        </is>
      </c>
      <c r="G106" s="20" t="n">
        <v>2.375</v>
      </c>
      <c r="H106" s="82" t="n">
        <v>60.32</v>
      </c>
      <c r="I106" s="20" t="n">
        <v>0.109</v>
      </c>
      <c r="J106" s="82" t="n">
        <v>2.77</v>
      </c>
      <c r="K106" s="20">
        <f>ROUND((H106-J106)*J106*IF(B106="Carbon Steel",$K$7,IF(B106="Stainless Steel 304",$K$8,$L$8)), 3)</f>
        <v/>
      </c>
      <c r="L106" s="82">
        <f>ROUND(K106*$G$5, 2)</f>
        <v/>
      </c>
      <c r="M106" s="98">
        <f>INT($G$6/H106)</f>
        <v/>
      </c>
      <c r="N106" s="98">
        <f>IF(M106=0, 0, IF(OR($K$6="Square Grid", M106=1), INT($G$7/H106), IF($G$7&lt;H106, 0, 1+INT(($G$7-H106)/(0.8660254*H106)))))</f>
        <v/>
      </c>
      <c r="O106" s="84">
        <f>IF(OR(M106=0,N106=0), 0, IF(OR($K$6="Square Grid", M106=1), M106*N106*$K$5, (INT((N106+1)/2)*M106 + INT(N106/2)*IF(($G$6-M106*H106)&gt;=0.5*H106, M106, M106-1))*$K$5))</f>
        <v/>
      </c>
      <c r="P106" s="84">
        <f>IF(L106&lt;=0, 0, INT($G$8/L106))</f>
        <v/>
      </c>
      <c r="Q106" s="95">
        <f>MIN(O106, P106)</f>
        <v/>
      </c>
      <c r="R106" s="96">
        <f>ROUND((Q106*L106)/1000, 2)</f>
        <v/>
      </c>
      <c r="S106" s="85">
        <f>IF($C$8&gt;0, R106/$C$8, 0)</f>
        <v/>
      </c>
      <c r="T106" s="85">
        <f>IF(O106&gt;0, Q106/O106, 0)</f>
        <v/>
      </c>
      <c r="U106" s="18">
        <f>IF(Q106=0, "Exceeds Limit", IF(P106&lt;=O106, "Weight Limited", "Volume Limited"))</f>
        <v/>
      </c>
      <c r="V106" s="100">
        <f>B106&amp;"|"&amp;D106&amp;"|"&amp;F106</f>
        <v/>
      </c>
    </row>
    <row r="107" ht="19" customHeight="1">
      <c r="A107" s="93" t="n">
        <v>97</v>
      </c>
      <c r="B107" s="94" t="inlineStr">
        <is>
          <t>Carbon Steel</t>
        </is>
      </c>
      <c r="C107" s="13" t="inlineStr">
        <is>
          <t>ASME B36.10M / B36.19M</t>
        </is>
      </c>
      <c r="D107" s="12" t="inlineStr">
        <is>
          <t>2''</t>
        </is>
      </c>
      <c r="E107" s="93" t="n">
        <v>50</v>
      </c>
      <c r="F107" s="12" t="inlineStr">
        <is>
          <t>30</t>
        </is>
      </c>
      <c r="G107" s="14" t="n">
        <v>2.375</v>
      </c>
      <c r="H107" s="78" t="n">
        <v>60.32</v>
      </c>
      <c r="I107" s="14" t="n">
        <v>0.125</v>
      </c>
      <c r="J107" s="78" t="n">
        <v>3.17</v>
      </c>
      <c r="K107" s="14">
        <f>ROUND((H107-J107)*J107*IF(B107="Carbon Steel",$K$7,IF(B107="Stainless Steel 304",$K$8,$L$8)), 3)</f>
        <v/>
      </c>
      <c r="L107" s="78">
        <f>ROUND(K107*$G$5, 2)</f>
        <v/>
      </c>
      <c r="M107" s="93">
        <f>INT($G$6/H107)</f>
        <v/>
      </c>
      <c r="N107" s="93">
        <f>IF(M107=0, 0, IF(OR($K$6="Square Grid", M107=1), INT($G$7/H107), IF($G$7&lt;H107, 0, 1+INT(($G$7-H107)/(0.8660254*H107)))))</f>
        <v/>
      </c>
      <c r="O107" s="59">
        <f>IF(OR(M107=0,N107=0), 0, IF(OR($K$6="Square Grid", M107=1), M107*N107*$K$5, (INT((N107+1)/2)*M107 + INT(N107/2)*IF(($G$6-M107*H107)&gt;=0.5*H107, M107, M107-1))*$K$5))</f>
        <v/>
      </c>
      <c r="P107" s="59">
        <f>IF(L107&lt;=0, 0, INT($G$8/L107))</f>
        <v/>
      </c>
      <c r="Q107" s="95">
        <f>MIN(O107, P107)</f>
        <v/>
      </c>
      <c r="R107" s="96">
        <f>ROUND((Q107*L107)/1000, 2)</f>
        <v/>
      </c>
      <c r="S107" s="79">
        <f>IF($C$8&gt;0, R107/$C$8, 0)</f>
        <v/>
      </c>
      <c r="T107" s="79">
        <f>IF(O107&gt;0, Q107/O107, 0)</f>
        <v/>
      </c>
      <c r="U107" s="12">
        <f>IF(Q107=0, "Exceeds Limit", IF(P107&lt;=O107, "Weight Limited", "Volume Limited"))</f>
        <v/>
      </c>
      <c r="V107" s="97">
        <f>B107&amp;"|"&amp;D107&amp;"|"&amp;F107</f>
        <v/>
      </c>
    </row>
    <row r="108" ht="19" customHeight="1">
      <c r="A108" s="98" t="n">
        <v>98</v>
      </c>
      <c r="B108" s="99" t="inlineStr">
        <is>
          <t>Carbon Steel</t>
        </is>
      </c>
      <c r="C108" s="19" t="inlineStr">
        <is>
          <t>ASME B36.10M / B36.19M</t>
        </is>
      </c>
      <c r="D108" s="18" t="inlineStr">
        <is>
          <t>2''</t>
        </is>
      </c>
      <c r="E108" s="98" t="n">
        <v>50</v>
      </c>
      <c r="F108" s="18" t="inlineStr">
        <is>
          <t>40S</t>
        </is>
      </c>
      <c r="G108" s="20" t="n">
        <v>2.375</v>
      </c>
      <c r="H108" s="82" t="n">
        <v>60.32</v>
      </c>
      <c r="I108" s="20" t="n">
        <v>0.154</v>
      </c>
      <c r="J108" s="82" t="n">
        <v>3.91</v>
      </c>
      <c r="K108" s="20">
        <f>ROUND((H108-J108)*J108*IF(B108="Carbon Steel",$K$7,IF(B108="Stainless Steel 304",$K$8,$L$8)), 3)</f>
        <v/>
      </c>
      <c r="L108" s="82">
        <f>ROUND(K108*$G$5, 2)</f>
        <v/>
      </c>
      <c r="M108" s="98">
        <f>INT($G$6/H108)</f>
        <v/>
      </c>
      <c r="N108" s="98">
        <f>IF(M108=0, 0, IF(OR($K$6="Square Grid", M108=1), INT($G$7/H108), IF($G$7&lt;H108, 0, 1+INT(($G$7-H108)/(0.8660254*H108)))))</f>
        <v/>
      </c>
      <c r="O108" s="84">
        <f>IF(OR(M108=0,N108=0), 0, IF(OR($K$6="Square Grid", M108=1), M108*N108*$K$5, (INT((N108+1)/2)*M108 + INT(N108/2)*IF(($G$6-M108*H108)&gt;=0.5*H108, M108, M108-1))*$K$5))</f>
        <v/>
      </c>
      <c r="P108" s="84">
        <f>IF(L108&lt;=0, 0, INT($G$8/L108))</f>
        <v/>
      </c>
      <c r="Q108" s="95">
        <f>MIN(O108, P108)</f>
        <v/>
      </c>
      <c r="R108" s="96">
        <f>ROUND((Q108*L108)/1000, 2)</f>
        <v/>
      </c>
      <c r="S108" s="85">
        <f>IF($C$8&gt;0, R108/$C$8, 0)</f>
        <v/>
      </c>
      <c r="T108" s="85">
        <f>IF(O108&gt;0, Q108/O108, 0)</f>
        <v/>
      </c>
      <c r="U108" s="18">
        <f>IF(Q108=0, "Exceeds Limit", IF(P108&lt;=O108, "Weight Limited", "Volume Limited"))</f>
        <v/>
      </c>
      <c r="V108" s="100">
        <f>B108&amp;"|"&amp;D108&amp;"|"&amp;F108</f>
        <v/>
      </c>
    </row>
    <row r="109" ht="19" customHeight="1">
      <c r="A109" s="93" t="n">
        <v>99</v>
      </c>
      <c r="B109" s="94" t="inlineStr">
        <is>
          <t>Carbon Steel</t>
        </is>
      </c>
      <c r="C109" s="13" t="inlineStr">
        <is>
          <t>ASME B36.10M / B36.19M</t>
        </is>
      </c>
      <c r="D109" s="12" t="inlineStr">
        <is>
          <t>2''</t>
        </is>
      </c>
      <c r="E109" s="93" t="n">
        <v>50</v>
      </c>
      <c r="F109" s="12" t="inlineStr">
        <is>
          <t>STD</t>
        </is>
      </c>
      <c r="G109" s="14" t="n">
        <v>2.375</v>
      </c>
      <c r="H109" s="78" t="n">
        <v>60.32</v>
      </c>
      <c r="I109" s="14" t="n">
        <v>0.154</v>
      </c>
      <c r="J109" s="78" t="n">
        <v>3.91</v>
      </c>
      <c r="K109" s="14">
        <f>ROUND((H109-J109)*J109*IF(B109="Carbon Steel",$K$7,IF(B109="Stainless Steel 304",$K$8,$L$8)), 3)</f>
        <v/>
      </c>
      <c r="L109" s="78">
        <f>ROUND(K109*$G$5, 2)</f>
        <v/>
      </c>
      <c r="M109" s="93">
        <f>INT($G$6/H109)</f>
        <v/>
      </c>
      <c r="N109" s="93">
        <f>IF(M109=0, 0, IF(OR($K$6="Square Grid", M109=1), INT($G$7/H109), IF($G$7&lt;H109, 0, 1+INT(($G$7-H109)/(0.8660254*H109)))))</f>
        <v/>
      </c>
      <c r="O109" s="59">
        <f>IF(OR(M109=0,N109=0), 0, IF(OR($K$6="Square Grid", M109=1), M109*N109*$K$5, (INT((N109+1)/2)*M109 + INT(N109/2)*IF(($G$6-M109*H109)&gt;=0.5*H109, M109, M109-1))*$K$5))</f>
        <v/>
      </c>
      <c r="P109" s="59">
        <f>IF(L109&lt;=0, 0, INT($G$8/L109))</f>
        <v/>
      </c>
      <c r="Q109" s="95">
        <f>MIN(O109, P109)</f>
        <v/>
      </c>
      <c r="R109" s="96">
        <f>ROUND((Q109*L109)/1000, 2)</f>
        <v/>
      </c>
      <c r="S109" s="79">
        <f>IF($C$8&gt;0, R109/$C$8, 0)</f>
        <v/>
      </c>
      <c r="T109" s="79">
        <f>IF(O109&gt;0, Q109/O109, 0)</f>
        <v/>
      </c>
      <c r="U109" s="12">
        <f>IF(Q109=0, "Exceeds Limit", IF(P109&lt;=O109, "Weight Limited", "Volume Limited"))</f>
        <v/>
      </c>
      <c r="V109" s="97">
        <f>B109&amp;"|"&amp;D109&amp;"|"&amp;F109</f>
        <v/>
      </c>
    </row>
    <row r="110" ht="19" customHeight="1">
      <c r="A110" s="98" t="n">
        <v>100</v>
      </c>
      <c r="B110" s="99" t="inlineStr">
        <is>
          <t>Carbon Steel</t>
        </is>
      </c>
      <c r="C110" s="19" t="inlineStr">
        <is>
          <t>ASME B36.10M / B36.19M</t>
        </is>
      </c>
      <c r="D110" s="18" t="inlineStr">
        <is>
          <t>2''</t>
        </is>
      </c>
      <c r="E110" s="98" t="n">
        <v>50</v>
      </c>
      <c r="F110" s="18" t="inlineStr">
        <is>
          <t>40</t>
        </is>
      </c>
      <c r="G110" s="20" t="n">
        <v>2.375</v>
      </c>
      <c r="H110" s="82" t="n">
        <v>60.32</v>
      </c>
      <c r="I110" s="20" t="n">
        <v>0.154</v>
      </c>
      <c r="J110" s="82" t="n">
        <v>3.91</v>
      </c>
      <c r="K110" s="20">
        <f>ROUND((H110-J110)*J110*IF(B110="Carbon Steel",$K$7,IF(B110="Stainless Steel 304",$K$8,$L$8)), 3)</f>
        <v/>
      </c>
      <c r="L110" s="82">
        <f>ROUND(K110*$G$5, 2)</f>
        <v/>
      </c>
      <c r="M110" s="98">
        <f>INT($G$6/H110)</f>
        <v/>
      </c>
      <c r="N110" s="98">
        <f>IF(M110=0, 0, IF(OR($K$6="Square Grid", M110=1), INT($G$7/H110), IF($G$7&lt;H110, 0, 1+INT(($G$7-H110)/(0.8660254*H110)))))</f>
        <v/>
      </c>
      <c r="O110" s="84">
        <f>IF(OR(M110=0,N110=0), 0, IF(OR($K$6="Square Grid", M110=1), M110*N110*$K$5, (INT((N110+1)/2)*M110 + INT(N110/2)*IF(($G$6-M110*H110)&gt;=0.5*H110, M110, M110-1))*$K$5))</f>
        <v/>
      </c>
      <c r="P110" s="84">
        <f>IF(L110&lt;=0, 0, INT($G$8/L110))</f>
        <v/>
      </c>
      <c r="Q110" s="95">
        <f>MIN(O110, P110)</f>
        <v/>
      </c>
      <c r="R110" s="96">
        <f>ROUND((Q110*L110)/1000, 2)</f>
        <v/>
      </c>
      <c r="S110" s="85">
        <f>IF($C$8&gt;0, R110/$C$8, 0)</f>
        <v/>
      </c>
      <c r="T110" s="85">
        <f>IF(O110&gt;0, Q110/O110, 0)</f>
        <v/>
      </c>
      <c r="U110" s="18">
        <f>IF(Q110=0, "Exceeds Limit", IF(P110&lt;=O110, "Weight Limited", "Volume Limited"))</f>
        <v/>
      </c>
      <c r="V110" s="100">
        <f>B110&amp;"|"&amp;D110&amp;"|"&amp;F110</f>
        <v/>
      </c>
    </row>
    <row r="111" ht="19" customHeight="1">
      <c r="A111" s="93" t="n">
        <v>101</v>
      </c>
      <c r="B111" s="94" t="inlineStr">
        <is>
          <t>Carbon Steel</t>
        </is>
      </c>
      <c r="C111" s="13" t="inlineStr">
        <is>
          <t>ASME B36.10M / B36.19M</t>
        </is>
      </c>
      <c r="D111" s="12" t="inlineStr">
        <is>
          <t>2''</t>
        </is>
      </c>
      <c r="E111" s="93" t="n">
        <v>50</v>
      </c>
      <c r="F111" s="12" t="inlineStr">
        <is>
          <t>80S</t>
        </is>
      </c>
      <c r="G111" s="14" t="n">
        <v>2.375</v>
      </c>
      <c r="H111" s="78" t="n">
        <v>60.32</v>
      </c>
      <c r="I111" s="14" t="n">
        <v>0.218</v>
      </c>
      <c r="J111" s="78" t="n">
        <v>5.54</v>
      </c>
      <c r="K111" s="14">
        <f>ROUND((H111-J111)*J111*IF(B111="Carbon Steel",$K$7,IF(B111="Stainless Steel 304",$K$8,$L$8)), 3)</f>
        <v/>
      </c>
      <c r="L111" s="78">
        <f>ROUND(K111*$G$5, 2)</f>
        <v/>
      </c>
      <c r="M111" s="93">
        <f>INT($G$6/H111)</f>
        <v/>
      </c>
      <c r="N111" s="93">
        <f>IF(M111=0, 0, IF(OR($K$6="Square Grid", M111=1), INT($G$7/H111), IF($G$7&lt;H111, 0, 1+INT(($G$7-H111)/(0.8660254*H111)))))</f>
        <v/>
      </c>
      <c r="O111" s="59">
        <f>IF(OR(M111=0,N111=0), 0, IF(OR($K$6="Square Grid", M111=1), M111*N111*$K$5, (INT((N111+1)/2)*M111 + INT(N111/2)*IF(($G$6-M111*H111)&gt;=0.5*H111, M111, M111-1))*$K$5))</f>
        <v/>
      </c>
      <c r="P111" s="59">
        <f>IF(L111&lt;=0, 0, INT($G$8/L111))</f>
        <v/>
      </c>
      <c r="Q111" s="95">
        <f>MIN(O111, P111)</f>
        <v/>
      </c>
      <c r="R111" s="96">
        <f>ROUND((Q111*L111)/1000, 2)</f>
        <v/>
      </c>
      <c r="S111" s="79">
        <f>IF($C$8&gt;0, R111/$C$8, 0)</f>
        <v/>
      </c>
      <c r="T111" s="79">
        <f>IF(O111&gt;0, Q111/O111, 0)</f>
        <v/>
      </c>
      <c r="U111" s="12">
        <f>IF(Q111=0, "Exceeds Limit", IF(P111&lt;=O111, "Weight Limited", "Volume Limited"))</f>
        <v/>
      </c>
      <c r="V111" s="97">
        <f>B111&amp;"|"&amp;D111&amp;"|"&amp;F111</f>
        <v/>
      </c>
    </row>
    <row r="112" ht="19" customHeight="1">
      <c r="A112" s="98" t="n">
        <v>102</v>
      </c>
      <c r="B112" s="99" t="inlineStr">
        <is>
          <t>Carbon Steel</t>
        </is>
      </c>
      <c r="C112" s="19" t="inlineStr">
        <is>
          <t>ASME B36.10M / B36.19M</t>
        </is>
      </c>
      <c r="D112" s="18" t="inlineStr">
        <is>
          <t>2''</t>
        </is>
      </c>
      <c r="E112" s="98" t="n">
        <v>50</v>
      </c>
      <c r="F112" s="18" t="inlineStr">
        <is>
          <t>XS</t>
        </is>
      </c>
      <c r="G112" s="20" t="n">
        <v>2.375</v>
      </c>
      <c r="H112" s="82" t="n">
        <v>60.32</v>
      </c>
      <c r="I112" s="20" t="n">
        <v>0.218</v>
      </c>
      <c r="J112" s="82" t="n">
        <v>5.54</v>
      </c>
      <c r="K112" s="20">
        <f>ROUND((H112-J112)*J112*IF(B112="Carbon Steel",$K$7,IF(B112="Stainless Steel 304",$K$8,$L$8)), 3)</f>
        <v/>
      </c>
      <c r="L112" s="82">
        <f>ROUND(K112*$G$5, 2)</f>
        <v/>
      </c>
      <c r="M112" s="98">
        <f>INT($G$6/H112)</f>
        <v/>
      </c>
      <c r="N112" s="98">
        <f>IF(M112=0, 0, IF(OR($K$6="Square Grid", M112=1), INT($G$7/H112), IF($G$7&lt;H112, 0, 1+INT(($G$7-H112)/(0.8660254*H112)))))</f>
        <v/>
      </c>
      <c r="O112" s="84">
        <f>IF(OR(M112=0,N112=0), 0, IF(OR($K$6="Square Grid", M112=1), M112*N112*$K$5, (INT((N112+1)/2)*M112 + INT(N112/2)*IF(($G$6-M112*H112)&gt;=0.5*H112, M112, M112-1))*$K$5))</f>
        <v/>
      </c>
      <c r="P112" s="84">
        <f>IF(L112&lt;=0, 0, INT($G$8/L112))</f>
        <v/>
      </c>
      <c r="Q112" s="95">
        <f>MIN(O112, P112)</f>
        <v/>
      </c>
      <c r="R112" s="96">
        <f>ROUND((Q112*L112)/1000, 2)</f>
        <v/>
      </c>
      <c r="S112" s="85">
        <f>IF($C$8&gt;0, R112/$C$8, 0)</f>
        <v/>
      </c>
      <c r="T112" s="85">
        <f>IF(O112&gt;0, Q112/O112, 0)</f>
        <v/>
      </c>
      <c r="U112" s="18">
        <f>IF(Q112=0, "Exceeds Limit", IF(P112&lt;=O112, "Weight Limited", "Volume Limited"))</f>
        <v/>
      </c>
      <c r="V112" s="100">
        <f>B112&amp;"|"&amp;D112&amp;"|"&amp;F112</f>
        <v/>
      </c>
    </row>
    <row r="113" ht="19" customHeight="1">
      <c r="A113" s="93" t="n">
        <v>103</v>
      </c>
      <c r="B113" s="94" t="inlineStr">
        <is>
          <t>Carbon Steel</t>
        </is>
      </c>
      <c r="C113" s="13" t="inlineStr">
        <is>
          <t>ASME B36.10M / B36.19M</t>
        </is>
      </c>
      <c r="D113" s="12" t="inlineStr">
        <is>
          <t>2''</t>
        </is>
      </c>
      <c r="E113" s="93" t="n">
        <v>50</v>
      </c>
      <c r="F113" s="12" t="inlineStr">
        <is>
          <t>80</t>
        </is>
      </c>
      <c r="G113" s="14" t="n">
        <v>2.375</v>
      </c>
      <c r="H113" s="78" t="n">
        <v>60.32</v>
      </c>
      <c r="I113" s="14" t="n">
        <v>0.218</v>
      </c>
      <c r="J113" s="78" t="n">
        <v>5.54</v>
      </c>
      <c r="K113" s="14">
        <f>ROUND((H113-J113)*J113*IF(B113="Carbon Steel",$K$7,IF(B113="Stainless Steel 304",$K$8,$L$8)), 3)</f>
        <v/>
      </c>
      <c r="L113" s="78">
        <f>ROUND(K113*$G$5, 2)</f>
        <v/>
      </c>
      <c r="M113" s="93">
        <f>INT($G$6/H113)</f>
        <v/>
      </c>
      <c r="N113" s="93">
        <f>IF(M113=0, 0, IF(OR($K$6="Square Grid", M113=1), INT($G$7/H113), IF($G$7&lt;H113, 0, 1+INT(($G$7-H113)/(0.8660254*H113)))))</f>
        <v/>
      </c>
      <c r="O113" s="59">
        <f>IF(OR(M113=0,N113=0), 0, IF(OR($K$6="Square Grid", M113=1), M113*N113*$K$5, (INT((N113+1)/2)*M113 + INT(N113/2)*IF(($G$6-M113*H113)&gt;=0.5*H113, M113, M113-1))*$K$5))</f>
        <v/>
      </c>
      <c r="P113" s="59">
        <f>IF(L113&lt;=0, 0, INT($G$8/L113))</f>
        <v/>
      </c>
      <c r="Q113" s="95">
        <f>MIN(O113, P113)</f>
        <v/>
      </c>
      <c r="R113" s="96">
        <f>ROUND((Q113*L113)/1000, 2)</f>
        <v/>
      </c>
      <c r="S113" s="79">
        <f>IF($C$8&gt;0, R113/$C$8, 0)</f>
        <v/>
      </c>
      <c r="T113" s="79">
        <f>IF(O113&gt;0, Q113/O113, 0)</f>
        <v/>
      </c>
      <c r="U113" s="12">
        <f>IF(Q113=0, "Exceeds Limit", IF(P113&lt;=O113, "Weight Limited", "Volume Limited"))</f>
        <v/>
      </c>
      <c r="V113" s="97">
        <f>B113&amp;"|"&amp;D113&amp;"|"&amp;F113</f>
        <v/>
      </c>
    </row>
    <row r="114" ht="19" customHeight="1">
      <c r="A114" s="98" t="n">
        <v>104</v>
      </c>
      <c r="B114" s="99" t="inlineStr">
        <is>
          <t>Carbon Steel</t>
        </is>
      </c>
      <c r="C114" s="19" t="inlineStr">
        <is>
          <t>ASME B36.10M / B36.19M</t>
        </is>
      </c>
      <c r="D114" s="18" t="inlineStr">
        <is>
          <t>2''</t>
        </is>
      </c>
      <c r="E114" s="98" t="n">
        <v>50</v>
      </c>
      <c r="F114" s="18" t="inlineStr">
        <is>
          <t>160</t>
        </is>
      </c>
      <c r="G114" s="20" t="n">
        <v>2.375</v>
      </c>
      <c r="H114" s="82" t="n">
        <v>60.32</v>
      </c>
      <c r="I114" s="20" t="n">
        <v>0.344</v>
      </c>
      <c r="J114" s="82" t="n">
        <v>8.74</v>
      </c>
      <c r="K114" s="20">
        <f>ROUND((H114-J114)*J114*IF(B114="Carbon Steel",$K$7,IF(B114="Stainless Steel 304",$K$8,$L$8)), 3)</f>
        <v/>
      </c>
      <c r="L114" s="82">
        <f>ROUND(K114*$G$5, 2)</f>
        <v/>
      </c>
      <c r="M114" s="98">
        <f>INT($G$6/H114)</f>
        <v/>
      </c>
      <c r="N114" s="98">
        <f>IF(M114=0, 0, IF(OR($K$6="Square Grid", M114=1), INT($G$7/H114), IF($G$7&lt;H114, 0, 1+INT(($G$7-H114)/(0.8660254*H114)))))</f>
        <v/>
      </c>
      <c r="O114" s="84">
        <f>IF(OR(M114=0,N114=0), 0, IF(OR($K$6="Square Grid", M114=1), M114*N114*$K$5, (INT((N114+1)/2)*M114 + INT(N114/2)*IF(($G$6-M114*H114)&gt;=0.5*H114, M114, M114-1))*$K$5))</f>
        <v/>
      </c>
      <c r="P114" s="84">
        <f>IF(L114&lt;=0, 0, INT($G$8/L114))</f>
        <v/>
      </c>
      <c r="Q114" s="95">
        <f>MIN(O114, P114)</f>
        <v/>
      </c>
      <c r="R114" s="96">
        <f>ROUND((Q114*L114)/1000, 2)</f>
        <v/>
      </c>
      <c r="S114" s="85">
        <f>IF($C$8&gt;0, R114/$C$8, 0)</f>
        <v/>
      </c>
      <c r="T114" s="85">
        <f>IF(O114&gt;0, Q114/O114, 0)</f>
        <v/>
      </c>
      <c r="U114" s="18">
        <f>IF(Q114=0, "Exceeds Limit", IF(P114&lt;=O114, "Weight Limited", "Volume Limited"))</f>
        <v/>
      </c>
      <c r="V114" s="100">
        <f>B114&amp;"|"&amp;D114&amp;"|"&amp;F114</f>
        <v/>
      </c>
    </row>
    <row r="115" ht="19" customHeight="1">
      <c r="A115" s="93" t="n">
        <v>105</v>
      </c>
      <c r="B115" s="94" t="inlineStr">
        <is>
          <t>Carbon Steel</t>
        </is>
      </c>
      <c r="C115" s="13" t="inlineStr">
        <is>
          <t>ASME B36.10M / B36.19M</t>
        </is>
      </c>
      <c r="D115" s="12" t="inlineStr">
        <is>
          <t>2''</t>
        </is>
      </c>
      <c r="E115" s="93" t="n">
        <v>50</v>
      </c>
      <c r="F115" s="12" t="inlineStr">
        <is>
          <t>XXS</t>
        </is>
      </c>
      <c r="G115" s="14" t="n">
        <v>2.375</v>
      </c>
      <c r="H115" s="78" t="n">
        <v>60.32</v>
      </c>
      <c r="I115" s="14" t="n">
        <v>0.436</v>
      </c>
      <c r="J115" s="78" t="n">
        <v>11.07</v>
      </c>
      <c r="K115" s="14">
        <f>ROUND((H115-J115)*J115*IF(B115="Carbon Steel",$K$7,IF(B115="Stainless Steel 304",$K$8,$L$8)), 3)</f>
        <v/>
      </c>
      <c r="L115" s="78">
        <f>ROUND(K115*$G$5, 2)</f>
        <v/>
      </c>
      <c r="M115" s="93">
        <f>INT($G$6/H115)</f>
        <v/>
      </c>
      <c r="N115" s="93">
        <f>IF(M115=0, 0, IF(OR($K$6="Square Grid", M115=1), INT($G$7/H115), IF($G$7&lt;H115, 0, 1+INT(($G$7-H115)/(0.8660254*H115)))))</f>
        <v/>
      </c>
      <c r="O115" s="59">
        <f>IF(OR(M115=0,N115=0), 0, IF(OR($K$6="Square Grid", M115=1), M115*N115*$K$5, (INT((N115+1)/2)*M115 + INT(N115/2)*IF(($G$6-M115*H115)&gt;=0.5*H115, M115, M115-1))*$K$5))</f>
        <v/>
      </c>
      <c r="P115" s="59">
        <f>IF(L115&lt;=0, 0, INT($G$8/L115))</f>
        <v/>
      </c>
      <c r="Q115" s="95">
        <f>MIN(O115, P115)</f>
        <v/>
      </c>
      <c r="R115" s="96">
        <f>ROUND((Q115*L115)/1000, 2)</f>
        <v/>
      </c>
      <c r="S115" s="79">
        <f>IF($C$8&gt;0, R115/$C$8, 0)</f>
        <v/>
      </c>
      <c r="T115" s="79">
        <f>IF(O115&gt;0, Q115/O115, 0)</f>
        <v/>
      </c>
      <c r="U115" s="12">
        <f>IF(Q115=0, "Exceeds Limit", IF(P115&lt;=O115, "Weight Limited", "Volume Limited"))</f>
        <v/>
      </c>
      <c r="V115" s="97">
        <f>B115&amp;"|"&amp;D115&amp;"|"&amp;F115</f>
        <v/>
      </c>
    </row>
    <row r="116" ht="19" customHeight="1">
      <c r="A116" s="98" t="n">
        <v>106</v>
      </c>
      <c r="B116" s="99" t="inlineStr">
        <is>
          <t>Carbon Steel</t>
        </is>
      </c>
      <c r="C116" s="19" t="inlineStr">
        <is>
          <t>ASME B36.10M / B36.19M</t>
        </is>
      </c>
      <c r="D116" s="18" t="inlineStr">
        <is>
          <t>2-1/2''</t>
        </is>
      </c>
      <c r="E116" s="98" t="n">
        <v>65</v>
      </c>
      <c r="F116" s="18" t="inlineStr">
        <is>
          <t>5S</t>
        </is>
      </c>
      <c r="G116" s="20" t="n">
        <v>2.875</v>
      </c>
      <c r="H116" s="82" t="n">
        <v>73.02</v>
      </c>
      <c r="I116" s="20" t="n">
        <v>0.083</v>
      </c>
      <c r="J116" s="82" t="n">
        <v>2.11</v>
      </c>
      <c r="K116" s="20">
        <f>ROUND((H116-J116)*J116*IF(B116="Carbon Steel",$K$7,IF(B116="Stainless Steel 304",$K$8,$L$8)), 3)</f>
        <v/>
      </c>
      <c r="L116" s="82">
        <f>ROUND(K116*$G$5, 2)</f>
        <v/>
      </c>
      <c r="M116" s="98">
        <f>INT($G$6/H116)</f>
        <v/>
      </c>
      <c r="N116" s="98">
        <f>IF(M116=0, 0, IF(OR($K$6="Square Grid", M116=1), INT($G$7/H116), IF($G$7&lt;H116, 0, 1+INT(($G$7-H116)/(0.8660254*H116)))))</f>
        <v/>
      </c>
      <c r="O116" s="84">
        <f>IF(OR(M116=0,N116=0), 0, IF(OR($K$6="Square Grid", M116=1), M116*N116*$K$5, (INT((N116+1)/2)*M116 + INT(N116/2)*IF(($G$6-M116*H116)&gt;=0.5*H116, M116, M116-1))*$K$5))</f>
        <v/>
      </c>
      <c r="P116" s="84">
        <f>IF(L116&lt;=0, 0, INT($G$8/L116))</f>
        <v/>
      </c>
      <c r="Q116" s="95">
        <f>MIN(O116, P116)</f>
        <v/>
      </c>
      <c r="R116" s="96">
        <f>ROUND((Q116*L116)/1000, 2)</f>
        <v/>
      </c>
      <c r="S116" s="85">
        <f>IF($C$8&gt;0, R116/$C$8, 0)</f>
        <v/>
      </c>
      <c r="T116" s="85">
        <f>IF(O116&gt;0, Q116/O116, 0)</f>
        <v/>
      </c>
      <c r="U116" s="18">
        <f>IF(Q116=0, "Exceeds Limit", IF(P116&lt;=O116, "Weight Limited", "Volume Limited"))</f>
        <v/>
      </c>
      <c r="V116" s="100">
        <f>B116&amp;"|"&amp;D116&amp;"|"&amp;F116</f>
        <v/>
      </c>
    </row>
    <row r="117" ht="19" customHeight="1">
      <c r="A117" s="93" t="n">
        <v>107</v>
      </c>
      <c r="B117" s="94" t="inlineStr">
        <is>
          <t>Carbon Steel</t>
        </is>
      </c>
      <c r="C117" s="13" t="inlineStr">
        <is>
          <t>ASME B36.10M / B36.19M</t>
        </is>
      </c>
      <c r="D117" s="12" t="inlineStr">
        <is>
          <t>2-1/2''</t>
        </is>
      </c>
      <c r="E117" s="93" t="n">
        <v>65</v>
      </c>
      <c r="F117" s="12" t="inlineStr">
        <is>
          <t>5</t>
        </is>
      </c>
      <c r="G117" s="14" t="n">
        <v>2.875</v>
      </c>
      <c r="H117" s="78" t="n">
        <v>73.02</v>
      </c>
      <c r="I117" s="14" t="n">
        <v>0.083</v>
      </c>
      <c r="J117" s="78" t="n">
        <v>2.11</v>
      </c>
      <c r="K117" s="14">
        <f>ROUND((H117-J117)*J117*IF(B117="Carbon Steel",$K$7,IF(B117="Stainless Steel 304",$K$8,$L$8)), 3)</f>
        <v/>
      </c>
      <c r="L117" s="78">
        <f>ROUND(K117*$G$5, 2)</f>
        <v/>
      </c>
      <c r="M117" s="93">
        <f>INT($G$6/H117)</f>
        <v/>
      </c>
      <c r="N117" s="93">
        <f>IF(M117=0, 0, IF(OR($K$6="Square Grid", M117=1), INT($G$7/H117), IF($G$7&lt;H117, 0, 1+INT(($G$7-H117)/(0.8660254*H117)))))</f>
        <v/>
      </c>
      <c r="O117" s="59">
        <f>IF(OR(M117=0,N117=0), 0, IF(OR($K$6="Square Grid", M117=1), M117*N117*$K$5, (INT((N117+1)/2)*M117 + INT(N117/2)*IF(($G$6-M117*H117)&gt;=0.5*H117, M117, M117-1))*$K$5))</f>
        <v/>
      </c>
      <c r="P117" s="59">
        <f>IF(L117&lt;=0, 0, INT($G$8/L117))</f>
        <v/>
      </c>
      <c r="Q117" s="95">
        <f>MIN(O117, P117)</f>
        <v/>
      </c>
      <c r="R117" s="96">
        <f>ROUND((Q117*L117)/1000, 2)</f>
        <v/>
      </c>
      <c r="S117" s="79">
        <f>IF($C$8&gt;0, R117/$C$8, 0)</f>
        <v/>
      </c>
      <c r="T117" s="79">
        <f>IF(O117&gt;0, Q117/O117, 0)</f>
        <v/>
      </c>
      <c r="U117" s="12">
        <f>IF(Q117=0, "Exceeds Limit", IF(P117&lt;=O117, "Weight Limited", "Volume Limited"))</f>
        <v/>
      </c>
      <c r="V117" s="97">
        <f>B117&amp;"|"&amp;D117&amp;"|"&amp;F117</f>
        <v/>
      </c>
    </row>
    <row r="118" ht="19" customHeight="1">
      <c r="A118" s="98" t="n">
        <v>108</v>
      </c>
      <c r="B118" s="99" t="inlineStr">
        <is>
          <t>Carbon Steel</t>
        </is>
      </c>
      <c r="C118" s="19" t="inlineStr">
        <is>
          <t>ASME B36.10M / B36.19M</t>
        </is>
      </c>
      <c r="D118" s="18" t="inlineStr">
        <is>
          <t>2-1/2''</t>
        </is>
      </c>
      <c r="E118" s="98" t="n">
        <v>65</v>
      </c>
      <c r="F118" s="18" t="inlineStr">
        <is>
          <t>10S</t>
        </is>
      </c>
      <c r="G118" s="20" t="n">
        <v>2.875</v>
      </c>
      <c r="H118" s="82" t="n">
        <v>73.02</v>
      </c>
      <c r="I118" s="20" t="n">
        <v>0.12</v>
      </c>
      <c r="J118" s="82" t="n">
        <v>3.05</v>
      </c>
      <c r="K118" s="20">
        <f>ROUND((H118-J118)*J118*IF(B118="Carbon Steel",$K$7,IF(B118="Stainless Steel 304",$K$8,$L$8)), 3)</f>
        <v/>
      </c>
      <c r="L118" s="82">
        <f>ROUND(K118*$G$5, 2)</f>
        <v/>
      </c>
      <c r="M118" s="98">
        <f>INT($G$6/H118)</f>
        <v/>
      </c>
      <c r="N118" s="98">
        <f>IF(M118=0, 0, IF(OR($K$6="Square Grid", M118=1), INT($G$7/H118), IF($G$7&lt;H118, 0, 1+INT(($G$7-H118)/(0.8660254*H118)))))</f>
        <v/>
      </c>
      <c r="O118" s="84">
        <f>IF(OR(M118=0,N118=0), 0, IF(OR($K$6="Square Grid", M118=1), M118*N118*$K$5, (INT((N118+1)/2)*M118 + INT(N118/2)*IF(($G$6-M118*H118)&gt;=0.5*H118, M118, M118-1))*$K$5))</f>
        <v/>
      </c>
      <c r="P118" s="84">
        <f>IF(L118&lt;=0, 0, INT($G$8/L118))</f>
        <v/>
      </c>
      <c r="Q118" s="95">
        <f>MIN(O118, P118)</f>
        <v/>
      </c>
      <c r="R118" s="96">
        <f>ROUND((Q118*L118)/1000, 2)</f>
        <v/>
      </c>
      <c r="S118" s="85">
        <f>IF($C$8&gt;0, R118/$C$8, 0)</f>
        <v/>
      </c>
      <c r="T118" s="85">
        <f>IF(O118&gt;0, Q118/O118, 0)</f>
        <v/>
      </c>
      <c r="U118" s="18">
        <f>IF(Q118=0, "Exceeds Limit", IF(P118&lt;=O118, "Weight Limited", "Volume Limited"))</f>
        <v/>
      </c>
      <c r="V118" s="100">
        <f>B118&amp;"|"&amp;D118&amp;"|"&amp;F118</f>
        <v/>
      </c>
    </row>
    <row r="119" ht="19" customHeight="1">
      <c r="A119" s="93" t="n">
        <v>109</v>
      </c>
      <c r="B119" s="94" t="inlineStr">
        <is>
          <t>Carbon Steel</t>
        </is>
      </c>
      <c r="C119" s="13" t="inlineStr">
        <is>
          <t>ASME B36.10M / B36.19M</t>
        </is>
      </c>
      <c r="D119" s="12" t="inlineStr">
        <is>
          <t>2-1/2''</t>
        </is>
      </c>
      <c r="E119" s="93" t="n">
        <v>65</v>
      </c>
      <c r="F119" s="12" t="inlineStr">
        <is>
          <t>10</t>
        </is>
      </c>
      <c r="G119" s="14" t="n">
        <v>2.875</v>
      </c>
      <c r="H119" s="78" t="n">
        <v>73.02</v>
      </c>
      <c r="I119" s="14" t="n">
        <v>0.12</v>
      </c>
      <c r="J119" s="78" t="n">
        <v>3.05</v>
      </c>
      <c r="K119" s="14">
        <f>ROUND((H119-J119)*J119*IF(B119="Carbon Steel",$K$7,IF(B119="Stainless Steel 304",$K$8,$L$8)), 3)</f>
        <v/>
      </c>
      <c r="L119" s="78">
        <f>ROUND(K119*$G$5, 2)</f>
        <v/>
      </c>
      <c r="M119" s="93">
        <f>INT($G$6/H119)</f>
        <v/>
      </c>
      <c r="N119" s="93">
        <f>IF(M119=0, 0, IF(OR($K$6="Square Grid", M119=1), INT($G$7/H119), IF($G$7&lt;H119, 0, 1+INT(($G$7-H119)/(0.8660254*H119)))))</f>
        <v/>
      </c>
      <c r="O119" s="59">
        <f>IF(OR(M119=0,N119=0), 0, IF(OR($K$6="Square Grid", M119=1), M119*N119*$K$5, (INT((N119+1)/2)*M119 + INT(N119/2)*IF(($G$6-M119*H119)&gt;=0.5*H119, M119, M119-1))*$K$5))</f>
        <v/>
      </c>
      <c r="P119" s="59">
        <f>IF(L119&lt;=0, 0, INT($G$8/L119))</f>
        <v/>
      </c>
      <c r="Q119" s="95">
        <f>MIN(O119, P119)</f>
        <v/>
      </c>
      <c r="R119" s="96">
        <f>ROUND((Q119*L119)/1000, 2)</f>
        <v/>
      </c>
      <c r="S119" s="79">
        <f>IF($C$8&gt;0, R119/$C$8, 0)</f>
        <v/>
      </c>
      <c r="T119" s="79">
        <f>IF(O119&gt;0, Q119/O119, 0)</f>
        <v/>
      </c>
      <c r="U119" s="12">
        <f>IF(Q119=0, "Exceeds Limit", IF(P119&lt;=O119, "Weight Limited", "Volume Limited"))</f>
        <v/>
      </c>
      <c r="V119" s="97">
        <f>B119&amp;"|"&amp;D119&amp;"|"&amp;F119</f>
        <v/>
      </c>
    </row>
    <row r="120" ht="19" customHeight="1">
      <c r="A120" s="98" t="n">
        <v>110</v>
      </c>
      <c r="B120" s="99" t="inlineStr">
        <is>
          <t>Carbon Steel</t>
        </is>
      </c>
      <c r="C120" s="19" t="inlineStr">
        <is>
          <t>ASME B36.10M / B36.19M</t>
        </is>
      </c>
      <c r="D120" s="18" t="inlineStr">
        <is>
          <t>2-1/2''</t>
        </is>
      </c>
      <c r="E120" s="98" t="n">
        <v>65</v>
      </c>
      <c r="F120" s="18" t="inlineStr">
        <is>
          <t>30</t>
        </is>
      </c>
      <c r="G120" s="20" t="n">
        <v>2.875</v>
      </c>
      <c r="H120" s="82" t="n">
        <v>73.02</v>
      </c>
      <c r="I120" s="20" t="n">
        <v>0.188</v>
      </c>
      <c r="J120" s="82" t="n">
        <v>4.78</v>
      </c>
      <c r="K120" s="20">
        <f>ROUND((H120-J120)*J120*IF(B120="Carbon Steel",$K$7,IF(B120="Stainless Steel 304",$K$8,$L$8)), 3)</f>
        <v/>
      </c>
      <c r="L120" s="82">
        <f>ROUND(K120*$G$5, 2)</f>
        <v/>
      </c>
      <c r="M120" s="98">
        <f>INT($G$6/H120)</f>
        <v/>
      </c>
      <c r="N120" s="98">
        <f>IF(M120=0, 0, IF(OR($K$6="Square Grid", M120=1), INT($G$7/H120), IF($G$7&lt;H120, 0, 1+INT(($G$7-H120)/(0.8660254*H120)))))</f>
        <v/>
      </c>
      <c r="O120" s="84">
        <f>IF(OR(M120=0,N120=0), 0, IF(OR($K$6="Square Grid", M120=1), M120*N120*$K$5, (INT((N120+1)/2)*M120 + INT(N120/2)*IF(($G$6-M120*H120)&gt;=0.5*H120, M120, M120-1))*$K$5))</f>
        <v/>
      </c>
      <c r="P120" s="84">
        <f>IF(L120&lt;=0, 0, INT($G$8/L120))</f>
        <v/>
      </c>
      <c r="Q120" s="95">
        <f>MIN(O120, P120)</f>
        <v/>
      </c>
      <c r="R120" s="96">
        <f>ROUND((Q120*L120)/1000, 2)</f>
        <v/>
      </c>
      <c r="S120" s="85">
        <f>IF($C$8&gt;0, R120/$C$8, 0)</f>
        <v/>
      </c>
      <c r="T120" s="85">
        <f>IF(O120&gt;0, Q120/O120, 0)</f>
        <v/>
      </c>
      <c r="U120" s="18">
        <f>IF(Q120=0, "Exceeds Limit", IF(P120&lt;=O120, "Weight Limited", "Volume Limited"))</f>
        <v/>
      </c>
      <c r="V120" s="100">
        <f>B120&amp;"|"&amp;D120&amp;"|"&amp;F120</f>
        <v/>
      </c>
    </row>
    <row r="121" ht="19" customHeight="1">
      <c r="A121" s="93" t="n">
        <v>111</v>
      </c>
      <c r="B121" s="94" t="inlineStr">
        <is>
          <t>Carbon Steel</t>
        </is>
      </c>
      <c r="C121" s="13" t="inlineStr">
        <is>
          <t>ASME B36.10M / B36.19M</t>
        </is>
      </c>
      <c r="D121" s="12" t="inlineStr">
        <is>
          <t>2-1/2''</t>
        </is>
      </c>
      <c r="E121" s="93" t="n">
        <v>65</v>
      </c>
      <c r="F121" s="12" t="inlineStr">
        <is>
          <t>40S</t>
        </is>
      </c>
      <c r="G121" s="14" t="n">
        <v>2.875</v>
      </c>
      <c r="H121" s="78" t="n">
        <v>73.02</v>
      </c>
      <c r="I121" s="14" t="n">
        <v>0.203</v>
      </c>
      <c r="J121" s="78" t="n">
        <v>5.16</v>
      </c>
      <c r="K121" s="14">
        <f>ROUND((H121-J121)*J121*IF(B121="Carbon Steel",$K$7,IF(B121="Stainless Steel 304",$K$8,$L$8)), 3)</f>
        <v/>
      </c>
      <c r="L121" s="78">
        <f>ROUND(K121*$G$5, 2)</f>
        <v/>
      </c>
      <c r="M121" s="93">
        <f>INT($G$6/H121)</f>
        <v/>
      </c>
      <c r="N121" s="93">
        <f>IF(M121=0, 0, IF(OR($K$6="Square Grid", M121=1), INT($G$7/H121), IF($G$7&lt;H121, 0, 1+INT(($G$7-H121)/(0.8660254*H121)))))</f>
        <v/>
      </c>
      <c r="O121" s="59">
        <f>IF(OR(M121=0,N121=0), 0, IF(OR($K$6="Square Grid", M121=1), M121*N121*$K$5, (INT((N121+1)/2)*M121 + INT(N121/2)*IF(($G$6-M121*H121)&gt;=0.5*H121, M121, M121-1))*$K$5))</f>
        <v/>
      </c>
      <c r="P121" s="59">
        <f>IF(L121&lt;=0, 0, INT($G$8/L121))</f>
        <v/>
      </c>
      <c r="Q121" s="95">
        <f>MIN(O121, P121)</f>
        <v/>
      </c>
      <c r="R121" s="96">
        <f>ROUND((Q121*L121)/1000, 2)</f>
        <v/>
      </c>
      <c r="S121" s="79">
        <f>IF($C$8&gt;0, R121/$C$8, 0)</f>
        <v/>
      </c>
      <c r="T121" s="79">
        <f>IF(O121&gt;0, Q121/O121, 0)</f>
        <v/>
      </c>
      <c r="U121" s="12">
        <f>IF(Q121=0, "Exceeds Limit", IF(P121&lt;=O121, "Weight Limited", "Volume Limited"))</f>
        <v/>
      </c>
      <c r="V121" s="97">
        <f>B121&amp;"|"&amp;D121&amp;"|"&amp;F121</f>
        <v/>
      </c>
    </row>
    <row r="122" ht="19" customHeight="1">
      <c r="A122" s="98" t="n">
        <v>112</v>
      </c>
      <c r="B122" s="99" t="inlineStr">
        <is>
          <t>Carbon Steel</t>
        </is>
      </c>
      <c r="C122" s="19" t="inlineStr">
        <is>
          <t>ASME B36.10M / B36.19M</t>
        </is>
      </c>
      <c r="D122" s="18" t="inlineStr">
        <is>
          <t>2-1/2''</t>
        </is>
      </c>
      <c r="E122" s="98" t="n">
        <v>65</v>
      </c>
      <c r="F122" s="18" t="inlineStr">
        <is>
          <t>STD</t>
        </is>
      </c>
      <c r="G122" s="20" t="n">
        <v>2.875</v>
      </c>
      <c r="H122" s="82" t="n">
        <v>73.02</v>
      </c>
      <c r="I122" s="20" t="n">
        <v>0.203</v>
      </c>
      <c r="J122" s="82" t="n">
        <v>5.16</v>
      </c>
      <c r="K122" s="20">
        <f>ROUND((H122-J122)*J122*IF(B122="Carbon Steel",$K$7,IF(B122="Stainless Steel 304",$K$8,$L$8)), 3)</f>
        <v/>
      </c>
      <c r="L122" s="82">
        <f>ROUND(K122*$G$5, 2)</f>
        <v/>
      </c>
      <c r="M122" s="98">
        <f>INT($G$6/H122)</f>
        <v/>
      </c>
      <c r="N122" s="98">
        <f>IF(M122=0, 0, IF(OR($K$6="Square Grid", M122=1), INT($G$7/H122), IF($G$7&lt;H122, 0, 1+INT(($G$7-H122)/(0.8660254*H122)))))</f>
        <v/>
      </c>
      <c r="O122" s="84">
        <f>IF(OR(M122=0,N122=0), 0, IF(OR($K$6="Square Grid", M122=1), M122*N122*$K$5, (INT((N122+1)/2)*M122 + INT(N122/2)*IF(($G$6-M122*H122)&gt;=0.5*H122, M122, M122-1))*$K$5))</f>
        <v/>
      </c>
      <c r="P122" s="84">
        <f>IF(L122&lt;=0, 0, INT($G$8/L122))</f>
        <v/>
      </c>
      <c r="Q122" s="95">
        <f>MIN(O122, P122)</f>
        <v/>
      </c>
      <c r="R122" s="96">
        <f>ROUND((Q122*L122)/1000, 2)</f>
        <v/>
      </c>
      <c r="S122" s="85">
        <f>IF($C$8&gt;0, R122/$C$8, 0)</f>
        <v/>
      </c>
      <c r="T122" s="85">
        <f>IF(O122&gt;0, Q122/O122, 0)</f>
        <v/>
      </c>
      <c r="U122" s="18">
        <f>IF(Q122=0, "Exceeds Limit", IF(P122&lt;=O122, "Weight Limited", "Volume Limited"))</f>
        <v/>
      </c>
      <c r="V122" s="100">
        <f>B122&amp;"|"&amp;D122&amp;"|"&amp;F122</f>
        <v/>
      </c>
    </row>
    <row r="123" ht="19" customHeight="1">
      <c r="A123" s="93" t="n">
        <v>113</v>
      </c>
      <c r="B123" s="94" t="inlineStr">
        <is>
          <t>Carbon Steel</t>
        </is>
      </c>
      <c r="C123" s="13" t="inlineStr">
        <is>
          <t>ASME B36.10M / B36.19M</t>
        </is>
      </c>
      <c r="D123" s="12" t="inlineStr">
        <is>
          <t>2-1/2''</t>
        </is>
      </c>
      <c r="E123" s="93" t="n">
        <v>65</v>
      </c>
      <c r="F123" s="12" t="inlineStr">
        <is>
          <t>40</t>
        </is>
      </c>
      <c r="G123" s="14" t="n">
        <v>2.875</v>
      </c>
      <c r="H123" s="78" t="n">
        <v>73.02</v>
      </c>
      <c r="I123" s="14" t="n">
        <v>0.203</v>
      </c>
      <c r="J123" s="78" t="n">
        <v>5.16</v>
      </c>
      <c r="K123" s="14">
        <f>ROUND((H123-J123)*J123*IF(B123="Carbon Steel",$K$7,IF(B123="Stainless Steel 304",$K$8,$L$8)), 3)</f>
        <v/>
      </c>
      <c r="L123" s="78">
        <f>ROUND(K123*$G$5, 2)</f>
        <v/>
      </c>
      <c r="M123" s="93">
        <f>INT($G$6/H123)</f>
        <v/>
      </c>
      <c r="N123" s="93">
        <f>IF(M123=0, 0, IF(OR($K$6="Square Grid", M123=1), INT($G$7/H123), IF($G$7&lt;H123, 0, 1+INT(($G$7-H123)/(0.8660254*H123)))))</f>
        <v/>
      </c>
      <c r="O123" s="59">
        <f>IF(OR(M123=0,N123=0), 0, IF(OR($K$6="Square Grid", M123=1), M123*N123*$K$5, (INT((N123+1)/2)*M123 + INT(N123/2)*IF(($G$6-M123*H123)&gt;=0.5*H123, M123, M123-1))*$K$5))</f>
        <v/>
      </c>
      <c r="P123" s="59">
        <f>IF(L123&lt;=0, 0, INT($G$8/L123))</f>
        <v/>
      </c>
      <c r="Q123" s="95">
        <f>MIN(O123, P123)</f>
        <v/>
      </c>
      <c r="R123" s="96">
        <f>ROUND((Q123*L123)/1000, 2)</f>
        <v/>
      </c>
      <c r="S123" s="79">
        <f>IF($C$8&gt;0, R123/$C$8, 0)</f>
        <v/>
      </c>
      <c r="T123" s="79">
        <f>IF(O123&gt;0, Q123/O123, 0)</f>
        <v/>
      </c>
      <c r="U123" s="12">
        <f>IF(Q123=0, "Exceeds Limit", IF(P123&lt;=O123, "Weight Limited", "Volume Limited"))</f>
        <v/>
      </c>
      <c r="V123" s="97">
        <f>B123&amp;"|"&amp;D123&amp;"|"&amp;F123</f>
        <v/>
      </c>
    </row>
    <row r="124" ht="19" customHeight="1">
      <c r="A124" s="98" t="n">
        <v>114</v>
      </c>
      <c r="B124" s="99" t="inlineStr">
        <is>
          <t>Carbon Steel</t>
        </is>
      </c>
      <c r="C124" s="19" t="inlineStr">
        <is>
          <t>ASME B36.10M / B36.19M</t>
        </is>
      </c>
      <c r="D124" s="18" t="inlineStr">
        <is>
          <t>2-1/2''</t>
        </is>
      </c>
      <c r="E124" s="98" t="n">
        <v>65</v>
      </c>
      <c r="F124" s="18" t="inlineStr">
        <is>
          <t>80S</t>
        </is>
      </c>
      <c r="G124" s="20" t="n">
        <v>2.875</v>
      </c>
      <c r="H124" s="82" t="n">
        <v>73.02</v>
      </c>
      <c r="I124" s="20" t="n">
        <v>0.276</v>
      </c>
      <c r="J124" s="82" t="n">
        <v>7.01</v>
      </c>
      <c r="K124" s="20">
        <f>ROUND((H124-J124)*J124*IF(B124="Carbon Steel",$K$7,IF(B124="Stainless Steel 304",$K$8,$L$8)), 3)</f>
        <v/>
      </c>
      <c r="L124" s="82">
        <f>ROUND(K124*$G$5, 2)</f>
        <v/>
      </c>
      <c r="M124" s="98">
        <f>INT($G$6/H124)</f>
        <v/>
      </c>
      <c r="N124" s="98">
        <f>IF(M124=0, 0, IF(OR($K$6="Square Grid", M124=1), INT($G$7/H124), IF($G$7&lt;H124, 0, 1+INT(($G$7-H124)/(0.8660254*H124)))))</f>
        <v/>
      </c>
      <c r="O124" s="84">
        <f>IF(OR(M124=0,N124=0), 0, IF(OR($K$6="Square Grid", M124=1), M124*N124*$K$5, (INT((N124+1)/2)*M124 + INT(N124/2)*IF(($G$6-M124*H124)&gt;=0.5*H124, M124, M124-1))*$K$5))</f>
        <v/>
      </c>
      <c r="P124" s="84">
        <f>IF(L124&lt;=0, 0, INT($G$8/L124))</f>
        <v/>
      </c>
      <c r="Q124" s="95">
        <f>MIN(O124, P124)</f>
        <v/>
      </c>
      <c r="R124" s="96">
        <f>ROUND((Q124*L124)/1000, 2)</f>
        <v/>
      </c>
      <c r="S124" s="85">
        <f>IF($C$8&gt;0, R124/$C$8, 0)</f>
        <v/>
      </c>
      <c r="T124" s="85">
        <f>IF(O124&gt;0, Q124/O124, 0)</f>
        <v/>
      </c>
      <c r="U124" s="18">
        <f>IF(Q124=0, "Exceeds Limit", IF(P124&lt;=O124, "Weight Limited", "Volume Limited"))</f>
        <v/>
      </c>
      <c r="V124" s="100">
        <f>B124&amp;"|"&amp;D124&amp;"|"&amp;F124</f>
        <v/>
      </c>
    </row>
    <row r="125" ht="19" customHeight="1">
      <c r="A125" s="93" t="n">
        <v>115</v>
      </c>
      <c r="B125" s="94" t="inlineStr">
        <is>
          <t>Carbon Steel</t>
        </is>
      </c>
      <c r="C125" s="13" t="inlineStr">
        <is>
          <t>ASME B36.10M / B36.19M</t>
        </is>
      </c>
      <c r="D125" s="12" t="inlineStr">
        <is>
          <t>2-1/2''</t>
        </is>
      </c>
      <c r="E125" s="93" t="n">
        <v>65</v>
      </c>
      <c r="F125" s="12" t="inlineStr">
        <is>
          <t>XS</t>
        </is>
      </c>
      <c r="G125" s="14" t="n">
        <v>2.875</v>
      </c>
      <c r="H125" s="78" t="n">
        <v>73.02</v>
      </c>
      <c r="I125" s="14" t="n">
        <v>0.276</v>
      </c>
      <c r="J125" s="78" t="n">
        <v>7.01</v>
      </c>
      <c r="K125" s="14">
        <f>ROUND((H125-J125)*J125*IF(B125="Carbon Steel",$K$7,IF(B125="Stainless Steel 304",$K$8,$L$8)), 3)</f>
        <v/>
      </c>
      <c r="L125" s="78">
        <f>ROUND(K125*$G$5, 2)</f>
        <v/>
      </c>
      <c r="M125" s="93">
        <f>INT($G$6/H125)</f>
        <v/>
      </c>
      <c r="N125" s="93">
        <f>IF(M125=0, 0, IF(OR($K$6="Square Grid", M125=1), INT($G$7/H125), IF($G$7&lt;H125, 0, 1+INT(($G$7-H125)/(0.8660254*H125)))))</f>
        <v/>
      </c>
      <c r="O125" s="59">
        <f>IF(OR(M125=0,N125=0), 0, IF(OR($K$6="Square Grid", M125=1), M125*N125*$K$5, (INT((N125+1)/2)*M125 + INT(N125/2)*IF(($G$6-M125*H125)&gt;=0.5*H125, M125, M125-1))*$K$5))</f>
        <v/>
      </c>
      <c r="P125" s="59">
        <f>IF(L125&lt;=0, 0, INT($G$8/L125))</f>
        <v/>
      </c>
      <c r="Q125" s="95">
        <f>MIN(O125, P125)</f>
        <v/>
      </c>
      <c r="R125" s="96">
        <f>ROUND((Q125*L125)/1000, 2)</f>
        <v/>
      </c>
      <c r="S125" s="79">
        <f>IF($C$8&gt;0, R125/$C$8, 0)</f>
        <v/>
      </c>
      <c r="T125" s="79">
        <f>IF(O125&gt;0, Q125/O125, 0)</f>
        <v/>
      </c>
      <c r="U125" s="12">
        <f>IF(Q125=0, "Exceeds Limit", IF(P125&lt;=O125, "Weight Limited", "Volume Limited"))</f>
        <v/>
      </c>
      <c r="V125" s="97">
        <f>B125&amp;"|"&amp;D125&amp;"|"&amp;F125</f>
        <v/>
      </c>
    </row>
    <row r="126" ht="19" customHeight="1">
      <c r="A126" s="98" t="n">
        <v>116</v>
      </c>
      <c r="B126" s="99" t="inlineStr">
        <is>
          <t>Carbon Steel</t>
        </is>
      </c>
      <c r="C126" s="19" t="inlineStr">
        <is>
          <t>ASME B36.10M / B36.19M</t>
        </is>
      </c>
      <c r="D126" s="18" t="inlineStr">
        <is>
          <t>2-1/2''</t>
        </is>
      </c>
      <c r="E126" s="98" t="n">
        <v>65</v>
      </c>
      <c r="F126" s="18" t="inlineStr">
        <is>
          <t>80</t>
        </is>
      </c>
      <c r="G126" s="20" t="n">
        <v>2.875</v>
      </c>
      <c r="H126" s="82" t="n">
        <v>73.02</v>
      </c>
      <c r="I126" s="20" t="n">
        <v>0.276</v>
      </c>
      <c r="J126" s="82" t="n">
        <v>7.01</v>
      </c>
      <c r="K126" s="20">
        <f>ROUND((H126-J126)*J126*IF(B126="Carbon Steel",$K$7,IF(B126="Stainless Steel 304",$K$8,$L$8)), 3)</f>
        <v/>
      </c>
      <c r="L126" s="82">
        <f>ROUND(K126*$G$5, 2)</f>
        <v/>
      </c>
      <c r="M126" s="98">
        <f>INT($G$6/H126)</f>
        <v/>
      </c>
      <c r="N126" s="98">
        <f>IF(M126=0, 0, IF(OR($K$6="Square Grid", M126=1), INT($G$7/H126), IF($G$7&lt;H126, 0, 1+INT(($G$7-H126)/(0.8660254*H126)))))</f>
        <v/>
      </c>
      <c r="O126" s="84">
        <f>IF(OR(M126=0,N126=0), 0, IF(OR($K$6="Square Grid", M126=1), M126*N126*$K$5, (INT((N126+1)/2)*M126 + INT(N126/2)*IF(($G$6-M126*H126)&gt;=0.5*H126, M126, M126-1))*$K$5))</f>
        <v/>
      </c>
      <c r="P126" s="84">
        <f>IF(L126&lt;=0, 0, INT($G$8/L126))</f>
        <v/>
      </c>
      <c r="Q126" s="95">
        <f>MIN(O126, P126)</f>
        <v/>
      </c>
      <c r="R126" s="96">
        <f>ROUND((Q126*L126)/1000, 2)</f>
        <v/>
      </c>
      <c r="S126" s="85">
        <f>IF($C$8&gt;0, R126/$C$8, 0)</f>
        <v/>
      </c>
      <c r="T126" s="85">
        <f>IF(O126&gt;0, Q126/O126, 0)</f>
        <v/>
      </c>
      <c r="U126" s="18">
        <f>IF(Q126=0, "Exceeds Limit", IF(P126&lt;=O126, "Weight Limited", "Volume Limited"))</f>
        <v/>
      </c>
      <c r="V126" s="100">
        <f>B126&amp;"|"&amp;D126&amp;"|"&amp;F126</f>
        <v/>
      </c>
    </row>
    <row r="127" ht="19" customHeight="1">
      <c r="A127" s="93" t="n">
        <v>117</v>
      </c>
      <c r="B127" s="94" t="inlineStr">
        <is>
          <t>Carbon Steel</t>
        </is>
      </c>
      <c r="C127" s="13" t="inlineStr">
        <is>
          <t>ASME B36.10M / B36.19M</t>
        </is>
      </c>
      <c r="D127" s="12" t="inlineStr">
        <is>
          <t>2-1/2''</t>
        </is>
      </c>
      <c r="E127" s="93" t="n">
        <v>65</v>
      </c>
      <c r="F127" s="12" t="inlineStr">
        <is>
          <t>160</t>
        </is>
      </c>
      <c r="G127" s="14" t="n">
        <v>2.875</v>
      </c>
      <c r="H127" s="78" t="n">
        <v>73.02</v>
      </c>
      <c r="I127" s="14" t="n">
        <v>0.375</v>
      </c>
      <c r="J127" s="78" t="n">
        <v>9.52</v>
      </c>
      <c r="K127" s="14">
        <f>ROUND((H127-J127)*J127*IF(B127="Carbon Steel",$K$7,IF(B127="Stainless Steel 304",$K$8,$L$8)), 3)</f>
        <v/>
      </c>
      <c r="L127" s="78">
        <f>ROUND(K127*$G$5, 2)</f>
        <v/>
      </c>
      <c r="M127" s="93">
        <f>INT($G$6/H127)</f>
        <v/>
      </c>
      <c r="N127" s="93">
        <f>IF(M127=0, 0, IF(OR($K$6="Square Grid", M127=1), INT($G$7/H127), IF($G$7&lt;H127, 0, 1+INT(($G$7-H127)/(0.8660254*H127)))))</f>
        <v/>
      </c>
      <c r="O127" s="59">
        <f>IF(OR(M127=0,N127=0), 0, IF(OR($K$6="Square Grid", M127=1), M127*N127*$K$5, (INT((N127+1)/2)*M127 + INT(N127/2)*IF(($G$6-M127*H127)&gt;=0.5*H127, M127, M127-1))*$K$5))</f>
        <v/>
      </c>
      <c r="P127" s="59">
        <f>IF(L127&lt;=0, 0, INT($G$8/L127))</f>
        <v/>
      </c>
      <c r="Q127" s="95">
        <f>MIN(O127, P127)</f>
        <v/>
      </c>
      <c r="R127" s="96">
        <f>ROUND((Q127*L127)/1000, 2)</f>
        <v/>
      </c>
      <c r="S127" s="79">
        <f>IF($C$8&gt;0, R127/$C$8, 0)</f>
        <v/>
      </c>
      <c r="T127" s="79">
        <f>IF(O127&gt;0, Q127/O127, 0)</f>
        <v/>
      </c>
      <c r="U127" s="12">
        <f>IF(Q127=0, "Exceeds Limit", IF(P127&lt;=O127, "Weight Limited", "Volume Limited"))</f>
        <v/>
      </c>
      <c r="V127" s="97">
        <f>B127&amp;"|"&amp;D127&amp;"|"&amp;F127</f>
        <v/>
      </c>
    </row>
    <row r="128" ht="19" customHeight="1">
      <c r="A128" s="98" t="n">
        <v>118</v>
      </c>
      <c r="B128" s="99" t="inlineStr">
        <is>
          <t>Carbon Steel</t>
        </is>
      </c>
      <c r="C128" s="19" t="inlineStr">
        <is>
          <t>ASME B36.10M / B36.19M</t>
        </is>
      </c>
      <c r="D128" s="18" t="inlineStr">
        <is>
          <t>2-1/2''</t>
        </is>
      </c>
      <c r="E128" s="98" t="n">
        <v>65</v>
      </c>
      <c r="F128" s="18" t="inlineStr">
        <is>
          <t>XXS</t>
        </is>
      </c>
      <c r="G128" s="20" t="n">
        <v>2.875</v>
      </c>
      <c r="H128" s="82" t="n">
        <v>73.02</v>
      </c>
      <c r="I128" s="20" t="n">
        <v>0.552</v>
      </c>
      <c r="J128" s="82" t="n">
        <v>14.02</v>
      </c>
      <c r="K128" s="20">
        <f>ROUND((H128-J128)*J128*IF(B128="Carbon Steel",$K$7,IF(B128="Stainless Steel 304",$K$8,$L$8)), 3)</f>
        <v/>
      </c>
      <c r="L128" s="82">
        <f>ROUND(K128*$G$5, 2)</f>
        <v/>
      </c>
      <c r="M128" s="98">
        <f>INT($G$6/H128)</f>
        <v/>
      </c>
      <c r="N128" s="98">
        <f>IF(M128=0, 0, IF(OR($K$6="Square Grid", M128=1), INT($G$7/H128), IF($G$7&lt;H128, 0, 1+INT(($G$7-H128)/(0.8660254*H128)))))</f>
        <v/>
      </c>
      <c r="O128" s="84">
        <f>IF(OR(M128=0,N128=0), 0, IF(OR($K$6="Square Grid", M128=1), M128*N128*$K$5, (INT((N128+1)/2)*M128 + INT(N128/2)*IF(($G$6-M128*H128)&gt;=0.5*H128, M128, M128-1))*$K$5))</f>
        <v/>
      </c>
      <c r="P128" s="84">
        <f>IF(L128&lt;=0, 0, INT($G$8/L128))</f>
        <v/>
      </c>
      <c r="Q128" s="95">
        <f>MIN(O128, P128)</f>
        <v/>
      </c>
      <c r="R128" s="96">
        <f>ROUND((Q128*L128)/1000, 2)</f>
        <v/>
      </c>
      <c r="S128" s="85">
        <f>IF($C$8&gt;0, R128/$C$8, 0)</f>
        <v/>
      </c>
      <c r="T128" s="85">
        <f>IF(O128&gt;0, Q128/O128, 0)</f>
        <v/>
      </c>
      <c r="U128" s="18">
        <f>IF(Q128=0, "Exceeds Limit", IF(P128&lt;=O128, "Weight Limited", "Volume Limited"))</f>
        <v/>
      </c>
      <c r="V128" s="100">
        <f>B128&amp;"|"&amp;D128&amp;"|"&amp;F128</f>
        <v/>
      </c>
    </row>
    <row r="129" ht="19" customHeight="1">
      <c r="A129" s="93" t="n">
        <v>119</v>
      </c>
      <c r="B129" s="94" t="inlineStr">
        <is>
          <t>Carbon Steel</t>
        </is>
      </c>
      <c r="C129" s="13" t="inlineStr">
        <is>
          <t>ASME B36.10M / B36.19M</t>
        </is>
      </c>
      <c r="D129" s="12" t="inlineStr">
        <is>
          <t>3''</t>
        </is>
      </c>
      <c r="E129" s="93" t="n">
        <v>80</v>
      </c>
      <c r="F129" s="12" t="inlineStr">
        <is>
          <t>5S</t>
        </is>
      </c>
      <c r="G129" s="14" t="n">
        <v>3.5</v>
      </c>
      <c r="H129" s="78" t="n">
        <v>88.90000000000001</v>
      </c>
      <c r="I129" s="14" t="n">
        <v>0.083</v>
      </c>
      <c r="J129" s="78" t="n">
        <v>2.11</v>
      </c>
      <c r="K129" s="14">
        <f>ROUND((H129-J129)*J129*IF(B129="Carbon Steel",$K$7,IF(B129="Stainless Steel 304",$K$8,$L$8)), 3)</f>
        <v/>
      </c>
      <c r="L129" s="78">
        <f>ROUND(K129*$G$5, 2)</f>
        <v/>
      </c>
      <c r="M129" s="93">
        <f>INT($G$6/H129)</f>
        <v/>
      </c>
      <c r="N129" s="93">
        <f>IF(M129=0, 0, IF(OR($K$6="Square Grid", M129=1), INT($G$7/H129), IF($G$7&lt;H129, 0, 1+INT(($G$7-H129)/(0.8660254*H129)))))</f>
        <v/>
      </c>
      <c r="O129" s="59">
        <f>IF(OR(M129=0,N129=0), 0, IF(OR($K$6="Square Grid", M129=1), M129*N129*$K$5, (INT((N129+1)/2)*M129 + INT(N129/2)*IF(($G$6-M129*H129)&gt;=0.5*H129, M129, M129-1))*$K$5))</f>
        <v/>
      </c>
      <c r="P129" s="59">
        <f>IF(L129&lt;=0, 0, INT($G$8/L129))</f>
        <v/>
      </c>
      <c r="Q129" s="95">
        <f>MIN(O129, P129)</f>
        <v/>
      </c>
      <c r="R129" s="96">
        <f>ROUND((Q129*L129)/1000, 2)</f>
        <v/>
      </c>
      <c r="S129" s="79">
        <f>IF($C$8&gt;0, R129/$C$8, 0)</f>
        <v/>
      </c>
      <c r="T129" s="79">
        <f>IF(O129&gt;0, Q129/O129, 0)</f>
        <v/>
      </c>
      <c r="U129" s="12">
        <f>IF(Q129=0, "Exceeds Limit", IF(P129&lt;=O129, "Weight Limited", "Volume Limited"))</f>
        <v/>
      </c>
      <c r="V129" s="97">
        <f>B129&amp;"|"&amp;D129&amp;"|"&amp;F129</f>
        <v/>
      </c>
    </row>
    <row r="130" ht="19" customHeight="1">
      <c r="A130" s="98" t="n">
        <v>120</v>
      </c>
      <c r="B130" s="99" t="inlineStr">
        <is>
          <t>Carbon Steel</t>
        </is>
      </c>
      <c r="C130" s="19" t="inlineStr">
        <is>
          <t>ASME B36.10M / B36.19M</t>
        </is>
      </c>
      <c r="D130" s="18" t="inlineStr">
        <is>
          <t>3''</t>
        </is>
      </c>
      <c r="E130" s="98" t="n">
        <v>80</v>
      </c>
      <c r="F130" s="18" t="inlineStr">
        <is>
          <t>5</t>
        </is>
      </c>
      <c r="G130" s="20" t="n">
        <v>3.5</v>
      </c>
      <c r="H130" s="82" t="n">
        <v>88.90000000000001</v>
      </c>
      <c r="I130" s="20" t="n">
        <v>0.083</v>
      </c>
      <c r="J130" s="82" t="n">
        <v>2.11</v>
      </c>
      <c r="K130" s="20">
        <f>ROUND((H130-J130)*J130*IF(B130="Carbon Steel",$K$7,IF(B130="Stainless Steel 304",$K$8,$L$8)), 3)</f>
        <v/>
      </c>
      <c r="L130" s="82">
        <f>ROUND(K130*$G$5, 2)</f>
        <v/>
      </c>
      <c r="M130" s="98">
        <f>INT($G$6/H130)</f>
        <v/>
      </c>
      <c r="N130" s="98">
        <f>IF(M130=0, 0, IF(OR($K$6="Square Grid", M130=1), INT($G$7/H130), IF($G$7&lt;H130, 0, 1+INT(($G$7-H130)/(0.8660254*H130)))))</f>
        <v/>
      </c>
      <c r="O130" s="84">
        <f>IF(OR(M130=0,N130=0), 0, IF(OR($K$6="Square Grid", M130=1), M130*N130*$K$5, (INT((N130+1)/2)*M130 + INT(N130/2)*IF(($G$6-M130*H130)&gt;=0.5*H130, M130, M130-1))*$K$5))</f>
        <v/>
      </c>
      <c r="P130" s="84">
        <f>IF(L130&lt;=0, 0, INT($G$8/L130))</f>
        <v/>
      </c>
      <c r="Q130" s="95">
        <f>MIN(O130, P130)</f>
        <v/>
      </c>
      <c r="R130" s="96">
        <f>ROUND((Q130*L130)/1000, 2)</f>
        <v/>
      </c>
      <c r="S130" s="85">
        <f>IF($C$8&gt;0, R130/$C$8, 0)</f>
        <v/>
      </c>
      <c r="T130" s="85">
        <f>IF(O130&gt;0, Q130/O130, 0)</f>
        <v/>
      </c>
      <c r="U130" s="18">
        <f>IF(Q130=0, "Exceeds Limit", IF(P130&lt;=O130, "Weight Limited", "Volume Limited"))</f>
        <v/>
      </c>
      <c r="V130" s="100">
        <f>B130&amp;"|"&amp;D130&amp;"|"&amp;F130</f>
        <v/>
      </c>
    </row>
    <row r="131" ht="19" customHeight="1">
      <c r="A131" s="93" t="n">
        <v>121</v>
      </c>
      <c r="B131" s="94" t="inlineStr">
        <is>
          <t>Carbon Steel</t>
        </is>
      </c>
      <c r="C131" s="13" t="inlineStr">
        <is>
          <t>ASME B36.10M / B36.19M</t>
        </is>
      </c>
      <c r="D131" s="12" t="inlineStr">
        <is>
          <t>3''</t>
        </is>
      </c>
      <c r="E131" s="93" t="n">
        <v>80</v>
      </c>
      <c r="F131" s="12" t="inlineStr">
        <is>
          <t>10S</t>
        </is>
      </c>
      <c r="G131" s="14" t="n">
        <v>3.5</v>
      </c>
      <c r="H131" s="78" t="n">
        <v>88.90000000000001</v>
      </c>
      <c r="I131" s="14" t="n">
        <v>0.12</v>
      </c>
      <c r="J131" s="78" t="n">
        <v>3.05</v>
      </c>
      <c r="K131" s="14">
        <f>ROUND((H131-J131)*J131*IF(B131="Carbon Steel",$K$7,IF(B131="Stainless Steel 304",$K$8,$L$8)), 3)</f>
        <v/>
      </c>
      <c r="L131" s="78">
        <f>ROUND(K131*$G$5, 2)</f>
        <v/>
      </c>
      <c r="M131" s="93">
        <f>INT($G$6/H131)</f>
        <v/>
      </c>
      <c r="N131" s="93">
        <f>IF(M131=0, 0, IF(OR($K$6="Square Grid", M131=1), INT($G$7/H131), IF($G$7&lt;H131, 0, 1+INT(($G$7-H131)/(0.8660254*H131)))))</f>
        <v/>
      </c>
      <c r="O131" s="59">
        <f>IF(OR(M131=0,N131=0), 0, IF(OR($K$6="Square Grid", M131=1), M131*N131*$K$5, (INT((N131+1)/2)*M131 + INT(N131/2)*IF(($G$6-M131*H131)&gt;=0.5*H131, M131, M131-1))*$K$5))</f>
        <v/>
      </c>
      <c r="P131" s="59">
        <f>IF(L131&lt;=0, 0, INT($G$8/L131))</f>
        <v/>
      </c>
      <c r="Q131" s="95">
        <f>MIN(O131, P131)</f>
        <v/>
      </c>
      <c r="R131" s="96">
        <f>ROUND((Q131*L131)/1000, 2)</f>
        <v/>
      </c>
      <c r="S131" s="79">
        <f>IF($C$8&gt;0, R131/$C$8, 0)</f>
        <v/>
      </c>
      <c r="T131" s="79">
        <f>IF(O131&gt;0, Q131/O131, 0)</f>
        <v/>
      </c>
      <c r="U131" s="12">
        <f>IF(Q131=0, "Exceeds Limit", IF(P131&lt;=O131, "Weight Limited", "Volume Limited"))</f>
        <v/>
      </c>
      <c r="V131" s="97">
        <f>B131&amp;"|"&amp;D131&amp;"|"&amp;F131</f>
        <v/>
      </c>
    </row>
    <row r="132" ht="19" customHeight="1">
      <c r="A132" s="98" t="n">
        <v>122</v>
      </c>
      <c r="B132" s="99" t="inlineStr">
        <is>
          <t>Carbon Steel</t>
        </is>
      </c>
      <c r="C132" s="19" t="inlineStr">
        <is>
          <t>ASME B36.10M / B36.19M</t>
        </is>
      </c>
      <c r="D132" s="18" t="inlineStr">
        <is>
          <t>3''</t>
        </is>
      </c>
      <c r="E132" s="98" t="n">
        <v>80</v>
      </c>
      <c r="F132" s="18" t="inlineStr">
        <is>
          <t>10</t>
        </is>
      </c>
      <c r="G132" s="20" t="n">
        <v>3.5</v>
      </c>
      <c r="H132" s="82" t="n">
        <v>88.90000000000001</v>
      </c>
      <c r="I132" s="20" t="n">
        <v>0.12</v>
      </c>
      <c r="J132" s="82" t="n">
        <v>3.05</v>
      </c>
      <c r="K132" s="20">
        <f>ROUND((H132-J132)*J132*IF(B132="Carbon Steel",$K$7,IF(B132="Stainless Steel 304",$K$8,$L$8)), 3)</f>
        <v/>
      </c>
      <c r="L132" s="82">
        <f>ROUND(K132*$G$5, 2)</f>
        <v/>
      </c>
      <c r="M132" s="98">
        <f>INT($G$6/H132)</f>
        <v/>
      </c>
      <c r="N132" s="98">
        <f>IF(M132=0, 0, IF(OR($K$6="Square Grid", M132=1), INT($G$7/H132), IF($G$7&lt;H132, 0, 1+INT(($G$7-H132)/(0.8660254*H132)))))</f>
        <v/>
      </c>
      <c r="O132" s="84">
        <f>IF(OR(M132=0,N132=0), 0, IF(OR($K$6="Square Grid", M132=1), M132*N132*$K$5, (INT((N132+1)/2)*M132 + INT(N132/2)*IF(($G$6-M132*H132)&gt;=0.5*H132, M132, M132-1))*$K$5))</f>
        <v/>
      </c>
      <c r="P132" s="84">
        <f>IF(L132&lt;=0, 0, INT($G$8/L132))</f>
        <v/>
      </c>
      <c r="Q132" s="95">
        <f>MIN(O132, P132)</f>
        <v/>
      </c>
      <c r="R132" s="96">
        <f>ROUND((Q132*L132)/1000, 2)</f>
        <v/>
      </c>
      <c r="S132" s="85">
        <f>IF($C$8&gt;0, R132/$C$8, 0)</f>
        <v/>
      </c>
      <c r="T132" s="85">
        <f>IF(O132&gt;0, Q132/O132, 0)</f>
        <v/>
      </c>
      <c r="U132" s="18">
        <f>IF(Q132=0, "Exceeds Limit", IF(P132&lt;=O132, "Weight Limited", "Volume Limited"))</f>
        <v/>
      </c>
      <c r="V132" s="100">
        <f>B132&amp;"|"&amp;D132&amp;"|"&amp;F132</f>
        <v/>
      </c>
    </row>
    <row r="133" ht="19" customHeight="1">
      <c r="A133" s="93" t="n">
        <v>123</v>
      </c>
      <c r="B133" s="94" t="inlineStr">
        <is>
          <t>Carbon Steel</t>
        </is>
      </c>
      <c r="C133" s="13" t="inlineStr">
        <is>
          <t>ASME B36.10M / B36.19M</t>
        </is>
      </c>
      <c r="D133" s="12" t="inlineStr">
        <is>
          <t>3''</t>
        </is>
      </c>
      <c r="E133" s="93" t="n">
        <v>80</v>
      </c>
      <c r="F133" s="12" t="inlineStr">
        <is>
          <t>30</t>
        </is>
      </c>
      <c r="G133" s="14" t="n">
        <v>3.5</v>
      </c>
      <c r="H133" s="78" t="n">
        <v>88.90000000000001</v>
      </c>
      <c r="I133" s="14" t="n">
        <v>0.188</v>
      </c>
      <c r="J133" s="78" t="n">
        <v>4.78</v>
      </c>
      <c r="K133" s="14">
        <f>ROUND((H133-J133)*J133*IF(B133="Carbon Steel",$K$7,IF(B133="Stainless Steel 304",$K$8,$L$8)), 3)</f>
        <v/>
      </c>
      <c r="L133" s="78">
        <f>ROUND(K133*$G$5, 2)</f>
        <v/>
      </c>
      <c r="M133" s="93">
        <f>INT($G$6/H133)</f>
        <v/>
      </c>
      <c r="N133" s="93">
        <f>IF(M133=0, 0, IF(OR($K$6="Square Grid", M133=1), INT($G$7/H133), IF($G$7&lt;H133, 0, 1+INT(($G$7-H133)/(0.8660254*H133)))))</f>
        <v/>
      </c>
      <c r="O133" s="59">
        <f>IF(OR(M133=0,N133=0), 0, IF(OR($K$6="Square Grid", M133=1), M133*N133*$K$5, (INT((N133+1)/2)*M133 + INT(N133/2)*IF(($G$6-M133*H133)&gt;=0.5*H133, M133, M133-1))*$K$5))</f>
        <v/>
      </c>
      <c r="P133" s="59">
        <f>IF(L133&lt;=0, 0, INT($G$8/L133))</f>
        <v/>
      </c>
      <c r="Q133" s="95">
        <f>MIN(O133, P133)</f>
        <v/>
      </c>
      <c r="R133" s="96">
        <f>ROUND((Q133*L133)/1000, 2)</f>
        <v/>
      </c>
      <c r="S133" s="79">
        <f>IF($C$8&gt;0, R133/$C$8, 0)</f>
        <v/>
      </c>
      <c r="T133" s="79">
        <f>IF(O133&gt;0, Q133/O133, 0)</f>
        <v/>
      </c>
      <c r="U133" s="12">
        <f>IF(Q133=0, "Exceeds Limit", IF(P133&lt;=O133, "Weight Limited", "Volume Limited"))</f>
        <v/>
      </c>
      <c r="V133" s="97">
        <f>B133&amp;"|"&amp;D133&amp;"|"&amp;F133</f>
        <v/>
      </c>
    </row>
    <row r="134" ht="19" customHeight="1">
      <c r="A134" s="98" t="n">
        <v>124</v>
      </c>
      <c r="B134" s="99" t="inlineStr">
        <is>
          <t>Carbon Steel</t>
        </is>
      </c>
      <c r="C134" s="19" t="inlineStr">
        <is>
          <t>ASME B36.10M / B36.19M</t>
        </is>
      </c>
      <c r="D134" s="18" t="inlineStr">
        <is>
          <t>3''</t>
        </is>
      </c>
      <c r="E134" s="98" t="n">
        <v>80</v>
      </c>
      <c r="F134" s="18" t="inlineStr">
        <is>
          <t>40S</t>
        </is>
      </c>
      <c r="G134" s="20" t="n">
        <v>3.5</v>
      </c>
      <c r="H134" s="82" t="n">
        <v>88.90000000000001</v>
      </c>
      <c r="I134" s="20" t="n">
        <v>0.216</v>
      </c>
      <c r="J134" s="82" t="n">
        <v>5.49</v>
      </c>
      <c r="K134" s="20">
        <f>ROUND((H134-J134)*J134*IF(B134="Carbon Steel",$K$7,IF(B134="Stainless Steel 304",$K$8,$L$8)), 3)</f>
        <v/>
      </c>
      <c r="L134" s="82">
        <f>ROUND(K134*$G$5, 2)</f>
        <v/>
      </c>
      <c r="M134" s="98">
        <f>INT($G$6/H134)</f>
        <v/>
      </c>
      <c r="N134" s="98">
        <f>IF(M134=0, 0, IF(OR($K$6="Square Grid", M134=1), INT($G$7/H134), IF($G$7&lt;H134, 0, 1+INT(($G$7-H134)/(0.8660254*H134)))))</f>
        <v/>
      </c>
      <c r="O134" s="84">
        <f>IF(OR(M134=0,N134=0), 0, IF(OR($K$6="Square Grid", M134=1), M134*N134*$K$5, (INT((N134+1)/2)*M134 + INT(N134/2)*IF(($G$6-M134*H134)&gt;=0.5*H134, M134, M134-1))*$K$5))</f>
        <v/>
      </c>
      <c r="P134" s="84">
        <f>IF(L134&lt;=0, 0, INT($G$8/L134))</f>
        <v/>
      </c>
      <c r="Q134" s="95">
        <f>MIN(O134, P134)</f>
        <v/>
      </c>
      <c r="R134" s="96">
        <f>ROUND((Q134*L134)/1000, 2)</f>
        <v/>
      </c>
      <c r="S134" s="85">
        <f>IF($C$8&gt;0, R134/$C$8, 0)</f>
        <v/>
      </c>
      <c r="T134" s="85">
        <f>IF(O134&gt;0, Q134/O134, 0)</f>
        <v/>
      </c>
      <c r="U134" s="18">
        <f>IF(Q134=0, "Exceeds Limit", IF(P134&lt;=O134, "Weight Limited", "Volume Limited"))</f>
        <v/>
      </c>
      <c r="V134" s="100">
        <f>B134&amp;"|"&amp;D134&amp;"|"&amp;F134</f>
        <v/>
      </c>
    </row>
    <row r="135" ht="19" customHeight="1">
      <c r="A135" s="93" t="n">
        <v>125</v>
      </c>
      <c r="B135" s="94" t="inlineStr">
        <is>
          <t>Carbon Steel</t>
        </is>
      </c>
      <c r="C135" s="13" t="inlineStr">
        <is>
          <t>ASME B36.10M / B36.19M</t>
        </is>
      </c>
      <c r="D135" s="12" t="inlineStr">
        <is>
          <t>3''</t>
        </is>
      </c>
      <c r="E135" s="93" t="n">
        <v>80</v>
      </c>
      <c r="F135" s="12" t="inlineStr">
        <is>
          <t>STD</t>
        </is>
      </c>
      <c r="G135" s="14" t="n">
        <v>3.5</v>
      </c>
      <c r="H135" s="78" t="n">
        <v>88.90000000000001</v>
      </c>
      <c r="I135" s="14" t="n">
        <v>0.216</v>
      </c>
      <c r="J135" s="78" t="n">
        <v>5.49</v>
      </c>
      <c r="K135" s="14">
        <f>ROUND((H135-J135)*J135*IF(B135="Carbon Steel",$K$7,IF(B135="Stainless Steel 304",$K$8,$L$8)), 3)</f>
        <v/>
      </c>
      <c r="L135" s="78">
        <f>ROUND(K135*$G$5, 2)</f>
        <v/>
      </c>
      <c r="M135" s="93">
        <f>INT($G$6/H135)</f>
        <v/>
      </c>
      <c r="N135" s="93">
        <f>IF(M135=0, 0, IF(OR($K$6="Square Grid", M135=1), INT($G$7/H135), IF($G$7&lt;H135, 0, 1+INT(($G$7-H135)/(0.8660254*H135)))))</f>
        <v/>
      </c>
      <c r="O135" s="59">
        <f>IF(OR(M135=0,N135=0), 0, IF(OR($K$6="Square Grid", M135=1), M135*N135*$K$5, (INT((N135+1)/2)*M135 + INT(N135/2)*IF(($G$6-M135*H135)&gt;=0.5*H135, M135, M135-1))*$K$5))</f>
        <v/>
      </c>
      <c r="P135" s="59">
        <f>IF(L135&lt;=0, 0, INT($G$8/L135))</f>
        <v/>
      </c>
      <c r="Q135" s="95">
        <f>MIN(O135, P135)</f>
        <v/>
      </c>
      <c r="R135" s="96">
        <f>ROUND((Q135*L135)/1000, 2)</f>
        <v/>
      </c>
      <c r="S135" s="79">
        <f>IF($C$8&gt;0, R135/$C$8, 0)</f>
        <v/>
      </c>
      <c r="T135" s="79">
        <f>IF(O135&gt;0, Q135/O135, 0)</f>
        <v/>
      </c>
      <c r="U135" s="12">
        <f>IF(Q135=0, "Exceeds Limit", IF(P135&lt;=O135, "Weight Limited", "Volume Limited"))</f>
        <v/>
      </c>
      <c r="V135" s="97">
        <f>B135&amp;"|"&amp;D135&amp;"|"&amp;F135</f>
        <v/>
      </c>
    </row>
    <row r="136" ht="19" customHeight="1">
      <c r="A136" s="98" t="n">
        <v>126</v>
      </c>
      <c r="B136" s="99" t="inlineStr">
        <is>
          <t>Carbon Steel</t>
        </is>
      </c>
      <c r="C136" s="19" t="inlineStr">
        <is>
          <t>ASME B36.10M / B36.19M</t>
        </is>
      </c>
      <c r="D136" s="18" t="inlineStr">
        <is>
          <t>3''</t>
        </is>
      </c>
      <c r="E136" s="98" t="n">
        <v>80</v>
      </c>
      <c r="F136" s="18" t="inlineStr">
        <is>
          <t>40</t>
        </is>
      </c>
      <c r="G136" s="20" t="n">
        <v>3.5</v>
      </c>
      <c r="H136" s="82" t="n">
        <v>88.90000000000001</v>
      </c>
      <c r="I136" s="20" t="n">
        <v>0.216</v>
      </c>
      <c r="J136" s="82" t="n">
        <v>5.49</v>
      </c>
      <c r="K136" s="20">
        <f>ROUND((H136-J136)*J136*IF(B136="Carbon Steel",$K$7,IF(B136="Stainless Steel 304",$K$8,$L$8)), 3)</f>
        <v/>
      </c>
      <c r="L136" s="82">
        <f>ROUND(K136*$G$5, 2)</f>
        <v/>
      </c>
      <c r="M136" s="98">
        <f>INT($G$6/H136)</f>
        <v/>
      </c>
      <c r="N136" s="98">
        <f>IF(M136=0, 0, IF(OR($K$6="Square Grid", M136=1), INT($G$7/H136), IF($G$7&lt;H136, 0, 1+INT(($G$7-H136)/(0.8660254*H136)))))</f>
        <v/>
      </c>
      <c r="O136" s="84">
        <f>IF(OR(M136=0,N136=0), 0, IF(OR($K$6="Square Grid", M136=1), M136*N136*$K$5, (INT((N136+1)/2)*M136 + INT(N136/2)*IF(($G$6-M136*H136)&gt;=0.5*H136, M136, M136-1))*$K$5))</f>
        <v/>
      </c>
      <c r="P136" s="84">
        <f>IF(L136&lt;=0, 0, INT($G$8/L136))</f>
        <v/>
      </c>
      <c r="Q136" s="95">
        <f>MIN(O136, P136)</f>
        <v/>
      </c>
      <c r="R136" s="96">
        <f>ROUND((Q136*L136)/1000, 2)</f>
        <v/>
      </c>
      <c r="S136" s="85">
        <f>IF($C$8&gt;0, R136/$C$8, 0)</f>
        <v/>
      </c>
      <c r="T136" s="85">
        <f>IF(O136&gt;0, Q136/O136, 0)</f>
        <v/>
      </c>
      <c r="U136" s="18">
        <f>IF(Q136=0, "Exceeds Limit", IF(P136&lt;=O136, "Weight Limited", "Volume Limited"))</f>
        <v/>
      </c>
      <c r="V136" s="100">
        <f>B136&amp;"|"&amp;D136&amp;"|"&amp;F136</f>
        <v/>
      </c>
    </row>
    <row r="137" ht="19" customHeight="1">
      <c r="A137" s="93" t="n">
        <v>127</v>
      </c>
      <c r="B137" s="94" t="inlineStr">
        <is>
          <t>Carbon Steel</t>
        </is>
      </c>
      <c r="C137" s="13" t="inlineStr">
        <is>
          <t>ASME B36.10M / B36.19M</t>
        </is>
      </c>
      <c r="D137" s="12" t="inlineStr">
        <is>
          <t>3''</t>
        </is>
      </c>
      <c r="E137" s="93" t="n">
        <v>80</v>
      </c>
      <c r="F137" s="12" t="inlineStr">
        <is>
          <t>80S</t>
        </is>
      </c>
      <c r="G137" s="14" t="n">
        <v>3.5</v>
      </c>
      <c r="H137" s="78" t="n">
        <v>88.90000000000001</v>
      </c>
      <c r="I137" s="14" t="n">
        <v>0.3</v>
      </c>
      <c r="J137" s="78" t="n">
        <v>7.62</v>
      </c>
      <c r="K137" s="14">
        <f>ROUND((H137-J137)*J137*IF(B137="Carbon Steel",$K$7,IF(B137="Stainless Steel 304",$K$8,$L$8)), 3)</f>
        <v/>
      </c>
      <c r="L137" s="78">
        <f>ROUND(K137*$G$5, 2)</f>
        <v/>
      </c>
      <c r="M137" s="93">
        <f>INT($G$6/H137)</f>
        <v/>
      </c>
      <c r="N137" s="93">
        <f>IF(M137=0, 0, IF(OR($K$6="Square Grid", M137=1), INT($G$7/H137), IF($G$7&lt;H137, 0, 1+INT(($G$7-H137)/(0.8660254*H137)))))</f>
        <v/>
      </c>
      <c r="O137" s="59">
        <f>IF(OR(M137=0,N137=0), 0, IF(OR($K$6="Square Grid", M137=1), M137*N137*$K$5, (INT((N137+1)/2)*M137 + INT(N137/2)*IF(($G$6-M137*H137)&gt;=0.5*H137, M137, M137-1))*$K$5))</f>
        <v/>
      </c>
      <c r="P137" s="59">
        <f>IF(L137&lt;=0, 0, INT($G$8/L137))</f>
        <v/>
      </c>
      <c r="Q137" s="95">
        <f>MIN(O137, P137)</f>
        <v/>
      </c>
      <c r="R137" s="96">
        <f>ROUND((Q137*L137)/1000, 2)</f>
        <v/>
      </c>
      <c r="S137" s="79">
        <f>IF($C$8&gt;0, R137/$C$8, 0)</f>
        <v/>
      </c>
      <c r="T137" s="79">
        <f>IF(O137&gt;0, Q137/O137, 0)</f>
        <v/>
      </c>
      <c r="U137" s="12">
        <f>IF(Q137=0, "Exceeds Limit", IF(P137&lt;=O137, "Weight Limited", "Volume Limited"))</f>
        <v/>
      </c>
      <c r="V137" s="97">
        <f>B137&amp;"|"&amp;D137&amp;"|"&amp;F137</f>
        <v/>
      </c>
    </row>
    <row r="138" ht="19" customHeight="1">
      <c r="A138" s="98" t="n">
        <v>128</v>
      </c>
      <c r="B138" s="99" t="inlineStr">
        <is>
          <t>Carbon Steel</t>
        </is>
      </c>
      <c r="C138" s="19" t="inlineStr">
        <is>
          <t>ASME B36.10M / B36.19M</t>
        </is>
      </c>
      <c r="D138" s="18" t="inlineStr">
        <is>
          <t>3''</t>
        </is>
      </c>
      <c r="E138" s="98" t="n">
        <v>80</v>
      </c>
      <c r="F138" s="18" t="inlineStr">
        <is>
          <t>XS</t>
        </is>
      </c>
      <c r="G138" s="20" t="n">
        <v>3.5</v>
      </c>
      <c r="H138" s="82" t="n">
        <v>88.90000000000001</v>
      </c>
      <c r="I138" s="20" t="n">
        <v>0.3</v>
      </c>
      <c r="J138" s="82" t="n">
        <v>7.62</v>
      </c>
      <c r="K138" s="20">
        <f>ROUND((H138-J138)*J138*IF(B138="Carbon Steel",$K$7,IF(B138="Stainless Steel 304",$K$8,$L$8)), 3)</f>
        <v/>
      </c>
      <c r="L138" s="82">
        <f>ROUND(K138*$G$5, 2)</f>
        <v/>
      </c>
      <c r="M138" s="98">
        <f>INT($G$6/H138)</f>
        <v/>
      </c>
      <c r="N138" s="98">
        <f>IF(M138=0, 0, IF(OR($K$6="Square Grid", M138=1), INT($G$7/H138), IF($G$7&lt;H138, 0, 1+INT(($G$7-H138)/(0.8660254*H138)))))</f>
        <v/>
      </c>
      <c r="O138" s="84">
        <f>IF(OR(M138=0,N138=0), 0, IF(OR($K$6="Square Grid", M138=1), M138*N138*$K$5, (INT((N138+1)/2)*M138 + INT(N138/2)*IF(($G$6-M138*H138)&gt;=0.5*H138, M138, M138-1))*$K$5))</f>
        <v/>
      </c>
      <c r="P138" s="84">
        <f>IF(L138&lt;=0, 0, INT($G$8/L138))</f>
        <v/>
      </c>
      <c r="Q138" s="95">
        <f>MIN(O138, P138)</f>
        <v/>
      </c>
      <c r="R138" s="96">
        <f>ROUND((Q138*L138)/1000, 2)</f>
        <v/>
      </c>
      <c r="S138" s="85">
        <f>IF($C$8&gt;0, R138/$C$8, 0)</f>
        <v/>
      </c>
      <c r="T138" s="85">
        <f>IF(O138&gt;0, Q138/O138, 0)</f>
        <v/>
      </c>
      <c r="U138" s="18">
        <f>IF(Q138=0, "Exceeds Limit", IF(P138&lt;=O138, "Weight Limited", "Volume Limited"))</f>
        <v/>
      </c>
      <c r="V138" s="100">
        <f>B138&amp;"|"&amp;D138&amp;"|"&amp;F138</f>
        <v/>
      </c>
    </row>
    <row r="139" ht="19" customHeight="1">
      <c r="A139" s="93" t="n">
        <v>129</v>
      </c>
      <c r="B139" s="94" t="inlineStr">
        <is>
          <t>Carbon Steel</t>
        </is>
      </c>
      <c r="C139" s="13" t="inlineStr">
        <is>
          <t>ASME B36.10M / B36.19M</t>
        </is>
      </c>
      <c r="D139" s="12" t="inlineStr">
        <is>
          <t>3''</t>
        </is>
      </c>
      <c r="E139" s="93" t="n">
        <v>80</v>
      </c>
      <c r="F139" s="12" t="inlineStr">
        <is>
          <t>80</t>
        </is>
      </c>
      <c r="G139" s="14" t="n">
        <v>3.5</v>
      </c>
      <c r="H139" s="78" t="n">
        <v>88.90000000000001</v>
      </c>
      <c r="I139" s="14" t="n">
        <v>0.3</v>
      </c>
      <c r="J139" s="78" t="n">
        <v>7.62</v>
      </c>
      <c r="K139" s="14">
        <f>ROUND((H139-J139)*J139*IF(B139="Carbon Steel",$K$7,IF(B139="Stainless Steel 304",$K$8,$L$8)), 3)</f>
        <v/>
      </c>
      <c r="L139" s="78">
        <f>ROUND(K139*$G$5, 2)</f>
        <v/>
      </c>
      <c r="M139" s="93">
        <f>INT($G$6/H139)</f>
        <v/>
      </c>
      <c r="N139" s="93">
        <f>IF(M139=0, 0, IF(OR($K$6="Square Grid", M139=1), INT($G$7/H139), IF($G$7&lt;H139, 0, 1+INT(($G$7-H139)/(0.8660254*H139)))))</f>
        <v/>
      </c>
      <c r="O139" s="59">
        <f>IF(OR(M139=0,N139=0), 0, IF(OR($K$6="Square Grid", M139=1), M139*N139*$K$5, (INT((N139+1)/2)*M139 + INT(N139/2)*IF(($G$6-M139*H139)&gt;=0.5*H139, M139, M139-1))*$K$5))</f>
        <v/>
      </c>
      <c r="P139" s="59">
        <f>IF(L139&lt;=0, 0, INT($G$8/L139))</f>
        <v/>
      </c>
      <c r="Q139" s="95">
        <f>MIN(O139, P139)</f>
        <v/>
      </c>
      <c r="R139" s="96">
        <f>ROUND((Q139*L139)/1000, 2)</f>
        <v/>
      </c>
      <c r="S139" s="79">
        <f>IF($C$8&gt;0, R139/$C$8, 0)</f>
        <v/>
      </c>
      <c r="T139" s="79">
        <f>IF(O139&gt;0, Q139/O139, 0)</f>
        <v/>
      </c>
      <c r="U139" s="12">
        <f>IF(Q139=0, "Exceeds Limit", IF(P139&lt;=O139, "Weight Limited", "Volume Limited"))</f>
        <v/>
      </c>
      <c r="V139" s="97">
        <f>B139&amp;"|"&amp;D139&amp;"|"&amp;F139</f>
        <v/>
      </c>
    </row>
    <row r="140" ht="19" customHeight="1">
      <c r="A140" s="98" t="n">
        <v>130</v>
      </c>
      <c r="B140" s="99" t="inlineStr">
        <is>
          <t>Carbon Steel</t>
        </is>
      </c>
      <c r="C140" s="19" t="inlineStr">
        <is>
          <t>ASME B36.10M / B36.19M</t>
        </is>
      </c>
      <c r="D140" s="18" t="inlineStr">
        <is>
          <t>3''</t>
        </is>
      </c>
      <c r="E140" s="98" t="n">
        <v>80</v>
      </c>
      <c r="F140" s="18" t="inlineStr">
        <is>
          <t>160</t>
        </is>
      </c>
      <c r="G140" s="20" t="n">
        <v>3.5</v>
      </c>
      <c r="H140" s="82" t="n">
        <v>88.90000000000001</v>
      </c>
      <c r="I140" s="20" t="n">
        <v>0.438</v>
      </c>
      <c r="J140" s="82" t="n">
        <v>11.13</v>
      </c>
      <c r="K140" s="20">
        <f>ROUND((H140-J140)*J140*IF(B140="Carbon Steel",$K$7,IF(B140="Stainless Steel 304",$K$8,$L$8)), 3)</f>
        <v/>
      </c>
      <c r="L140" s="82">
        <f>ROUND(K140*$G$5, 2)</f>
        <v/>
      </c>
      <c r="M140" s="98">
        <f>INT($G$6/H140)</f>
        <v/>
      </c>
      <c r="N140" s="98">
        <f>IF(M140=0, 0, IF(OR($K$6="Square Grid", M140=1), INT($G$7/H140), IF($G$7&lt;H140, 0, 1+INT(($G$7-H140)/(0.8660254*H140)))))</f>
        <v/>
      </c>
      <c r="O140" s="84">
        <f>IF(OR(M140=0,N140=0), 0, IF(OR($K$6="Square Grid", M140=1), M140*N140*$K$5, (INT((N140+1)/2)*M140 + INT(N140/2)*IF(($G$6-M140*H140)&gt;=0.5*H140, M140, M140-1))*$K$5))</f>
        <v/>
      </c>
      <c r="P140" s="84">
        <f>IF(L140&lt;=0, 0, INT($G$8/L140))</f>
        <v/>
      </c>
      <c r="Q140" s="95">
        <f>MIN(O140, P140)</f>
        <v/>
      </c>
      <c r="R140" s="96">
        <f>ROUND((Q140*L140)/1000, 2)</f>
        <v/>
      </c>
      <c r="S140" s="85">
        <f>IF($C$8&gt;0, R140/$C$8, 0)</f>
        <v/>
      </c>
      <c r="T140" s="85">
        <f>IF(O140&gt;0, Q140/O140, 0)</f>
        <v/>
      </c>
      <c r="U140" s="18">
        <f>IF(Q140=0, "Exceeds Limit", IF(P140&lt;=O140, "Weight Limited", "Volume Limited"))</f>
        <v/>
      </c>
      <c r="V140" s="100">
        <f>B140&amp;"|"&amp;D140&amp;"|"&amp;F140</f>
        <v/>
      </c>
    </row>
    <row r="141" ht="19" customHeight="1">
      <c r="A141" s="93" t="n">
        <v>131</v>
      </c>
      <c r="B141" s="94" t="inlineStr">
        <is>
          <t>Carbon Steel</t>
        </is>
      </c>
      <c r="C141" s="13" t="inlineStr">
        <is>
          <t>ASME B36.10M / B36.19M</t>
        </is>
      </c>
      <c r="D141" s="12" t="inlineStr">
        <is>
          <t>3''</t>
        </is>
      </c>
      <c r="E141" s="93" t="n">
        <v>80</v>
      </c>
      <c r="F141" s="12" t="inlineStr">
        <is>
          <t>XXS</t>
        </is>
      </c>
      <c r="G141" s="14" t="n">
        <v>3.5</v>
      </c>
      <c r="H141" s="78" t="n">
        <v>88.90000000000001</v>
      </c>
      <c r="I141" s="14" t="n">
        <v>0.6</v>
      </c>
      <c r="J141" s="78" t="n">
        <v>15.24</v>
      </c>
      <c r="K141" s="14">
        <f>ROUND((H141-J141)*J141*IF(B141="Carbon Steel",$K$7,IF(B141="Stainless Steel 304",$K$8,$L$8)), 3)</f>
        <v/>
      </c>
      <c r="L141" s="78">
        <f>ROUND(K141*$G$5, 2)</f>
        <v/>
      </c>
      <c r="M141" s="93">
        <f>INT($G$6/H141)</f>
        <v/>
      </c>
      <c r="N141" s="93">
        <f>IF(M141=0, 0, IF(OR($K$6="Square Grid", M141=1), INT($G$7/H141), IF($G$7&lt;H141, 0, 1+INT(($G$7-H141)/(0.8660254*H141)))))</f>
        <v/>
      </c>
      <c r="O141" s="59">
        <f>IF(OR(M141=0,N141=0), 0, IF(OR($K$6="Square Grid", M141=1), M141*N141*$K$5, (INT((N141+1)/2)*M141 + INT(N141/2)*IF(($G$6-M141*H141)&gt;=0.5*H141, M141, M141-1))*$K$5))</f>
        <v/>
      </c>
      <c r="P141" s="59">
        <f>IF(L141&lt;=0, 0, INT($G$8/L141))</f>
        <v/>
      </c>
      <c r="Q141" s="95">
        <f>MIN(O141, P141)</f>
        <v/>
      </c>
      <c r="R141" s="96">
        <f>ROUND((Q141*L141)/1000, 2)</f>
        <v/>
      </c>
      <c r="S141" s="79">
        <f>IF($C$8&gt;0, R141/$C$8, 0)</f>
        <v/>
      </c>
      <c r="T141" s="79">
        <f>IF(O141&gt;0, Q141/O141, 0)</f>
        <v/>
      </c>
      <c r="U141" s="12">
        <f>IF(Q141=0, "Exceeds Limit", IF(P141&lt;=O141, "Weight Limited", "Volume Limited"))</f>
        <v/>
      </c>
      <c r="V141" s="97">
        <f>B141&amp;"|"&amp;D141&amp;"|"&amp;F141</f>
        <v/>
      </c>
    </row>
    <row r="142" ht="19" customHeight="1">
      <c r="A142" s="98" t="n">
        <v>132</v>
      </c>
      <c r="B142" s="99" t="inlineStr">
        <is>
          <t>Carbon Steel</t>
        </is>
      </c>
      <c r="C142" s="19" t="inlineStr">
        <is>
          <t>ASME B36.10M / B36.19M</t>
        </is>
      </c>
      <c r="D142" s="18" t="inlineStr">
        <is>
          <t>3-1/2''</t>
        </is>
      </c>
      <c r="E142" s="98" t="n">
        <v>90</v>
      </c>
      <c r="F142" s="18" t="inlineStr">
        <is>
          <t>5S</t>
        </is>
      </c>
      <c r="G142" s="20" t="n">
        <v>4</v>
      </c>
      <c r="H142" s="82" t="n">
        <v>101.6</v>
      </c>
      <c r="I142" s="20" t="n">
        <v>0.083</v>
      </c>
      <c r="J142" s="82" t="n">
        <v>2.11</v>
      </c>
      <c r="K142" s="20">
        <f>ROUND((H142-J142)*J142*IF(B142="Carbon Steel",$K$7,IF(B142="Stainless Steel 304",$K$8,$L$8)), 3)</f>
        <v/>
      </c>
      <c r="L142" s="82">
        <f>ROUND(K142*$G$5, 2)</f>
        <v/>
      </c>
      <c r="M142" s="98">
        <f>INT($G$6/H142)</f>
        <v/>
      </c>
      <c r="N142" s="98">
        <f>IF(M142=0, 0, IF(OR($K$6="Square Grid", M142=1), INT($G$7/H142), IF($G$7&lt;H142, 0, 1+INT(($G$7-H142)/(0.8660254*H142)))))</f>
        <v/>
      </c>
      <c r="O142" s="84">
        <f>IF(OR(M142=0,N142=0), 0, IF(OR($K$6="Square Grid", M142=1), M142*N142*$K$5, (INT((N142+1)/2)*M142 + INT(N142/2)*IF(($G$6-M142*H142)&gt;=0.5*H142, M142, M142-1))*$K$5))</f>
        <v/>
      </c>
      <c r="P142" s="84">
        <f>IF(L142&lt;=0, 0, INT($G$8/L142))</f>
        <v/>
      </c>
      <c r="Q142" s="95">
        <f>MIN(O142, P142)</f>
        <v/>
      </c>
      <c r="R142" s="96">
        <f>ROUND((Q142*L142)/1000, 2)</f>
        <v/>
      </c>
      <c r="S142" s="85">
        <f>IF($C$8&gt;0, R142/$C$8, 0)</f>
        <v/>
      </c>
      <c r="T142" s="85">
        <f>IF(O142&gt;0, Q142/O142, 0)</f>
        <v/>
      </c>
      <c r="U142" s="18">
        <f>IF(Q142=0, "Exceeds Limit", IF(P142&lt;=O142, "Weight Limited", "Volume Limited"))</f>
        <v/>
      </c>
      <c r="V142" s="100">
        <f>B142&amp;"|"&amp;D142&amp;"|"&amp;F142</f>
        <v/>
      </c>
    </row>
    <row r="143" ht="19" customHeight="1">
      <c r="A143" s="93" t="n">
        <v>133</v>
      </c>
      <c r="B143" s="94" t="inlineStr">
        <is>
          <t>Carbon Steel</t>
        </is>
      </c>
      <c r="C143" s="13" t="inlineStr">
        <is>
          <t>ASME B36.10M / B36.19M</t>
        </is>
      </c>
      <c r="D143" s="12" t="inlineStr">
        <is>
          <t>3-1/2''</t>
        </is>
      </c>
      <c r="E143" s="93" t="n">
        <v>90</v>
      </c>
      <c r="F143" s="12" t="inlineStr">
        <is>
          <t>5</t>
        </is>
      </c>
      <c r="G143" s="14" t="n">
        <v>4</v>
      </c>
      <c r="H143" s="78" t="n">
        <v>101.6</v>
      </c>
      <c r="I143" s="14" t="n">
        <v>0.083</v>
      </c>
      <c r="J143" s="78" t="n">
        <v>2.11</v>
      </c>
      <c r="K143" s="14">
        <f>ROUND((H143-J143)*J143*IF(B143="Carbon Steel",$K$7,IF(B143="Stainless Steel 304",$K$8,$L$8)), 3)</f>
        <v/>
      </c>
      <c r="L143" s="78">
        <f>ROUND(K143*$G$5, 2)</f>
        <v/>
      </c>
      <c r="M143" s="93">
        <f>INT($G$6/H143)</f>
        <v/>
      </c>
      <c r="N143" s="93">
        <f>IF(M143=0, 0, IF(OR($K$6="Square Grid", M143=1), INT($G$7/H143), IF($G$7&lt;H143, 0, 1+INT(($G$7-H143)/(0.8660254*H143)))))</f>
        <v/>
      </c>
      <c r="O143" s="59">
        <f>IF(OR(M143=0,N143=0), 0, IF(OR($K$6="Square Grid", M143=1), M143*N143*$K$5, (INT((N143+1)/2)*M143 + INT(N143/2)*IF(($G$6-M143*H143)&gt;=0.5*H143, M143, M143-1))*$K$5))</f>
        <v/>
      </c>
      <c r="P143" s="59">
        <f>IF(L143&lt;=0, 0, INT($G$8/L143))</f>
        <v/>
      </c>
      <c r="Q143" s="95">
        <f>MIN(O143, P143)</f>
        <v/>
      </c>
      <c r="R143" s="96">
        <f>ROUND((Q143*L143)/1000, 2)</f>
        <v/>
      </c>
      <c r="S143" s="79">
        <f>IF($C$8&gt;0, R143/$C$8, 0)</f>
        <v/>
      </c>
      <c r="T143" s="79">
        <f>IF(O143&gt;0, Q143/O143, 0)</f>
        <v/>
      </c>
      <c r="U143" s="12">
        <f>IF(Q143=0, "Exceeds Limit", IF(P143&lt;=O143, "Weight Limited", "Volume Limited"))</f>
        <v/>
      </c>
      <c r="V143" s="97">
        <f>B143&amp;"|"&amp;D143&amp;"|"&amp;F143</f>
        <v/>
      </c>
    </row>
    <row r="144" ht="19" customHeight="1">
      <c r="A144" s="98" t="n">
        <v>134</v>
      </c>
      <c r="B144" s="99" t="inlineStr">
        <is>
          <t>Carbon Steel</t>
        </is>
      </c>
      <c r="C144" s="19" t="inlineStr">
        <is>
          <t>ASME B36.10M / B36.19M</t>
        </is>
      </c>
      <c r="D144" s="18" t="inlineStr">
        <is>
          <t>3-1/2''</t>
        </is>
      </c>
      <c r="E144" s="98" t="n">
        <v>90</v>
      </c>
      <c r="F144" s="18" t="inlineStr">
        <is>
          <t>10S</t>
        </is>
      </c>
      <c r="G144" s="20" t="n">
        <v>4</v>
      </c>
      <c r="H144" s="82" t="n">
        <v>101.6</v>
      </c>
      <c r="I144" s="20" t="n">
        <v>0.12</v>
      </c>
      <c r="J144" s="82" t="n">
        <v>3.05</v>
      </c>
      <c r="K144" s="20">
        <f>ROUND((H144-J144)*J144*IF(B144="Carbon Steel",$K$7,IF(B144="Stainless Steel 304",$K$8,$L$8)), 3)</f>
        <v/>
      </c>
      <c r="L144" s="82">
        <f>ROUND(K144*$G$5, 2)</f>
        <v/>
      </c>
      <c r="M144" s="98">
        <f>INT($G$6/H144)</f>
        <v/>
      </c>
      <c r="N144" s="98">
        <f>IF(M144=0, 0, IF(OR($K$6="Square Grid", M144=1), INT($G$7/H144), IF($G$7&lt;H144, 0, 1+INT(($G$7-H144)/(0.8660254*H144)))))</f>
        <v/>
      </c>
      <c r="O144" s="84">
        <f>IF(OR(M144=0,N144=0), 0, IF(OR($K$6="Square Grid", M144=1), M144*N144*$K$5, (INT((N144+1)/2)*M144 + INT(N144/2)*IF(($G$6-M144*H144)&gt;=0.5*H144, M144, M144-1))*$K$5))</f>
        <v/>
      </c>
      <c r="P144" s="84">
        <f>IF(L144&lt;=0, 0, INT($G$8/L144))</f>
        <v/>
      </c>
      <c r="Q144" s="95">
        <f>MIN(O144, P144)</f>
        <v/>
      </c>
      <c r="R144" s="96">
        <f>ROUND((Q144*L144)/1000, 2)</f>
        <v/>
      </c>
      <c r="S144" s="85">
        <f>IF($C$8&gt;0, R144/$C$8, 0)</f>
        <v/>
      </c>
      <c r="T144" s="85">
        <f>IF(O144&gt;0, Q144/O144, 0)</f>
        <v/>
      </c>
      <c r="U144" s="18">
        <f>IF(Q144=0, "Exceeds Limit", IF(P144&lt;=O144, "Weight Limited", "Volume Limited"))</f>
        <v/>
      </c>
      <c r="V144" s="100">
        <f>B144&amp;"|"&amp;D144&amp;"|"&amp;F144</f>
        <v/>
      </c>
    </row>
    <row r="145" ht="19" customHeight="1">
      <c r="A145" s="93" t="n">
        <v>135</v>
      </c>
      <c r="B145" s="94" t="inlineStr">
        <is>
          <t>Carbon Steel</t>
        </is>
      </c>
      <c r="C145" s="13" t="inlineStr">
        <is>
          <t>ASME B36.10M / B36.19M</t>
        </is>
      </c>
      <c r="D145" s="12" t="inlineStr">
        <is>
          <t>3-1/2''</t>
        </is>
      </c>
      <c r="E145" s="93" t="n">
        <v>90</v>
      </c>
      <c r="F145" s="12" t="inlineStr">
        <is>
          <t>10</t>
        </is>
      </c>
      <c r="G145" s="14" t="n">
        <v>4</v>
      </c>
      <c r="H145" s="78" t="n">
        <v>101.6</v>
      </c>
      <c r="I145" s="14" t="n">
        <v>0.12</v>
      </c>
      <c r="J145" s="78" t="n">
        <v>3.05</v>
      </c>
      <c r="K145" s="14">
        <f>ROUND((H145-J145)*J145*IF(B145="Carbon Steel",$K$7,IF(B145="Stainless Steel 304",$K$8,$L$8)), 3)</f>
        <v/>
      </c>
      <c r="L145" s="78">
        <f>ROUND(K145*$G$5, 2)</f>
        <v/>
      </c>
      <c r="M145" s="93">
        <f>INT($G$6/H145)</f>
        <v/>
      </c>
      <c r="N145" s="93">
        <f>IF(M145=0, 0, IF(OR($K$6="Square Grid", M145=1), INT($G$7/H145), IF($G$7&lt;H145, 0, 1+INT(($G$7-H145)/(0.8660254*H145)))))</f>
        <v/>
      </c>
      <c r="O145" s="59">
        <f>IF(OR(M145=0,N145=0), 0, IF(OR($K$6="Square Grid", M145=1), M145*N145*$K$5, (INT((N145+1)/2)*M145 + INT(N145/2)*IF(($G$6-M145*H145)&gt;=0.5*H145, M145, M145-1))*$K$5))</f>
        <v/>
      </c>
      <c r="P145" s="59">
        <f>IF(L145&lt;=0, 0, INT($G$8/L145))</f>
        <v/>
      </c>
      <c r="Q145" s="95">
        <f>MIN(O145, P145)</f>
        <v/>
      </c>
      <c r="R145" s="96">
        <f>ROUND((Q145*L145)/1000, 2)</f>
        <v/>
      </c>
      <c r="S145" s="79">
        <f>IF($C$8&gt;0, R145/$C$8, 0)</f>
        <v/>
      </c>
      <c r="T145" s="79">
        <f>IF(O145&gt;0, Q145/O145, 0)</f>
        <v/>
      </c>
      <c r="U145" s="12">
        <f>IF(Q145=0, "Exceeds Limit", IF(P145&lt;=O145, "Weight Limited", "Volume Limited"))</f>
        <v/>
      </c>
      <c r="V145" s="97">
        <f>B145&amp;"|"&amp;D145&amp;"|"&amp;F145</f>
        <v/>
      </c>
    </row>
    <row r="146" ht="19" customHeight="1">
      <c r="A146" s="98" t="n">
        <v>136</v>
      </c>
      <c r="B146" s="99" t="inlineStr">
        <is>
          <t>Carbon Steel</t>
        </is>
      </c>
      <c r="C146" s="19" t="inlineStr">
        <is>
          <t>ASME B36.10M / B36.19M</t>
        </is>
      </c>
      <c r="D146" s="18" t="inlineStr">
        <is>
          <t>3-1/2''</t>
        </is>
      </c>
      <c r="E146" s="98" t="n">
        <v>90</v>
      </c>
      <c r="F146" s="18" t="inlineStr">
        <is>
          <t>30</t>
        </is>
      </c>
      <c r="G146" s="20" t="n">
        <v>4</v>
      </c>
      <c r="H146" s="82" t="n">
        <v>101.6</v>
      </c>
      <c r="I146" s="20" t="n">
        <v>0.188</v>
      </c>
      <c r="J146" s="82" t="n">
        <v>4.78</v>
      </c>
      <c r="K146" s="20">
        <f>ROUND((H146-J146)*J146*IF(B146="Carbon Steel",$K$7,IF(B146="Stainless Steel 304",$K$8,$L$8)), 3)</f>
        <v/>
      </c>
      <c r="L146" s="82">
        <f>ROUND(K146*$G$5, 2)</f>
        <v/>
      </c>
      <c r="M146" s="98">
        <f>INT($G$6/H146)</f>
        <v/>
      </c>
      <c r="N146" s="98">
        <f>IF(M146=0, 0, IF(OR($K$6="Square Grid", M146=1), INT($G$7/H146), IF($G$7&lt;H146, 0, 1+INT(($G$7-H146)/(0.8660254*H146)))))</f>
        <v/>
      </c>
      <c r="O146" s="84">
        <f>IF(OR(M146=0,N146=0), 0, IF(OR($K$6="Square Grid", M146=1), M146*N146*$K$5, (INT((N146+1)/2)*M146 + INT(N146/2)*IF(($G$6-M146*H146)&gt;=0.5*H146, M146, M146-1))*$K$5))</f>
        <v/>
      </c>
      <c r="P146" s="84">
        <f>IF(L146&lt;=0, 0, INT($G$8/L146))</f>
        <v/>
      </c>
      <c r="Q146" s="95">
        <f>MIN(O146, P146)</f>
        <v/>
      </c>
      <c r="R146" s="96">
        <f>ROUND((Q146*L146)/1000, 2)</f>
        <v/>
      </c>
      <c r="S146" s="85">
        <f>IF($C$8&gt;0, R146/$C$8, 0)</f>
        <v/>
      </c>
      <c r="T146" s="85">
        <f>IF(O146&gt;0, Q146/O146, 0)</f>
        <v/>
      </c>
      <c r="U146" s="18">
        <f>IF(Q146=0, "Exceeds Limit", IF(P146&lt;=O146, "Weight Limited", "Volume Limited"))</f>
        <v/>
      </c>
      <c r="V146" s="100">
        <f>B146&amp;"|"&amp;D146&amp;"|"&amp;F146</f>
        <v/>
      </c>
    </row>
    <row r="147" ht="19" customHeight="1">
      <c r="A147" s="93" t="n">
        <v>137</v>
      </c>
      <c r="B147" s="94" t="inlineStr">
        <is>
          <t>Carbon Steel</t>
        </is>
      </c>
      <c r="C147" s="13" t="inlineStr">
        <is>
          <t>ASME B36.10M / B36.19M</t>
        </is>
      </c>
      <c r="D147" s="12" t="inlineStr">
        <is>
          <t>3-1/2''</t>
        </is>
      </c>
      <c r="E147" s="93" t="n">
        <v>90</v>
      </c>
      <c r="F147" s="12" t="inlineStr">
        <is>
          <t>40S</t>
        </is>
      </c>
      <c r="G147" s="14" t="n">
        <v>4</v>
      </c>
      <c r="H147" s="78" t="n">
        <v>101.6</v>
      </c>
      <c r="I147" s="14" t="n">
        <v>0.226</v>
      </c>
      <c r="J147" s="78" t="n">
        <v>5.74</v>
      </c>
      <c r="K147" s="14">
        <f>ROUND((H147-J147)*J147*IF(B147="Carbon Steel",$K$7,IF(B147="Stainless Steel 304",$K$8,$L$8)), 3)</f>
        <v/>
      </c>
      <c r="L147" s="78">
        <f>ROUND(K147*$G$5, 2)</f>
        <v/>
      </c>
      <c r="M147" s="93">
        <f>INT($G$6/H147)</f>
        <v/>
      </c>
      <c r="N147" s="93">
        <f>IF(M147=0, 0, IF(OR($K$6="Square Grid", M147=1), INT($G$7/H147), IF($G$7&lt;H147, 0, 1+INT(($G$7-H147)/(0.8660254*H147)))))</f>
        <v/>
      </c>
      <c r="O147" s="59">
        <f>IF(OR(M147=0,N147=0), 0, IF(OR($K$6="Square Grid", M147=1), M147*N147*$K$5, (INT((N147+1)/2)*M147 + INT(N147/2)*IF(($G$6-M147*H147)&gt;=0.5*H147, M147, M147-1))*$K$5))</f>
        <v/>
      </c>
      <c r="P147" s="59">
        <f>IF(L147&lt;=0, 0, INT($G$8/L147))</f>
        <v/>
      </c>
      <c r="Q147" s="95">
        <f>MIN(O147, P147)</f>
        <v/>
      </c>
      <c r="R147" s="96">
        <f>ROUND((Q147*L147)/1000, 2)</f>
        <v/>
      </c>
      <c r="S147" s="79">
        <f>IF($C$8&gt;0, R147/$C$8, 0)</f>
        <v/>
      </c>
      <c r="T147" s="79">
        <f>IF(O147&gt;0, Q147/O147, 0)</f>
        <v/>
      </c>
      <c r="U147" s="12">
        <f>IF(Q147=0, "Exceeds Limit", IF(P147&lt;=O147, "Weight Limited", "Volume Limited"))</f>
        <v/>
      </c>
      <c r="V147" s="97">
        <f>B147&amp;"|"&amp;D147&amp;"|"&amp;F147</f>
        <v/>
      </c>
    </row>
    <row r="148" ht="19" customHeight="1">
      <c r="A148" s="98" t="n">
        <v>138</v>
      </c>
      <c r="B148" s="99" t="inlineStr">
        <is>
          <t>Carbon Steel</t>
        </is>
      </c>
      <c r="C148" s="19" t="inlineStr">
        <is>
          <t>ASME B36.10M / B36.19M</t>
        </is>
      </c>
      <c r="D148" s="18" t="inlineStr">
        <is>
          <t>3-1/2''</t>
        </is>
      </c>
      <c r="E148" s="98" t="n">
        <v>90</v>
      </c>
      <c r="F148" s="18" t="inlineStr">
        <is>
          <t>STD</t>
        </is>
      </c>
      <c r="G148" s="20" t="n">
        <v>4</v>
      </c>
      <c r="H148" s="82" t="n">
        <v>101.6</v>
      </c>
      <c r="I148" s="20" t="n">
        <v>0.226</v>
      </c>
      <c r="J148" s="82" t="n">
        <v>5.74</v>
      </c>
      <c r="K148" s="20">
        <f>ROUND((H148-J148)*J148*IF(B148="Carbon Steel",$K$7,IF(B148="Stainless Steel 304",$K$8,$L$8)), 3)</f>
        <v/>
      </c>
      <c r="L148" s="82">
        <f>ROUND(K148*$G$5, 2)</f>
        <v/>
      </c>
      <c r="M148" s="98">
        <f>INT($G$6/H148)</f>
        <v/>
      </c>
      <c r="N148" s="98">
        <f>IF(M148=0, 0, IF(OR($K$6="Square Grid", M148=1), INT($G$7/H148), IF($G$7&lt;H148, 0, 1+INT(($G$7-H148)/(0.8660254*H148)))))</f>
        <v/>
      </c>
      <c r="O148" s="84">
        <f>IF(OR(M148=0,N148=0), 0, IF(OR($K$6="Square Grid", M148=1), M148*N148*$K$5, (INT((N148+1)/2)*M148 + INT(N148/2)*IF(($G$6-M148*H148)&gt;=0.5*H148, M148, M148-1))*$K$5))</f>
        <v/>
      </c>
      <c r="P148" s="84">
        <f>IF(L148&lt;=0, 0, INT($G$8/L148))</f>
        <v/>
      </c>
      <c r="Q148" s="95">
        <f>MIN(O148, P148)</f>
        <v/>
      </c>
      <c r="R148" s="96">
        <f>ROUND((Q148*L148)/1000, 2)</f>
        <v/>
      </c>
      <c r="S148" s="85">
        <f>IF($C$8&gt;0, R148/$C$8, 0)</f>
        <v/>
      </c>
      <c r="T148" s="85">
        <f>IF(O148&gt;0, Q148/O148, 0)</f>
        <v/>
      </c>
      <c r="U148" s="18">
        <f>IF(Q148=0, "Exceeds Limit", IF(P148&lt;=O148, "Weight Limited", "Volume Limited"))</f>
        <v/>
      </c>
      <c r="V148" s="100">
        <f>B148&amp;"|"&amp;D148&amp;"|"&amp;F148</f>
        <v/>
      </c>
    </row>
    <row r="149" ht="19" customHeight="1">
      <c r="A149" s="93" t="n">
        <v>139</v>
      </c>
      <c r="B149" s="94" t="inlineStr">
        <is>
          <t>Carbon Steel</t>
        </is>
      </c>
      <c r="C149" s="13" t="inlineStr">
        <is>
          <t>ASME B36.10M / B36.19M</t>
        </is>
      </c>
      <c r="D149" s="12" t="inlineStr">
        <is>
          <t>3-1/2''</t>
        </is>
      </c>
      <c r="E149" s="93" t="n">
        <v>90</v>
      </c>
      <c r="F149" s="12" t="inlineStr">
        <is>
          <t>40</t>
        </is>
      </c>
      <c r="G149" s="14" t="n">
        <v>4</v>
      </c>
      <c r="H149" s="78" t="n">
        <v>101.6</v>
      </c>
      <c r="I149" s="14" t="n">
        <v>0.226</v>
      </c>
      <c r="J149" s="78" t="n">
        <v>5.74</v>
      </c>
      <c r="K149" s="14">
        <f>ROUND((H149-J149)*J149*IF(B149="Carbon Steel",$K$7,IF(B149="Stainless Steel 304",$K$8,$L$8)), 3)</f>
        <v/>
      </c>
      <c r="L149" s="78">
        <f>ROUND(K149*$G$5, 2)</f>
        <v/>
      </c>
      <c r="M149" s="93">
        <f>INT($G$6/H149)</f>
        <v/>
      </c>
      <c r="N149" s="93">
        <f>IF(M149=0, 0, IF(OR($K$6="Square Grid", M149=1), INT($G$7/H149), IF($G$7&lt;H149, 0, 1+INT(($G$7-H149)/(0.8660254*H149)))))</f>
        <v/>
      </c>
      <c r="O149" s="59">
        <f>IF(OR(M149=0,N149=0), 0, IF(OR($K$6="Square Grid", M149=1), M149*N149*$K$5, (INT((N149+1)/2)*M149 + INT(N149/2)*IF(($G$6-M149*H149)&gt;=0.5*H149, M149, M149-1))*$K$5))</f>
        <v/>
      </c>
      <c r="P149" s="59">
        <f>IF(L149&lt;=0, 0, INT($G$8/L149))</f>
        <v/>
      </c>
      <c r="Q149" s="95">
        <f>MIN(O149, P149)</f>
        <v/>
      </c>
      <c r="R149" s="96">
        <f>ROUND((Q149*L149)/1000, 2)</f>
        <v/>
      </c>
      <c r="S149" s="79">
        <f>IF($C$8&gt;0, R149/$C$8, 0)</f>
        <v/>
      </c>
      <c r="T149" s="79">
        <f>IF(O149&gt;0, Q149/O149, 0)</f>
        <v/>
      </c>
      <c r="U149" s="12">
        <f>IF(Q149=0, "Exceeds Limit", IF(P149&lt;=O149, "Weight Limited", "Volume Limited"))</f>
        <v/>
      </c>
      <c r="V149" s="97">
        <f>B149&amp;"|"&amp;D149&amp;"|"&amp;F149</f>
        <v/>
      </c>
    </row>
    <row r="150" ht="19" customHeight="1">
      <c r="A150" s="98" t="n">
        <v>140</v>
      </c>
      <c r="B150" s="99" t="inlineStr">
        <is>
          <t>Carbon Steel</t>
        </is>
      </c>
      <c r="C150" s="19" t="inlineStr">
        <is>
          <t>ASME B36.10M / B36.19M</t>
        </is>
      </c>
      <c r="D150" s="18" t="inlineStr">
        <is>
          <t>3-1/2''</t>
        </is>
      </c>
      <c r="E150" s="98" t="n">
        <v>90</v>
      </c>
      <c r="F150" s="18" t="inlineStr">
        <is>
          <t>80S</t>
        </is>
      </c>
      <c r="G150" s="20" t="n">
        <v>4</v>
      </c>
      <c r="H150" s="82" t="n">
        <v>101.6</v>
      </c>
      <c r="I150" s="20" t="n">
        <v>0.318</v>
      </c>
      <c r="J150" s="82" t="n">
        <v>8.08</v>
      </c>
      <c r="K150" s="20">
        <f>ROUND((H150-J150)*J150*IF(B150="Carbon Steel",$K$7,IF(B150="Stainless Steel 304",$K$8,$L$8)), 3)</f>
        <v/>
      </c>
      <c r="L150" s="82">
        <f>ROUND(K150*$G$5, 2)</f>
        <v/>
      </c>
      <c r="M150" s="98">
        <f>INT($G$6/H150)</f>
        <v/>
      </c>
      <c r="N150" s="98">
        <f>IF(M150=0, 0, IF(OR($K$6="Square Grid", M150=1), INT($G$7/H150), IF($G$7&lt;H150, 0, 1+INT(($G$7-H150)/(0.8660254*H150)))))</f>
        <v/>
      </c>
      <c r="O150" s="84">
        <f>IF(OR(M150=0,N150=0), 0, IF(OR($K$6="Square Grid", M150=1), M150*N150*$K$5, (INT((N150+1)/2)*M150 + INT(N150/2)*IF(($G$6-M150*H150)&gt;=0.5*H150, M150, M150-1))*$K$5))</f>
        <v/>
      </c>
      <c r="P150" s="84">
        <f>IF(L150&lt;=0, 0, INT($G$8/L150))</f>
        <v/>
      </c>
      <c r="Q150" s="95">
        <f>MIN(O150, P150)</f>
        <v/>
      </c>
      <c r="R150" s="96">
        <f>ROUND((Q150*L150)/1000, 2)</f>
        <v/>
      </c>
      <c r="S150" s="85">
        <f>IF($C$8&gt;0, R150/$C$8, 0)</f>
        <v/>
      </c>
      <c r="T150" s="85">
        <f>IF(O150&gt;0, Q150/O150, 0)</f>
        <v/>
      </c>
      <c r="U150" s="18">
        <f>IF(Q150=0, "Exceeds Limit", IF(P150&lt;=O150, "Weight Limited", "Volume Limited"))</f>
        <v/>
      </c>
      <c r="V150" s="100">
        <f>B150&amp;"|"&amp;D150&amp;"|"&amp;F150</f>
        <v/>
      </c>
    </row>
    <row r="151" ht="19" customHeight="1">
      <c r="A151" s="93" t="n">
        <v>141</v>
      </c>
      <c r="B151" s="94" t="inlineStr">
        <is>
          <t>Carbon Steel</t>
        </is>
      </c>
      <c r="C151" s="13" t="inlineStr">
        <is>
          <t>ASME B36.10M / B36.19M</t>
        </is>
      </c>
      <c r="D151" s="12" t="inlineStr">
        <is>
          <t>3-1/2''</t>
        </is>
      </c>
      <c r="E151" s="93" t="n">
        <v>90</v>
      </c>
      <c r="F151" s="12" t="inlineStr">
        <is>
          <t>XS</t>
        </is>
      </c>
      <c r="G151" s="14" t="n">
        <v>4</v>
      </c>
      <c r="H151" s="78" t="n">
        <v>101.6</v>
      </c>
      <c r="I151" s="14" t="n">
        <v>0.318</v>
      </c>
      <c r="J151" s="78" t="n">
        <v>8.08</v>
      </c>
      <c r="K151" s="14">
        <f>ROUND((H151-J151)*J151*IF(B151="Carbon Steel",$K$7,IF(B151="Stainless Steel 304",$K$8,$L$8)), 3)</f>
        <v/>
      </c>
      <c r="L151" s="78">
        <f>ROUND(K151*$G$5, 2)</f>
        <v/>
      </c>
      <c r="M151" s="93">
        <f>INT($G$6/H151)</f>
        <v/>
      </c>
      <c r="N151" s="93">
        <f>IF(M151=0, 0, IF(OR($K$6="Square Grid", M151=1), INT($G$7/H151), IF($G$7&lt;H151, 0, 1+INT(($G$7-H151)/(0.8660254*H151)))))</f>
        <v/>
      </c>
      <c r="O151" s="59">
        <f>IF(OR(M151=0,N151=0), 0, IF(OR($K$6="Square Grid", M151=1), M151*N151*$K$5, (INT((N151+1)/2)*M151 + INT(N151/2)*IF(($G$6-M151*H151)&gt;=0.5*H151, M151, M151-1))*$K$5))</f>
        <v/>
      </c>
      <c r="P151" s="59">
        <f>IF(L151&lt;=0, 0, INT($G$8/L151))</f>
        <v/>
      </c>
      <c r="Q151" s="95">
        <f>MIN(O151, P151)</f>
        <v/>
      </c>
      <c r="R151" s="96">
        <f>ROUND((Q151*L151)/1000, 2)</f>
        <v/>
      </c>
      <c r="S151" s="79">
        <f>IF($C$8&gt;0, R151/$C$8, 0)</f>
        <v/>
      </c>
      <c r="T151" s="79">
        <f>IF(O151&gt;0, Q151/O151, 0)</f>
        <v/>
      </c>
      <c r="U151" s="12">
        <f>IF(Q151=0, "Exceeds Limit", IF(P151&lt;=O151, "Weight Limited", "Volume Limited"))</f>
        <v/>
      </c>
      <c r="V151" s="97">
        <f>B151&amp;"|"&amp;D151&amp;"|"&amp;F151</f>
        <v/>
      </c>
    </row>
    <row r="152" ht="19" customHeight="1">
      <c r="A152" s="98" t="n">
        <v>142</v>
      </c>
      <c r="B152" s="99" t="inlineStr">
        <is>
          <t>Carbon Steel</t>
        </is>
      </c>
      <c r="C152" s="19" t="inlineStr">
        <is>
          <t>ASME B36.10M / B36.19M</t>
        </is>
      </c>
      <c r="D152" s="18" t="inlineStr">
        <is>
          <t>3-1/2''</t>
        </is>
      </c>
      <c r="E152" s="98" t="n">
        <v>90</v>
      </c>
      <c r="F152" s="18" t="inlineStr">
        <is>
          <t>80</t>
        </is>
      </c>
      <c r="G152" s="20" t="n">
        <v>4</v>
      </c>
      <c r="H152" s="82" t="n">
        <v>101.6</v>
      </c>
      <c r="I152" s="20" t="n">
        <v>0.318</v>
      </c>
      <c r="J152" s="82" t="n">
        <v>8.08</v>
      </c>
      <c r="K152" s="20">
        <f>ROUND((H152-J152)*J152*IF(B152="Carbon Steel",$K$7,IF(B152="Stainless Steel 304",$K$8,$L$8)), 3)</f>
        <v/>
      </c>
      <c r="L152" s="82">
        <f>ROUND(K152*$G$5, 2)</f>
        <v/>
      </c>
      <c r="M152" s="98">
        <f>INT($G$6/H152)</f>
        <v/>
      </c>
      <c r="N152" s="98">
        <f>IF(M152=0, 0, IF(OR($K$6="Square Grid", M152=1), INT($G$7/H152), IF($G$7&lt;H152, 0, 1+INT(($G$7-H152)/(0.8660254*H152)))))</f>
        <v/>
      </c>
      <c r="O152" s="84">
        <f>IF(OR(M152=0,N152=0), 0, IF(OR($K$6="Square Grid", M152=1), M152*N152*$K$5, (INT((N152+1)/2)*M152 + INT(N152/2)*IF(($G$6-M152*H152)&gt;=0.5*H152, M152, M152-1))*$K$5))</f>
        <v/>
      </c>
      <c r="P152" s="84">
        <f>IF(L152&lt;=0, 0, INT($G$8/L152))</f>
        <v/>
      </c>
      <c r="Q152" s="95">
        <f>MIN(O152, P152)</f>
        <v/>
      </c>
      <c r="R152" s="96">
        <f>ROUND((Q152*L152)/1000, 2)</f>
        <v/>
      </c>
      <c r="S152" s="85">
        <f>IF($C$8&gt;0, R152/$C$8, 0)</f>
        <v/>
      </c>
      <c r="T152" s="85">
        <f>IF(O152&gt;0, Q152/O152, 0)</f>
        <v/>
      </c>
      <c r="U152" s="18">
        <f>IF(Q152=0, "Exceeds Limit", IF(P152&lt;=O152, "Weight Limited", "Volume Limited"))</f>
        <v/>
      </c>
      <c r="V152" s="100">
        <f>B152&amp;"|"&amp;D152&amp;"|"&amp;F152</f>
        <v/>
      </c>
    </row>
    <row r="153" ht="19" customHeight="1">
      <c r="A153" s="93" t="n">
        <v>143</v>
      </c>
      <c r="B153" s="94" t="inlineStr">
        <is>
          <t>Carbon Steel</t>
        </is>
      </c>
      <c r="C153" s="13" t="inlineStr">
        <is>
          <t>ASME B36.10M / B36.19M</t>
        </is>
      </c>
      <c r="D153" s="12" t="inlineStr">
        <is>
          <t>3-1/2''</t>
        </is>
      </c>
      <c r="E153" s="93" t="n">
        <v>90</v>
      </c>
      <c r="F153" s="12" t="inlineStr">
        <is>
          <t>XXS</t>
        </is>
      </c>
      <c r="G153" s="14" t="n">
        <v>4</v>
      </c>
      <c r="H153" s="78" t="n">
        <v>101.6</v>
      </c>
      <c r="I153" s="14" t="n">
        <v>0.636</v>
      </c>
      <c r="J153" s="78" t="n">
        <v>16.15</v>
      </c>
      <c r="K153" s="14">
        <f>ROUND((H153-J153)*J153*IF(B153="Carbon Steel",$K$7,IF(B153="Stainless Steel 304",$K$8,$L$8)), 3)</f>
        <v/>
      </c>
      <c r="L153" s="78">
        <f>ROUND(K153*$G$5, 2)</f>
        <v/>
      </c>
      <c r="M153" s="93">
        <f>INT($G$6/H153)</f>
        <v/>
      </c>
      <c r="N153" s="93">
        <f>IF(M153=0, 0, IF(OR($K$6="Square Grid", M153=1), INT($G$7/H153), IF($G$7&lt;H153, 0, 1+INT(($G$7-H153)/(0.8660254*H153)))))</f>
        <v/>
      </c>
      <c r="O153" s="59">
        <f>IF(OR(M153=0,N153=0), 0, IF(OR($K$6="Square Grid", M153=1), M153*N153*$K$5, (INT((N153+1)/2)*M153 + INT(N153/2)*IF(($G$6-M153*H153)&gt;=0.5*H153, M153, M153-1))*$K$5))</f>
        <v/>
      </c>
      <c r="P153" s="59">
        <f>IF(L153&lt;=0, 0, INT($G$8/L153))</f>
        <v/>
      </c>
      <c r="Q153" s="95">
        <f>MIN(O153, P153)</f>
        <v/>
      </c>
      <c r="R153" s="96">
        <f>ROUND((Q153*L153)/1000, 2)</f>
        <v/>
      </c>
      <c r="S153" s="79">
        <f>IF($C$8&gt;0, R153/$C$8, 0)</f>
        <v/>
      </c>
      <c r="T153" s="79">
        <f>IF(O153&gt;0, Q153/O153, 0)</f>
        <v/>
      </c>
      <c r="U153" s="12">
        <f>IF(Q153=0, "Exceeds Limit", IF(P153&lt;=O153, "Weight Limited", "Volume Limited"))</f>
        <v/>
      </c>
      <c r="V153" s="97">
        <f>B153&amp;"|"&amp;D153&amp;"|"&amp;F153</f>
        <v/>
      </c>
    </row>
    <row r="154" ht="19" customHeight="1">
      <c r="A154" s="98" t="n">
        <v>144</v>
      </c>
      <c r="B154" s="99" t="inlineStr">
        <is>
          <t>Carbon Steel</t>
        </is>
      </c>
      <c r="C154" s="19" t="inlineStr">
        <is>
          <t>ASME B36.10M / B36.19M</t>
        </is>
      </c>
      <c r="D154" s="18" t="inlineStr">
        <is>
          <t>4''</t>
        </is>
      </c>
      <c r="E154" s="98" t="n">
        <v>100</v>
      </c>
      <c r="F154" s="18" t="inlineStr">
        <is>
          <t>5S</t>
        </is>
      </c>
      <c r="G154" s="20" t="n">
        <v>4.5</v>
      </c>
      <c r="H154" s="82" t="n">
        <v>114.3</v>
      </c>
      <c r="I154" s="20" t="n">
        <v>0.083</v>
      </c>
      <c r="J154" s="82" t="n">
        <v>2.11</v>
      </c>
      <c r="K154" s="20">
        <f>ROUND((H154-J154)*J154*IF(B154="Carbon Steel",$K$7,IF(B154="Stainless Steel 304",$K$8,$L$8)), 3)</f>
        <v/>
      </c>
      <c r="L154" s="82">
        <f>ROUND(K154*$G$5, 2)</f>
        <v/>
      </c>
      <c r="M154" s="98">
        <f>INT($G$6/H154)</f>
        <v/>
      </c>
      <c r="N154" s="98">
        <f>IF(M154=0, 0, IF(OR($K$6="Square Grid", M154=1), INT($G$7/H154), IF($G$7&lt;H154, 0, 1+INT(($G$7-H154)/(0.8660254*H154)))))</f>
        <v/>
      </c>
      <c r="O154" s="84">
        <f>IF(OR(M154=0,N154=0), 0, IF(OR($K$6="Square Grid", M154=1), M154*N154*$K$5, (INT((N154+1)/2)*M154 + INT(N154/2)*IF(($G$6-M154*H154)&gt;=0.5*H154, M154, M154-1))*$K$5))</f>
        <v/>
      </c>
      <c r="P154" s="84">
        <f>IF(L154&lt;=0, 0, INT($G$8/L154))</f>
        <v/>
      </c>
      <c r="Q154" s="95">
        <f>MIN(O154, P154)</f>
        <v/>
      </c>
      <c r="R154" s="96">
        <f>ROUND((Q154*L154)/1000, 2)</f>
        <v/>
      </c>
      <c r="S154" s="85">
        <f>IF($C$8&gt;0, R154/$C$8, 0)</f>
        <v/>
      </c>
      <c r="T154" s="85">
        <f>IF(O154&gt;0, Q154/O154, 0)</f>
        <v/>
      </c>
      <c r="U154" s="18">
        <f>IF(Q154=0, "Exceeds Limit", IF(P154&lt;=O154, "Weight Limited", "Volume Limited"))</f>
        <v/>
      </c>
      <c r="V154" s="100">
        <f>B154&amp;"|"&amp;D154&amp;"|"&amp;F154</f>
        <v/>
      </c>
    </row>
    <row r="155" ht="19" customHeight="1">
      <c r="A155" s="93" t="n">
        <v>145</v>
      </c>
      <c r="B155" s="94" t="inlineStr">
        <is>
          <t>Carbon Steel</t>
        </is>
      </c>
      <c r="C155" s="13" t="inlineStr">
        <is>
          <t>ASME B36.10M / B36.19M</t>
        </is>
      </c>
      <c r="D155" s="12" t="inlineStr">
        <is>
          <t>4''</t>
        </is>
      </c>
      <c r="E155" s="93" t="n">
        <v>100</v>
      </c>
      <c r="F155" s="12" t="inlineStr">
        <is>
          <t>5</t>
        </is>
      </c>
      <c r="G155" s="14" t="n">
        <v>4.5</v>
      </c>
      <c r="H155" s="78" t="n">
        <v>114.3</v>
      </c>
      <c r="I155" s="14" t="n">
        <v>0.083</v>
      </c>
      <c r="J155" s="78" t="n">
        <v>2.11</v>
      </c>
      <c r="K155" s="14">
        <f>ROUND((H155-J155)*J155*IF(B155="Carbon Steel",$K$7,IF(B155="Stainless Steel 304",$K$8,$L$8)), 3)</f>
        <v/>
      </c>
      <c r="L155" s="78">
        <f>ROUND(K155*$G$5, 2)</f>
        <v/>
      </c>
      <c r="M155" s="93">
        <f>INT($G$6/H155)</f>
        <v/>
      </c>
      <c r="N155" s="93">
        <f>IF(M155=0, 0, IF(OR($K$6="Square Grid", M155=1), INT($G$7/H155), IF($G$7&lt;H155, 0, 1+INT(($G$7-H155)/(0.8660254*H155)))))</f>
        <v/>
      </c>
      <c r="O155" s="59">
        <f>IF(OR(M155=0,N155=0), 0, IF(OR($K$6="Square Grid", M155=1), M155*N155*$K$5, (INT((N155+1)/2)*M155 + INT(N155/2)*IF(($G$6-M155*H155)&gt;=0.5*H155, M155, M155-1))*$K$5))</f>
        <v/>
      </c>
      <c r="P155" s="59">
        <f>IF(L155&lt;=0, 0, INT($G$8/L155))</f>
        <v/>
      </c>
      <c r="Q155" s="95">
        <f>MIN(O155, P155)</f>
        <v/>
      </c>
      <c r="R155" s="96">
        <f>ROUND((Q155*L155)/1000, 2)</f>
        <v/>
      </c>
      <c r="S155" s="79">
        <f>IF($C$8&gt;0, R155/$C$8, 0)</f>
        <v/>
      </c>
      <c r="T155" s="79">
        <f>IF(O155&gt;0, Q155/O155, 0)</f>
        <v/>
      </c>
      <c r="U155" s="12">
        <f>IF(Q155=0, "Exceeds Limit", IF(P155&lt;=O155, "Weight Limited", "Volume Limited"))</f>
        <v/>
      </c>
      <c r="V155" s="97">
        <f>B155&amp;"|"&amp;D155&amp;"|"&amp;F155</f>
        <v/>
      </c>
    </row>
    <row r="156" ht="19" customHeight="1">
      <c r="A156" s="98" t="n">
        <v>146</v>
      </c>
      <c r="B156" s="99" t="inlineStr">
        <is>
          <t>Carbon Steel</t>
        </is>
      </c>
      <c r="C156" s="19" t="inlineStr">
        <is>
          <t>ASME B36.10M / B36.19M</t>
        </is>
      </c>
      <c r="D156" s="18" t="inlineStr">
        <is>
          <t>4''</t>
        </is>
      </c>
      <c r="E156" s="98" t="n">
        <v>100</v>
      </c>
      <c r="F156" s="18" t="inlineStr">
        <is>
          <t>10S</t>
        </is>
      </c>
      <c r="G156" s="20" t="n">
        <v>4.5</v>
      </c>
      <c r="H156" s="82" t="n">
        <v>114.3</v>
      </c>
      <c r="I156" s="20" t="n">
        <v>0.12</v>
      </c>
      <c r="J156" s="82" t="n">
        <v>3.05</v>
      </c>
      <c r="K156" s="20">
        <f>ROUND((H156-J156)*J156*IF(B156="Carbon Steel",$K$7,IF(B156="Stainless Steel 304",$K$8,$L$8)), 3)</f>
        <v/>
      </c>
      <c r="L156" s="82">
        <f>ROUND(K156*$G$5, 2)</f>
        <v/>
      </c>
      <c r="M156" s="98">
        <f>INT($G$6/H156)</f>
        <v/>
      </c>
      <c r="N156" s="98">
        <f>IF(M156=0, 0, IF(OR($K$6="Square Grid", M156=1), INT($G$7/H156), IF($G$7&lt;H156, 0, 1+INT(($G$7-H156)/(0.8660254*H156)))))</f>
        <v/>
      </c>
      <c r="O156" s="84">
        <f>IF(OR(M156=0,N156=0), 0, IF(OR($K$6="Square Grid", M156=1), M156*N156*$K$5, (INT((N156+1)/2)*M156 + INT(N156/2)*IF(($G$6-M156*H156)&gt;=0.5*H156, M156, M156-1))*$K$5))</f>
        <v/>
      </c>
      <c r="P156" s="84">
        <f>IF(L156&lt;=0, 0, INT($G$8/L156))</f>
        <v/>
      </c>
      <c r="Q156" s="95">
        <f>MIN(O156, P156)</f>
        <v/>
      </c>
      <c r="R156" s="96">
        <f>ROUND((Q156*L156)/1000, 2)</f>
        <v/>
      </c>
      <c r="S156" s="85">
        <f>IF($C$8&gt;0, R156/$C$8, 0)</f>
        <v/>
      </c>
      <c r="T156" s="85">
        <f>IF(O156&gt;0, Q156/O156, 0)</f>
        <v/>
      </c>
      <c r="U156" s="18">
        <f>IF(Q156=0, "Exceeds Limit", IF(P156&lt;=O156, "Weight Limited", "Volume Limited"))</f>
        <v/>
      </c>
      <c r="V156" s="100">
        <f>B156&amp;"|"&amp;D156&amp;"|"&amp;F156</f>
        <v/>
      </c>
    </row>
    <row r="157" ht="19" customHeight="1">
      <c r="A157" s="93" t="n">
        <v>147</v>
      </c>
      <c r="B157" s="94" t="inlineStr">
        <is>
          <t>Carbon Steel</t>
        </is>
      </c>
      <c r="C157" s="13" t="inlineStr">
        <is>
          <t>ASME B36.10M / B36.19M</t>
        </is>
      </c>
      <c r="D157" s="12" t="inlineStr">
        <is>
          <t>4''</t>
        </is>
      </c>
      <c r="E157" s="93" t="n">
        <v>100</v>
      </c>
      <c r="F157" s="12" t="inlineStr">
        <is>
          <t>10</t>
        </is>
      </c>
      <c r="G157" s="14" t="n">
        <v>4.5</v>
      </c>
      <c r="H157" s="78" t="n">
        <v>114.3</v>
      </c>
      <c r="I157" s="14" t="n">
        <v>0.12</v>
      </c>
      <c r="J157" s="78" t="n">
        <v>3.05</v>
      </c>
      <c r="K157" s="14">
        <f>ROUND((H157-J157)*J157*IF(B157="Carbon Steel",$K$7,IF(B157="Stainless Steel 304",$K$8,$L$8)), 3)</f>
        <v/>
      </c>
      <c r="L157" s="78">
        <f>ROUND(K157*$G$5, 2)</f>
        <v/>
      </c>
      <c r="M157" s="93">
        <f>INT($G$6/H157)</f>
        <v/>
      </c>
      <c r="N157" s="93">
        <f>IF(M157=0, 0, IF(OR($K$6="Square Grid", M157=1), INT($G$7/H157), IF($G$7&lt;H157, 0, 1+INT(($G$7-H157)/(0.8660254*H157)))))</f>
        <v/>
      </c>
      <c r="O157" s="59">
        <f>IF(OR(M157=0,N157=0), 0, IF(OR($K$6="Square Grid", M157=1), M157*N157*$K$5, (INT((N157+1)/2)*M157 + INT(N157/2)*IF(($G$6-M157*H157)&gt;=0.5*H157, M157, M157-1))*$K$5))</f>
        <v/>
      </c>
      <c r="P157" s="59">
        <f>IF(L157&lt;=0, 0, INT($G$8/L157))</f>
        <v/>
      </c>
      <c r="Q157" s="95">
        <f>MIN(O157, P157)</f>
        <v/>
      </c>
      <c r="R157" s="96">
        <f>ROUND((Q157*L157)/1000, 2)</f>
        <v/>
      </c>
      <c r="S157" s="79">
        <f>IF($C$8&gt;0, R157/$C$8, 0)</f>
        <v/>
      </c>
      <c r="T157" s="79">
        <f>IF(O157&gt;0, Q157/O157, 0)</f>
        <v/>
      </c>
      <c r="U157" s="12">
        <f>IF(Q157=0, "Exceeds Limit", IF(P157&lt;=O157, "Weight Limited", "Volume Limited"))</f>
        <v/>
      </c>
      <c r="V157" s="97">
        <f>B157&amp;"|"&amp;D157&amp;"|"&amp;F157</f>
        <v/>
      </c>
    </row>
    <row r="158" ht="19" customHeight="1">
      <c r="A158" s="98" t="n">
        <v>148</v>
      </c>
      <c r="B158" s="99" t="inlineStr">
        <is>
          <t>Carbon Steel</t>
        </is>
      </c>
      <c r="C158" s="19" t="inlineStr">
        <is>
          <t>ASME B36.10M / B36.19M</t>
        </is>
      </c>
      <c r="D158" s="18" t="inlineStr">
        <is>
          <t>4''</t>
        </is>
      </c>
      <c r="E158" s="98" t="n">
        <v>100</v>
      </c>
      <c r="F158" s="18" t="inlineStr">
        <is>
          <t>30</t>
        </is>
      </c>
      <c r="G158" s="20" t="n">
        <v>4.5</v>
      </c>
      <c r="H158" s="82" t="n">
        <v>114.3</v>
      </c>
      <c r="I158" s="20" t="n">
        <v>0.188</v>
      </c>
      <c r="J158" s="82" t="n">
        <v>4.78</v>
      </c>
      <c r="K158" s="20">
        <f>ROUND((H158-J158)*J158*IF(B158="Carbon Steel",$K$7,IF(B158="Stainless Steel 304",$K$8,$L$8)), 3)</f>
        <v/>
      </c>
      <c r="L158" s="82">
        <f>ROUND(K158*$G$5, 2)</f>
        <v/>
      </c>
      <c r="M158" s="98">
        <f>INT($G$6/H158)</f>
        <v/>
      </c>
      <c r="N158" s="98">
        <f>IF(M158=0, 0, IF(OR($K$6="Square Grid", M158=1), INT($G$7/H158), IF($G$7&lt;H158, 0, 1+INT(($G$7-H158)/(0.8660254*H158)))))</f>
        <v/>
      </c>
      <c r="O158" s="84">
        <f>IF(OR(M158=0,N158=0), 0, IF(OR($K$6="Square Grid", M158=1), M158*N158*$K$5, (INT((N158+1)/2)*M158 + INT(N158/2)*IF(($G$6-M158*H158)&gt;=0.5*H158, M158, M158-1))*$K$5))</f>
        <v/>
      </c>
      <c r="P158" s="84">
        <f>IF(L158&lt;=0, 0, INT($G$8/L158))</f>
        <v/>
      </c>
      <c r="Q158" s="95">
        <f>MIN(O158, P158)</f>
        <v/>
      </c>
      <c r="R158" s="96">
        <f>ROUND((Q158*L158)/1000, 2)</f>
        <v/>
      </c>
      <c r="S158" s="85">
        <f>IF($C$8&gt;0, R158/$C$8, 0)</f>
        <v/>
      </c>
      <c r="T158" s="85">
        <f>IF(O158&gt;0, Q158/O158, 0)</f>
        <v/>
      </c>
      <c r="U158" s="18">
        <f>IF(Q158=0, "Exceeds Limit", IF(P158&lt;=O158, "Weight Limited", "Volume Limited"))</f>
        <v/>
      </c>
      <c r="V158" s="100">
        <f>B158&amp;"|"&amp;D158&amp;"|"&amp;F158</f>
        <v/>
      </c>
    </row>
    <row r="159" ht="19" customHeight="1">
      <c r="A159" s="93" t="n">
        <v>149</v>
      </c>
      <c r="B159" s="94" t="inlineStr">
        <is>
          <t>Carbon Steel</t>
        </is>
      </c>
      <c r="C159" s="13" t="inlineStr">
        <is>
          <t>ASME B36.10M / B36.19M</t>
        </is>
      </c>
      <c r="D159" s="12" t="inlineStr">
        <is>
          <t>4''</t>
        </is>
      </c>
      <c r="E159" s="93" t="n">
        <v>100</v>
      </c>
      <c r="F159" s="12" t="inlineStr">
        <is>
          <t>40S</t>
        </is>
      </c>
      <c r="G159" s="14" t="n">
        <v>4.5</v>
      </c>
      <c r="H159" s="78" t="n">
        <v>114.3</v>
      </c>
      <c r="I159" s="14" t="n">
        <v>0.237</v>
      </c>
      <c r="J159" s="78" t="n">
        <v>6.02</v>
      </c>
      <c r="K159" s="14">
        <f>ROUND((H159-J159)*J159*IF(B159="Carbon Steel",$K$7,IF(B159="Stainless Steel 304",$K$8,$L$8)), 3)</f>
        <v/>
      </c>
      <c r="L159" s="78">
        <f>ROUND(K159*$G$5, 2)</f>
        <v/>
      </c>
      <c r="M159" s="93">
        <f>INT($G$6/H159)</f>
        <v/>
      </c>
      <c r="N159" s="93">
        <f>IF(M159=0, 0, IF(OR($K$6="Square Grid", M159=1), INT($G$7/H159), IF($G$7&lt;H159, 0, 1+INT(($G$7-H159)/(0.8660254*H159)))))</f>
        <v/>
      </c>
      <c r="O159" s="59">
        <f>IF(OR(M159=0,N159=0), 0, IF(OR($K$6="Square Grid", M159=1), M159*N159*$K$5, (INT((N159+1)/2)*M159 + INT(N159/2)*IF(($G$6-M159*H159)&gt;=0.5*H159, M159, M159-1))*$K$5))</f>
        <v/>
      </c>
      <c r="P159" s="59">
        <f>IF(L159&lt;=0, 0, INT($G$8/L159))</f>
        <v/>
      </c>
      <c r="Q159" s="95">
        <f>MIN(O159, P159)</f>
        <v/>
      </c>
      <c r="R159" s="96">
        <f>ROUND((Q159*L159)/1000, 2)</f>
        <v/>
      </c>
      <c r="S159" s="79">
        <f>IF($C$8&gt;0, R159/$C$8, 0)</f>
        <v/>
      </c>
      <c r="T159" s="79">
        <f>IF(O159&gt;0, Q159/O159, 0)</f>
        <v/>
      </c>
      <c r="U159" s="12">
        <f>IF(Q159=0, "Exceeds Limit", IF(P159&lt;=O159, "Weight Limited", "Volume Limited"))</f>
        <v/>
      </c>
      <c r="V159" s="97">
        <f>B159&amp;"|"&amp;D159&amp;"|"&amp;F159</f>
        <v/>
      </c>
    </row>
    <row r="160" ht="19" customHeight="1">
      <c r="A160" s="98" t="n">
        <v>150</v>
      </c>
      <c r="B160" s="99" t="inlineStr">
        <is>
          <t>Carbon Steel</t>
        </is>
      </c>
      <c r="C160" s="19" t="inlineStr">
        <is>
          <t>ASME B36.10M / B36.19M</t>
        </is>
      </c>
      <c r="D160" s="18" t="inlineStr">
        <is>
          <t>4''</t>
        </is>
      </c>
      <c r="E160" s="98" t="n">
        <v>100</v>
      </c>
      <c r="F160" s="18" t="inlineStr">
        <is>
          <t>STD</t>
        </is>
      </c>
      <c r="G160" s="20" t="n">
        <v>4.5</v>
      </c>
      <c r="H160" s="82" t="n">
        <v>114.3</v>
      </c>
      <c r="I160" s="20" t="n">
        <v>0.237</v>
      </c>
      <c r="J160" s="82" t="n">
        <v>6.02</v>
      </c>
      <c r="K160" s="20">
        <f>ROUND((H160-J160)*J160*IF(B160="Carbon Steel",$K$7,IF(B160="Stainless Steel 304",$K$8,$L$8)), 3)</f>
        <v/>
      </c>
      <c r="L160" s="82">
        <f>ROUND(K160*$G$5, 2)</f>
        <v/>
      </c>
      <c r="M160" s="98">
        <f>INT($G$6/H160)</f>
        <v/>
      </c>
      <c r="N160" s="98">
        <f>IF(M160=0, 0, IF(OR($K$6="Square Grid", M160=1), INT($G$7/H160), IF($G$7&lt;H160, 0, 1+INT(($G$7-H160)/(0.8660254*H160)))))</f>
        <v/>
      </c>
      <c r="O160" s="84">
        <f>IF(OR(M160=0,N160=0), 0, IF(OR($K$6="Square Grid", M160=1), M160*N160*$K$5, (INT((N160+1)/2)*M160 + INT(N160/2)*IF(($G$6-M160*H160)&gt;=0.5*H160, M160, M160-1))*$K$5))</f>
        <v/>
      </c>
      <c r="P160" s="84">
        <f>IF(L160&lt;=0, 0, INT($G$8/L160))</f>
        <v/>
      </c>
      <c r="Q160" s="95">
        <f>MIN(O160, P160)</f>
        <v/>
      </c>
      <c r="R160" s="96">
        <f>ROUND((Q160*L160)/1000, 2)</f>
        <v/>
      </c>
      <c r="S160" s="85">
        <f>IF($C$8&gt;0, R160/$C$8, 0)</f>
        <v/>
      </c>
      <c r="T160" s="85">
        <f>IF(O160&gt;0, Q160/O160, 0)</f>
        <v/>
      </c>
      <c r="U160" s="18">
        <f>IF(Q160=0, "Exceeds Limit", IF(P160&lt;=O160, "Weight Limited", "Volume Limited"))</f>
        <v/>
      </c>
      <c r="V160" s="100">
        <f>B160&amp;"|"&amp;D160&amp;"|"&amp;F160</f>
        <v/>
      </c>
    </row>
    <row r="161" ht="19" customHeight="1">
      <c r="A161" s="93" t="n">
        <v>151</v>
      </c>
      <c r="B161" s="94" t="inlineStr">
        <is>
          <t>Carbon Steel</t>
        </is>
      </c>
      <c r="C161" s="13" t="inlineStr">
        <is>
          <t>ASME B36.10M / B36.19M</t>
        </is>
      </c>
      <c r="D161" s="12" t="inlineStr">
        <is>
          <t>4''</t>
        </is>
      </c>
      <c r="E161" s="93" t="n">
        <v>100</v>
      </c>
      <c r="F161" s="12" t="inlineStr">
        <is>
          <t>40</t>
        </is>
      </c>
      <c r="G161" s="14" t="n">
        <v>4.5</v>
      </c>
      <c r="H161" s="78" t="n">
        <v>114.3</v>
      </c>
      <c r="I161" s="14" t="n">
        <v>0.237</v>
      </c>
      <c r="J161" s="78" t="n">
        <v>6.02</v>
      </c>
      <c r="K161" s="14">
        <f>ROUND((H161-J161)*J161*IF(B161="Carbon Steel",$K$7,IF(B161="Stainless Steel 304",$K$8,$L$8)), 3)</f>
        <v/>
      </c>
      <c r="L161" s="78">
        <f>ROUND(K161*$G$5, 2)</f>
        <v/>
      </c>
      <c r="M161" s="93">
        <f>INT($G$6/H161)</f>
        <v/>
      </c>
      <c r="N161" s="93">
        <f>IF(M161=0, 0, IF(OR($K$6="Square Grid", M161=1), INT($G$7/H161), IF($G$7&lt;H161, 0, 1+INT(($G$7-H161)/(0.8660254*H161)))))</f>
        <v/>
      </c>
      <c r="O161" s="59">
        <f>IF(OR(M161=0,N161=0), 0, IF(OR($K$6="Square Grid", M161=1), M161*N161*$K$5, (INT((N161+1)/2)*M161 + INT(N161/2)*IF(($G$6-M161*H161)&gt;=0.5*H161, M161, M161-1))*$K$5))</f>
        <v/>
      </c>
      <c r="P161" s="59">
        <f>IF(L161&lt;=0, 0, INT($G$8/L161))</f>
        <v/>
      </c>
      <c r="Q161" s="95">
        <f>MIN(O161, P161)</f>
        <v/>
      </c>
      <c r="R161" s="96">
        <f>ROUND((Q161*L161)/1000, 2)</f>
        <v/>
      </c>
      <c r="S161" s="79">
        <f>IF($C$8&gt;0, R161/$C$8, 0)</f>
        <v/>
      </c>
      <c r="T161" s="79">
        <f>IF(O161&gt;0, Q161/O161, 0)</f>
        <v/>
      </c>
      <c r="U161" s="12">
        <f>IF(Q161=0, "Exceeds Limit", IF(P161&lt;=O161, "Weight Limited", "Volume Limited"))</f>
        <v/>
      </c>
      <c r="V161" s="97">
        <f>B161&amp;"|"&amp;D161&amp;"|"&amp;F161</f>
        <v/>
      </c>
    </row>
    <row r="162" ht="19" customHeight="1">
      <c r="A162" s="98" t="n">
        <v>152</v>
      </c>
      <c r="B162" s="99" t="inlineStr">
        <is>
          <t>Carbon Steel</t>
        </is>
      </c>
      <c r="C162" s="19" t="inlineStr">
        <is>
          <t>ASME B36.10M / B36.19M</t>
        </is>
      </c>
      <c r="D162" s="18" t="inlineStr">
        <is>
          <t>4''</t>
        </is>
      </c>
      <c r="E162" s="98" t="n">
        <v>100</v>
      </c>
      <c r="F162" s="18" t="inlineStr">
        <is>
          <t>60</t>
        </is>
      </c>
      <c r="G162" s="20" t="n">
        <v>4.5</v>
      </c>
      <c r="H162" s="82" t="n">
        <v>114.3</v>
      </c>
      <c r="I162" s="20" t="n">
        <v>0.281</v>
      </c>
      <c r="J162" s="82" t="n">
        <v>7.14</v>
      </c>
      <c r="K162" s="20">
        <f>ROUND((H162-J162)*J162*IF(B162="Carbon Steel",$K$7,IF(B162="Stainless Steel 304",$K$8,$L$8)), 3)</f>
        <v/>
      </c>
      <c r="L162" s="82">
        <f>ROUND(K162*$G$5, 2)</f>
        <v/>
      </c>
      <c r="M162" s="98">
        <f>INT($G$6/H162)</f>
        <v/>
      </c>
      <c r="N162" s="98">
        <f>IF(M162=0, 0, IF(OR($K$6="Square Grid", M162=1), INT($G$7/H162), IF($G$7&lt;H162, 0, 1+INT(($G$7-H162)/(0.8660254*H162)))))</f>
        <v/>
      </c>
      <c r="O162" s="84">
        <f>IF(OR(M162=0,N162=0), 0, IF(OR($K$6="Square Grid", M162=1), M162*N162*$K$5, (INT((N162+1)/2)*M162 + INT(N162/2)*IF(($G$6-M162*H162)&gt;=0.5*H162, M162, M162-1))*$K$5))</f>
        <v/>
      </c>
      <c r="P162" s="84">
        <f>IF(L162&lt;=0, 0, INT($G$8/L162))</f>
        <v/>
      </c>
      <c r="Q162" s="95">
        <f>MIN(O162, P162)</f>
        <v/>
      </c>
      <c r="R162" s="96">
        <f>ROUND((Q162*L162)/1000, 2)</f>
        <v/>
      </c>
      <c r="S162" s="85">
        <f>IF($C$8&gt;0, R162/$C$8, 0)</f>
        <v/>
      </c>
      <c r="T162" s="85">
        <f>IF(O162&gt;0, Q162/O162, 0)</f>
        <v/>
      </c>
      <c r="U162" s="18">
        <f>IF(Q162=0, "Exceeds Limit", IF(P162&lt;=O162, "Weight Limited", "Volume Limited"))</f>
        <v/>
      </c>
      <c r="V162" s="100">
        <f>B162&amp;"|"&amp;D162&amp;"|"&amp;F162</f>
        <v/>
      </c>
    </row>
    <row r="163" ht="19" customHeight="1">
      <c r="A163" s="93" t="n">
        <v>153</v>
      </c>
      <c r="B163" s="94" t="inlineStr">
        <is>
          <t>Carbon Steel</t>
        </is>
      </c>
      <c r="C163" s="13" t="inlineStr">
        <is>
          <t>ASME B36.10M / B36.19M</t>
        </is>
      </c>
      <c r="D163" s="12" t="inlineStr">
        <is>
          <t>4''</t>
        </is>
      </c>
      <c r="E163" s="93" t="n">
        <v>100</v>
      </c>
      <c r="F163" s="12" t="inlineStr">
        <is>
          <t>80S</t>
        </is>
      </c>
      <c r="G163" s="14" t="n">
        <v>4.5</v>
      </c>
      <c r="H163" s="78" t="n">
        <v>114.3</v>
      </c>
      <c r="I163" s="14" t="n">
        <v>0.337</v>
      </c>
      <c r="J163" s="78" t="n">
        <v>8.56</v>
      </c>
      <c r="K163" s="14">
        <f>ROUND((H163-J163)*J163*IF(B163="Carbon Steel",$K$7,IF(B163="Stainless Steel 304",$K$8,$L$8)), 3)</f>
        <v/>
      </c>
      <c r="L163" s="78">
        <f>ROUND(K163*$G$5, 2)</f>
        <v/>
      </c>
      <c r="M163" s="93">
        <f>INT($G$6/H163)</f>
        <v/>
      </c>
      <c r="N163" s="93">
        <f>IF(M163=0, 0, IF(OR($K$6="Square Grid", M163=1), INT($G$7/H163), IF($G$7&lt;H163, 0, 1+INT(($G$7-H163)/(0.8660254*H163)))))</f>
        <v/>
      </c>
      <c r="O163" s="59">
        <f>IF(OR(M163=0,N163=0), 0, IF(OR($K$6="Square Grid", M163=1), M163*N163*$K$5, (INT((N163+1)/2)*M163 + INT(N163/2)*IF(($G$6-M163*H163)&gt;=0.5*H163, M163, M163-1))*$K$5))</f>
        <v/>
      </c>
      <c r="P163" s="59">
        <f>IF(L163&lt;=0, 0, INT($G$8/L163))</f>
        <v/>
      </c>
      <c r="Q163" s="95">
        <f>MIN(O163, P163)</f>
        <v/>
      </c>
      <c r="R163" s="96">
        <f>ROUND((Q163*L163)/1000, 2)</f>
        <v/>
      </c>
      <c r="S163" s="79">
        <f>IF($C$8&gt;0, R163/$C$8, 0)</f>
        <v/>
      </c>
      <c r="T163" s="79">
        <f>IF(O163&gt;0, Q163/O163, 0)</f>
        <v/>
      </c>
      <c r="U163" s="12">
        <f>IF(Q163=0, "Exceeds Limit", IF(P163&lt;=O163, "Weight Limited", "Volume Limited"))</f>
        <v/>
      </c>
      <c r="V163" s="97">
        <f>B163&amp;"|"&amp;D163&amp;"|"&amp;F163</f>
        <v/>
      </c>
    </row>
    <row r="164" ht="19" customHeight="1">
      <c r="A164" s="98" t="n">
        <v>154</v>
      </c>
      <c r="B164" s="99" t="inlineStr">
        <is>
          <t>Carbon Steel</t>
        </is>
      </c>
      <c r="C164" s="19" t="inlineStr">
        <is>
          <t>ASME B36.10M / B36.19M</t>
        </is>
      </c>
      <c r="D164" s="18" t="inlineStr">
        <is>
          <t>4''</t>
        </is>
      </c>
      <c r="E164" s="98" t="n">
        <v>100</v>
      </c>
      <c r="F164" s="18" t="inlineStr">
        <is>
          <t>XS</t>
        </is>
      </c>
      <c r="G164" s="20" t="n">
        <v>4.5</v>
      </c>
      <c r="H164" s="82" t="n">
        <v>114.3</v>
      </c>
      <c r="I164" s="20" t="n">
        <v>0.337</v>
      </c>
      <c r="J164" s="82" t="n">
        <v>8.56</v>
      </c>
      <c r="K164" s="20">
        <f>ROUND((H164-J164)*J164*IF(B164="Carbon Steel",$K$7,IF(B164="Stainless Steel 304",$K$8,$L$8)), 3)</f>
        <v/>
      </c>
      <c r="L164" s="82">
        <f>ROUND(K164*$G$5, 2)</f>
        <v/>
      </c>
      <c r="M164" s="98">
        <f>INT($G$6/H164)</f>
        <v/>
      </c>
      <c r="N164" s="98">
        <f>IF(M164=0, 0, IF(OR($K$6="Square Grid", M164=1), INT($G$7/H164), IF($G$7&lt;H164, 0, 1+INT(($G$7-H164)/(0.8660254*H164)))))</f>
        <v/>
      </c>
      <c r="O164" s="84">
        <f>IF(OR(M164=0,N164=0), 0, IF(OR($K$6="Square Grid", M164=1), M164*N164*$K$5, (INT((N164+1)/2)*M164 + INT(N164/2)*IF(($G$6-M164*H164)&gt;=0.5*H164, M164, M164-1))*$K$5))</f>
        <v/>
      </c>
      <c r="P164" s="84">
        <f>IF(L164&lt;=0, 0, INT($G$8/L164))</f>
        <v/>
      </c>
      <c r="Q164" s="95">
        <f>MIN(O164, P164)</f>
        <v/>
      </c>
      <c r="R164" s="96">
        <f>ROUND((Q164*L164)/1000, 2)</f>
        <v/>
      </c>
      <c r="S164" s="85">
        <f>IF($C$8&gt;0, R164/$C$8, 0)</f>
        <v/>
      </c>
      <c r="T164" s="85">
        <f>IF(O164&gt;0, Q164/O164, 0)</f>
        <v/>
      </c>
      <c r="U164" s="18">
        <f>IF(Q164=0, "Exceeds Limit", IF(P164&lt;=O164, "Weight Limited", "Volume Limited"))</f>
        <v/>
      </c>
      <c r="V164" s="100">
        <f>B164&amp;"|"&amp;D164&amp;"|"&amp;F164</f>
        <v/>
      </c>
    </row>
    <row r="165" ht="19" customHeight="1">
      <c r="A165" s="93" t="n">
        <v>155</v>
      </c>
      <c r="B165" s="94" t="inlineStr">
        <is>
          <t>Carbon Steel</t>
        </is>
      </c>
      <c r="C165" s="13" t="inlineStr">
        <is>
          <t>ASME B36.10M / B36.19M</t>
        </is>
      </c>
      <c r="D165" s="12" t="inlineStr">
        <is>
          <t>4''</t>
        </is>
      </c>
      <c r="E165" s="93" t="n">
        <v>100</v>
      </c>
      <c r="F165" s="12" t="inlineStr">
        <is>
          <t>80</t>
        </is>
      </c>
      <c r="G165" s="14" t="n">
        <v>4.5</v>
      </c>
      <c r="H165" s="78" t="n">
        <v>114.3</v>
      </c>
      <c r="I165" s="14" t="n">
        <v>0.337</v>
      </c>
      <c r="J165" s="78" t="n">
        <v>8.56</v>
      </c>
      <c r="K165" s="14">
        <f>ROUND((H165-J165)*J165*IF(B165="Carbon Steel",$K$7,IF(B165="Stainless Steel 304",$K$8,$L$8)), 3)</f>
        <v/>
      </c>
      <c r="L165" s="78">
        <f>ROUND(K165*$G$5, 2)</f>
        <v/>
      </c>
      <c r="M165" s="93">
        <f>INT($G$6/H165)</f>
        <v/>
      </c>
      <c r="N165" s="93">
        <f>IF(M165=0, 0, IF(OR($K$6="Square Grid", M165=1), INT($G$7/H165), IF($G$7&lt;H165, 0, 1+INT(($G$7-H165)/(0.8660254*H165)))))</f>
        <v/>
      </c>
      <c r="O165" s="59">
        <f>IF(OR(M165=0,N165=0), 0, IF(OR($K$6="Square Grid", M165=1), M165*N165*$K$5, (INT((N165+1)/2)*M165 + INT(N165/2)*IF(($G$6-M165*H165)&gt;=0.5*H165, M165, M165-1))*$K$5))</f>
        <v/>
      </c>
      <c r="P165" s="59">
        <f>IF(L165&lt;=0, 0, INT($G$8/L165))</f>
        <v/>
      </c>
      <c r="Q165" s="95">
        <f>MIN(O165, P165)</f>
        <v/>
      </c>
      <c r="R165" s="96">
        <f>ROUND((Q165*L165)/1000, 2)</f>
        <v/>
      </c>
      <c r="S165" s="79">
        <f>IF($C$8&gt;0, R165/$C$8, 0)</f>
        <v/>
      </c>
      <c r="T165" s="79">
        <f>IF(O165&gt;0, Q165/O165, 0)</f>
        <v/>
      </c>
      <c r="U165" s="12">
        <f>IF(Q165=0, "Exceeds Limit", IF(P165&lt;=O165, "Weight Limited", "Volume Limited"))</f>
        <v/>
      </c>
      <c r="V165" s="97">
        <f>B165&amp;"|"&amp;D165&amp;"|"&amp;F165</f>
        <v/>
      </c>
    </row>
    <row r="166" ht="19" customHeight="1">
      <c r="A166" s="98" t="n">
        <v>156</v>
      </c>
      <c r="B166" s="99" t="inlineStr">
        <is>
          <t>Carbon Steel</t>
        </is>
      </c>
      <c r="C166" s="19" t="inlineStr">
        <is>
          <t>ASME B36.10M / B36.19M</t>
        </is>
      </c>
      <c r="D166" s="18" t="inlineStr">
        <is>
          <t>4''</t>
        </is>
      </c>
      <c r="E166" s="98" t="n">
        <v>100</v>
      </c>
      <c r="F166" s="18" t="inlineStr">
        <is>
          <t>120</t>
        </is>
      </c>
      <c r="G166" s="20" t="n">
        <v>4.5</v>
      </c>
      <c r="H166" s="82" t="n">
        <v>114.3</v>
      </c>
      <c r="I166" s="20" t="n">
        <v>0.438</v>
      </c>
      <c r="J166" s="82" t="n">
        <v>11.13</v>
      </c>
      <c r="K166" s="20">
        <f>ROUND((H166-J166)*J166*IF(B166="Carbon Steel",$K$7,IF(B166="Stainless Steel 304",$K$8,$L$8)), 3)</f>
        <v/>
      </c>
      <c r="L166" s="82">
        <f>ROUND(K166*$G$5, 2)</f>
        <v/>
      </c>
      <c r="M166" s="98">
        <f>INT($G$6/H166)</f>
        <v/>
      </c>
      <c r="N166" s="98">
        <f>IF(M166=0, 0, IF(OR($K$6="Square Grid", M166=1), INT($G$7/H166), IF($G$7&lt;H166, 0, 1+INT(($G$7-H166)/(0.8660254*H166)))))</f>
        <v/>
      </c>
      <c r="O166" s="84">
        <f>IF(OR(M166=0,N166=0), 0, IF(OR($K$6="Square Grid", M166=1), M166*N166*$K$5, (INT((N166+1)/2)*M166 + INT(N166/2)*IF(($G$6-M166*H166)&gt;=0.5*H166, M166, M166-1))*$K$5))</f>
        <v/>
      </c>
      <c r="P166" s="84">
        <f>IF(L166&lt;=0, 0, INT($G$8/L166))</f>
        <v/>
      </c>
      <c r="Q166" s="95">
        <f>MIN(O166, P166)</f>
        <v/>
      </c>
      <c r="R166" s="96">
        <f>ROUND((Q166*L166)/1000, 2)</f>
        <v/>
      </c>
      <c r="S166" s="85">
        <f>IF($C$8&gt;0, R166/$C$8, 0)</f>
        <v/>
      </c>
      <c r="T166" s="85">
        <f>IF(O166&gt;0, Q166/O166, 0)</f>
        <v/>
      </c>
      <c r="U166" s="18">
        <f>IF(Q166=0, "Exceeds Limit", IF(P166&lt;=O166, "Weight Limited", "Volume Limited"))</f>
        <v/>
      </c>
      <c r="V166" s="100">
        <f>B166&amp;"|"&amp;D166&amp;"|"&amp;F166</f>
        <v/>
      </c>
    </row>
    <row r="167" ht="19" customHeight="1">
      <c r="A167" s="93" t="n">
        <v>157</v>
      </c>
      <c r="B167" s="94" t="inlineStr">
        <is>
          <t>Carbon Steel</t>
        </is>
      </c>
      <c r="C167" s="13" t="inlineStr">
        <is>
          <t>ASME B36.10M / B36.19M</t>
        </is>
      </c>
      <c r="D167" s="12" t="inlineStr">
        <is>
          <t>4''</t>
        </is>
      </c>
      <c r="E167" s="93" t="n">
        <v>100</v>
      </c>
      <c r="F167" s="12" t="inlineStr">
        <is>
          <t>160</t>
        </is>
      </c>
      <c r="G167" s="14" t="n">
        <v>4.5</v>
      </c>
      <c r="H167" s="78" t="n">
        <v>114.3</v>
      </c>
      <c r="I167" s="14" t="n">
        <v>0.531</v>
      </c>
      <c r="J167" s="78" t="n">
        <v>13.49</v>
      </c>
      <c r="K167" s="14">
        <f>ROUND((H167-J167)*J167*IF(B167="Carbon Steel",$K$7,IF(B167="Stainless Steel 304",$K$8,$L$8)), 3)</f>
        <v/>
      </c>
      <c r="L167" s="78">
        <f>ROUND(K167*$G$5, 2)</f>
        <v/>
      </c>
      <c r="M167" s="93">
        <f>INT($G$6/H167)</f>
        <v/>
      </c>
      <c r="N167" s="93">
        <f>IF(M167=0, 0, IF(OR($K$6="Square Grid", M167=1), INT($G$7/H167), IF($G$7&lt;H167, 0, 1+INT(($G$7-H167)/(0.8660254*H167)))))</f>
        <v/>
      </c>
      <c r="O167" s="59">
        <f>IF(OR(M167=0,N167=0), 0, IF(OR($K$6="Square Grid", M167=1), M167*N167*$K$5, (INT((N167+1)/2)*M167 + INT(N167/2)*IF(($G$6-M167*H167)&gt;=0.5*H167, M167, M167-1))*$K$5))</f>
        <v/>
      </c>
      <c r="P167" s="59">
        <f>IF(L167&lt;=0, 0, INT($G$8/L167))</f>
        <v/>
      </c>
      <c r="Q167" s="95">
        <f>MIN(O167, P167)</f>
        <v/>
      </c>
      <c r="R167" s="96">
        <f>ROUND((Q167*L167)/1000, 2)</f>
        <v/>
      </c>
      <c r="S167" s="79">
        <f>IF($C$8&gt;0, R167/$C$8, 0)</f>
        <v/>
      </c>
      <c r="T167" s="79">
        <f>IF(O167&gt;0, Q167/O167, 0)</f>
        <v/>
      </c>
      <c r="U167" s="12">
        <f>IF(Q167=0, "Exceeds Limit", IF(P167&lt;=O167, "Weight Limited", "Volume Limited"))</f>
        <v/>
      </c>
      <c r="V167" s="97">
        <f>B167&amp;"|"&amp;D167&amp;"|"&amp;F167</f>
        <v/>
      </c>
    </row>
    <row r="168" ht="19" customHeight="1">
      <c r="A168" s="98" t="n">
        <v>158</v>
      </c>
      <c r="B168" s="99" t="inlineStr">
        <is>
          <t>Carbon Steel</t>
        </is>
      </c>
      <c r="C168" s="19" t="inlineStr">
        <is>
          <t>ASME B36.10M / B36.19M</t>
        </is>
      </c>
      <c r="D168" s="18" t="inlineStr">
        <is>
          <t>4''</t>
        </is>
      </c>
      <c r="E168" s="98" t="n">
        <v>100</v>
      </c>
      <c r="F168" s="18" t="inlineStr">
        <is>
          <t>XXS</t>
        </is>
      </c>
      <c r="G168" s="20" t="n">
        <v>4.5</v>
      </c>
      <c r="H168" s="82" t="n">
        <v>114.3</v>
      </c>
      <c r="I168" s="20" t="n">
        <v>0.674</v>
      </c>
      <c r="J168" s="82" t="n">
        <v>17.12</v>
      </c>
      <c r="K168" s="20">
        <f>ROUND((H168-J168)*J168*IF(B168="Carbon Steel",$K$7,IF(B168="Stainless Steel 304",$K$8,$L$8)), 3)</f>
        <v/>
      </c>
      <c r="L168" s="82">
        <f>ROUND(K168*$G$5, 2)</f>
        <v/>
      </c>
      <c r="M168" s="98">
        <f>INT($G$6/H168)</f>
        <v/>
      </c>
      <c r="N168" s="98">
        <f>IF(M168=0, 0, IF(OR($K$6="Square Grid", M168=1), INT($G$7/H168), IF($G$7&lt;H168, 0, 1+INT(($G$7-H168)/(0.8660254*H168)))))</f>
        <v/>
      </c>
      <c r="O168" s="84">
        <f>IF(OR(M168=0,N168=0), 0, IF(OR($K$6="Square Grid", M168=1), M168*N168*$K$5, (INT((N168+1)/2)*M168 + INT(N168/2)*IF(($G$6-M168*H168)&gt;=0.5*H168, M168, M168-1))*$K$5))</f>
        <v/>
      </c>
      <c r="P168" s="84">
        <f>IF(L168&lt;=0, 0, INT($G$8/L168))</f>
        <v/>
      </c>
      <c r="Q168" s="95">
        <f>MIN(O168, P168)</f>
        <v/>
      </c>
      <c r="R168" s="96">
        <f>ROUND((Q168*L168)/1000, 2)</f>
        <v/>
      </c>
      <c r="S168" s="85">
        <f>IF($C$8&gt;0, R168/$C$8, 0)</f>
        <v/>
      </c>
      <c r="T168" s="85">
        <f>IF(O168&gt;0, Q168/O168, 0)</f>
        <v/>
      </c>
      <c r="U168" s="18">
        <f>IF(Q168=0, "Exceeds Limit", IF(P168&lt;=O168, "Weight Limited", "Volume Limited"))</f>
        <v/>
      </c>
      <c r="V168" s="100">
        <f>B168&amp;"|"&amp;D168&amp;"|"&amp;F168</f>
        <v/>
      </c>
    </row>
    <row r="169" ht="19" customHeight="1">
      <c r="A169" s="93" t="n">
        <v>159</v>
      </c>
      <c r="B169" s="94" t="inlineStr">
        <is>
          <t>Carbon Steel</t>
        </is>
      </c>
      <c r="C169" s="13" t="inlineStr">
        <is>
          <t>ASME B36.10M / B36.19M</t>
        </is>
      </c>
      <c r="D169" s="12" t="inlineStr">
        <is>
          <t>5''</t>
        </is>
      </c>
      <c r="E169" s="93" t="n">
        <v>125</v>
      </c>
      <c r="F169" s="12" t="inlineStr">
        <is>
          <t>5S</t>
        </is>
      </c>
      <c r="G169" s="14" t="n">
        <v>5.563</v>
      </c>
      <c r="H169" s="78" t="n">
        <v>141.3</v>
      </c>
      <c r="I169" s="14" t="n">
        <v>0.109</v>
      </c>
      <c r="J169" s="78" t="n">
        <v>2.77</v>
      </c>
      <c r="K169" s="14">
        <f>ROUND((H169-J169)*J169*IF(B169="Carbon Steel",$K$7,IF(B169="Stainless Steel 304",$K$8,$L$8)), 3)</f>
        <v/>
      </c>
      <c r="L169" s="78">
        <f>ROUND(K169*$G$5, 2)</f>
        <v/>
      </c>
      <c r="M169" s="93">
        <f>INT($G$6/H169)</f>
        <v/>
      </c>
      <c r="N169" s="93">
        <f>IF(M169=0, 0, IF(OR($K$6="Square Grid", M169=1), INT($G$7/H169), IF($G$7&lt;H169, 0, 1+INT(($G$7-H169)/(0.8660254*H169)))))</f>
        <v/>
      </c>
      <c r="O169" s="59">
        <f>IF(OR(M169=0,N169=0), 0, IF(OR($K$6="Square Grid", M169=1), M169*N169*$K$5, (INT((N169+1)/2)*M169 + INT(N169/2)*IF(($G$6-M169*H169)&gt;=0.5*H169, M169, M169-1))*$K$5))</f>
        <v/>
      </c>
      <c r="P169" s="59">
        <f>IF(L169&lt;=0, 0, INT($G$8/L169))</f>
        <v/>
      </c>
      <c r="Q169" s="95">
        <f>MIN(O169, P169)</f>
        <v/>
      </c>
      <c r="R169" s="96">
        <f>ROUND((Q169*L169)/1000, 2)</f>
        <v/>
      </c>
      <c r="S169" s="79">
        <f>IF($C$8&gt;0, R169/$C$8, 0)</f>
        <v/>
      </c>
      <c r="T169" s="79">
        <f>IF(O169&gt;0, Q169/O169, 0)</f>
        <v/>
      </c>
      <c r="U169" s="12">
        <f>IF(Q169=0, "Exceeds Limit", IF(P169&lt;=O169, "Weight Limited", "Volume Limited"))</f>
        <v/>
      </c>
      <c r="V169" s="97">
        <f>B169&amp;"|"&amp;D169&amp;"|"&amp;F169</f>
        <v/>
      </c>
    </row>
    <row r="170" ht="19" customHeight="1">
      <c r="A170" s="98" t="n">
        <v>160</v>
      </c>
      <c r="B170" s="99" t="inlineStr">
        <is>
          <t>Carbon Steel</t>
        </is>
      </c>
      <c r="C170" s="19" t="inlineStr">
        <is>
          <t>ASME B36.10M / B36.19M</t>
        </is>
      </c>
      <c r="D170" s="18" t="inlineStr">
        <is>
          <t>5''</t>
        </is>
      </c>
      <c r="E170" s="98" t="n">
        <v>125</v>
      </c>
      <c r="F170" s="18" t="inlineStr">
        <is>
          <t>5</t>
        </is>
      </c>
      <c r="G170" s="20" t="n">
        <v>5.563</v>
      </c>
      <c r="H170" s="82" t="n">
        <v>141.3</v>
      </c>
      <c r="I170" s="20" t="n">
        <v>0.109</v>
      </c>
      <c r="J170" s="82" t="n">
        <v>2.77</v>
      </c>
      <c r="K170" s="20">
        <f>ROUND((H170-J170)*J170*IF(B170="Carbon Steel",$K$7,IF(B170="Stainless Steel 304",$K$8,$L$8)), 3)</f>
        <v/>
      </c>
      <c r="L170" s="82">
        <f>ROUND(K170*$G$5, 2)</f>
        <v/>
      </c>
      <c r="M170" s="98">
        <f>INT($G$6/H170)</f>
        <v/>
      </c>
      <c r="N170" s="98">
        <f>IF(M170=0, 0, IF(OR($K$6="Square Grid", M170=1), INT($G$7/H170), IF($G$7&lt;H170, 0, 1+INT(($G$7-H170)/(0.8660254*H170)))))</f>
        <v/>
      </c>
      <c r="O170" s="84">
        <f>IF(OR(M170=0,N170=0), 0, IF(OR($K$6="Square Grid", M170=1), M170*N170*$K$5, (INT((N170+1)/2)*M170 + INT(N170/2)*IF(($G$6-M170*H170)&gt;=0.5*H170, M170, M170-1))*$K$5))</f>
        <v/>
      </c>
      <c r="P170" s="84">
        <f>IF(L170&lt;=0, 0, INT($G$8/L170))</f>
        <v/>
      </c>
      <c r="Q170" s="95">
        <f>MIN(O170, P170)</f>
        <v/>
      </c>
      <c r="R170" s="96">
        <f>ROUND((Q170*L170)/1000, 2)</f>
        <v/>
      </c>
      <c r="S170" s="85">
        <f>IF($C$8&gt;0, R170/$C$8, 0)</f>
        <v/>
      </c>
      <c r="T170" s="85">
        <f>IF(O170&gt;0, Q170/O170, 0)</f>
        <v/>
      </c>
      <c r="U170" s="18">
        <f>IF(Q170=0, "Exceeds Limit", IF(P170&lt;=O170, "Weight Limited", "Volume Limited"))</f>
        <v/>
      </c>
      <c r="V170" s="100">
        <f>B170&amp;"|"&amp;D170&amp;"|"&amp;F170</f>
        <v/>
      </c>
    </row>
    <row r="171" ht="19" customHeight="1">
      <c r="A171" s="93" t="n">
        <v>161</v>
      </c>
      <c r="B171" s="94" t="inlineStr">
        <is>
          <t>Carbon Steel</t>
        </is>
      </c>
      <c r="C171" s="13" t="inlineStr">
        <is>
          <t>ASME B36.10M / B36.19M</t>
        </is>
      </c>
      <c r="D171" s="12" t="inlineStr">
        <is>
          <t>5''</t>
        </is>
      </c>
      <c r="E171" s="93" t="n">
        <v>125</v>
      </c>
      <c r="F171" s="12" t="inlineStr">
        <is>
          <t>10S</t>
        </is>
      </c>
      <c r="G171" s="14" t="n">
        <v>5.563</v>
      </c>
      <c r="H171" s="78" t="n">
        <v>141.3</v>
      </c>
      <c r="I171" s="14" t="n">
        <v>0.134</v>
      </c>
      <c r="J171" s="78" t="n">
        <v>3.4</v>
      </c>
      <c r="K171" s="14">
        <f>ROUND((H171-J171)*J171*IF(B171="Carbon Steel",$K$7,IF(B171="Stainless Steel 304",$K$8,$L$8)), 3)</f>
        <v/>
      </c>
      <c r="L171" s="78">
        <f>ROUND(K171*$G$5, 2)</f>
        <v/>
      </c>
      <c r="M171" s="93">
        <f>INT($G$6/H171)</f>
        <v/>
      </c>
      <c r="N171" s="93">
        <f>IF(M171=0, 0, IF(OR($K$6="Square Grid", M171=1), INT($G$7/H171), IF($G$7&lt;H171, 0, 1+INT(($G$7-H171)/(0.8660254*H171)))))</f>
        <v/>
      </c>
      <c r="O171" s="59">
        <f>IF(OR(M171=0,N171=0), 0, IF(OR($K$6="Square Grid", M171=1), M171*N171*$K$5, (INT((N171+1)/2)*M171 + INT(N171/2)*IF(($G$6-M171*H171)&gt;=0.5*H171, M171, M171-1))*$K$5))</f>
        <v/>
      </c>
      <c r="P171" s="59">
        <f>IF(L171&lt;=0, 0, INT($G$8/L171))</f>
        <v/>
      </c>
      <c r="Q171" s="95">
        <f>MIN(O171, P171)</f>
        <v/>
      </c>
      <c r="R171" s="96">
        <f>ROUND((Q171*L171)/1000, 2)</f>
        <v/>
      </c>
      <c r="S171" s="79">
        <f>IF($C$8&gt;0, R171/$C$8, 0)</f>
        <v/>
      </c>
      <c r="T171" s="79">
        <f>IF(O171&gt;0, Q171/O171, 0)</f>
        <v/>
      </c>
      <c r="U171" s="12">
        <f>IF(Q171=0, "Exceeds Limit", IF(P171&lt;=O171, "Weight Limited", "Volume Limited"))</f>
        <v/>
      </c>
      <c r="V171" s="97">
        <f>B171&amp;"|"&amp;D171&amp;"|"&amp;F171</f>
        <v/>
      </c>
    </row>
    <row r="172" ht="19" customHeight="1">
      <c r="A172" s="98" t="n">
        <v>162</v>
      </c>
      <c r="B172" s="99" t="inlineStr">
        <is>
          <t>Carbon Steel</t>
        </is>
      </c>
      <c r="C172" s="19" t="inlineStr">
        <is>
          <t>ASME B36.10M / B36.19M</t>
        </is>
      </c>
      <c r="D172" s="18" t="inlineStr">
        <is>
          <t>5''</t>
        </is>
      </c>
      <c r="E172" s="98" t="n">
        <v>125</v>
      </c>
      <c r="F172" s="18" t="inlineStr">
        <is>
          <t>10</t>
        </is>
      </c>
      <c r="G172" s="20" t="n">
        <v>5.563</v>
      </c>
      <c r="H172" s="82" t="n">
        <v>141.3</v>
      </c>
      <c r="I172" s="20" t="n">
        <v>0.134</v>
      </c>
      <c r="J172" s="82" t="n">
        <v>3.4</v>
      </c>
      <c r="K172" s="20">
        <f>ROUND((H172-J172)*J172*IF(B172="Carbon Steel",$K$7,IF(B172="Stainless Steel 304",$K$8,$L$8)), 3)</f>
        <v/>
      </c>
      <c r="L172" s="82">
        <f>ROUND(K172*$G$5, 2)</f>
        <v/>
      </c>
      <c r="M172" s="98">
        <f>INT($G$6/H172)</f>
        <v/>
      </c>
      <c r="N172" s="98">
        <f>IF(M172=0, 0, IF(OR($K$6="Square Grid", M172=1), INT($G$7/H172), IF($G$7&lt;H172, 0, 1+INT(($G$7-H172)/(0.8660254*H172)))))</f>
        <v/>
      </c>
      <c r="O172" s="84">
        <f>IF(OR(M172=0,N172=0), 0, IF(OR($K$6="Square Grid", M172=1), M172*N172*$K$5, (INT((N172+1)/2)*M172 + INT(N172/2)*IF(($G$6-M172*H172)&gt;=0.5*H172, M172, M172-1))*$K$5))</f>
        <v/>
      </c>
      <c r="P172" s="84">
        <f>IF(L172&lt;=0, 0, INT($G$8/L172))</f>
        <v/>
      </c>
      <c r="Q172" s="95">
        <f>MIN(O172, P172)</f>
        <v/>
      </c>
      <c r="R172" s="96">
        <f>ROUND((Q172*L172)/1000, 2)</f>
        <v/>
      </c>
      <c r="S172" s="85">
        <f>IF($C$8&gt;0, R172/$C$8, 0)</f>
        <v/>
      </c>
      <c r="T172" s="85">
        <f>IF(O172&gt;0, Q172/O172, 0)</f>
        <v/>
      </c>
      <c r="U172" s="18">
        <f>IF(Q172=0, "Exceeds Limit", IF(P172&lt;=O172, "Weight Limited", "Volume Limited"))</f>
        <v/>
      </c>
      <c r="V172" s="100">
        <f>B172&amp;"|"&amp;D172&amp;"|"&amp;F172</f>
        <v/>
      </c>
    </row>
    <row r="173" ht="19" customHeight="1">
      <c r="A173" s="93" t="n">
        <v>163</v>
      </c>
      <c r="B173" s="94" t="inlineStr">
        <is>
          <t>Carbon Steel</t>
        </is>
      </c>
      <c r="C173" s="13" t="inlineStr">
        <is>
          <t>ASME B36.10M / B36.19M</t>
        </is>
      </c>
      <c r="D173" s="12" t="inlineStr">
        <is>
          <t>5''</t>
        </is>
      </c>
      <c r="E173" s="93" t="n">
        <v>125</v>
      </c>
      <c r="F173" s="12" t="inlineStr">
        <is>
          <t>40S</t>
        </is>
      </c>
      <c r="G173" s="14" t="n">
        <v>5.563</v>
      </c>
      <c r="H173" s="78" t="n">
        <v>141.3</v>
      </c>
      <c r="I173" s="14" t="n">
        <v>0.258</v>
      </c>
      <c r="J173" s="78" t="n">
        <v>6.55</v>
      </c>
      <c r="K173" s="14">
        <f>ROUND((H173-J173)*J173*IF(B173="Carbon Steel",$K$7,IF(B173="Stainless Steel 304",$K$8,$L$8)), 3)</f>
        <v/>
      </c>
      <c r="L173" s="78">
        <f>ROUND(K173*$G$5, 2)</f>
        <v/>
      </c>
      <c r="M173" s="93">
        <f>INT($G$6/H173)</f>
        <v/>
      </c>
      <c r="N173" s="93">
        <f>IF(M173=0, 0, IF(OR($K$6="Square Grid", M173=1), INT($G$7/H173), IF($G$7&lt;H173, 0, 1+INT(($G$7-H173)/(0.8660254*H173)))))</f>
        <v/>
      </c>
      <c r="O173" s="59">
        <f>IF(OR(M173=0,N173=0), 0, IF(OR($K$6="Square Grid", M173=1), M173*N173*$K$5, (INT((N173+1)/2)*M173 + INT(N173/2)*IF(($G$6-M173*H173)&gt;=0.5*H173, M173, M173-1))*$K$5))</f>
        <v/>
      </c>
      <c r="P173" s="59">
        <f>IF(L173&lt;=0, 0, INT($G$8/L173))</f>
        <v/>
      </c>
      <c r="Q173" s="95">
        <f>MIN(O173, P173)</f>
        <v/>
      </c>
      <c r="R173" s="96">
        <f>ROUND((Q173*L173)/1000, 2)</f>
        <v/>
      </c>
      <c r="S173" s="79">
        <f>IF($C$8&gt;0, R173/$C$8, 0)</f>
        <v/>
      </c>
      <c r="T173" s="79">
        <f>IF(O173&gt;0, Q173/O173, 0)</f>
        <v/>
      </c>
      <c r="U173" s="12">
        <f>IF(Q173=0, "Exceeds Limit", IF(P173&lt;=O173, "Weight Limited", "Volume Limited"))</f>
        <v/>
      </c>
      <c r="V173" s="97">
        <f>B173&amp;"|"&amp;D173&amp;"|"&amp;F173</f>
        <v/>
      </c>
    </row>
    <row r="174" ht="19" customHeight="1">
      <c r="A174" s="98" t="n">
        <v>164</v>
      </c>
      <c r="B174" s="99" t="inlineStr">
        <is>
          <t>Carbon Steel</t>
        </is>
      </c>
      <c r="C174" s="19" t="inlineStr">
        <is>
          <t>ASME B36.10M / B36.19M</t>
        </is>
      </c>
      <c r="D174" s="18" t="inlineStr">
        <is>
          <t>5''</t>
        </is>
      </c>
      <c r="E174" s="98" t="n">
        <v>125</v>
      </c>
      <c r="F174" s="18" t="inlineStr">
        <is>
          <t>STD</t>
        </is>
      </c>
      <c r="G174" s="20" t="n">
        <v>5.563</v>
      </c>
      <c r="H174" s="82" t="n">
        <v>141.3</v>
      </c>
      <c r="I174" s="20" t="n">
        <v>0.258</v>
      </c>
      <c r="J174" s="82" t="n">
        <v>6.55</v>
      </c>
      <c r="K174" s="20">
        <f>ROUND((H174-J174)*J174*IF(B174="Carbon Steel",$K$7,IF(B174="Stainless Steel 304",$K$8,$L$8)), 3)</f>
        <v/>
      </c>
      <c r="L174" s="82">
        <f>ROUND(K174*$G$5, 2)</f>
        <v/>
      </c>
      <c r="M174" s="98">
        <f>INT($G$6/H174)</f>
        <v/>
      </c>
      <c r="N174" s="98">
        <f>IF(M174=0, 0, IF(OR($K$6="Square Grid", M174=1), INT($G$7/H174), IF($G$7&lt;H174, 0, 1+INT(($G$7-H174)/(0.8660254*H174)))))</f>
        <v/>
      </c>
      <c r="O174" s="84">
        <f>IF(OR(M174=0,N174=0), 0, IF(OR($K$6="Square Grid", M174=1), M174*N174*$K$5, (INT((N174+1)/2)*M174 + INT(N174/2)*IF(($G$6-M174*H174)&gt;=0.5*H174, M174, M174-1))*$K$5))</f>
        <v/>
      </c>
      <c r="P174" s="84">
        <f>IF(L174&lt;=0, 0, INT($G$8/L174))</f>
        <v/>
      </c>
      <c r="Q174" s="95">
        <f>MIN(O174, P174)</f>
        <v/>
      </c>
      <c r="R174" s="96">
        <f>ROUND((Q174*L174)/1000, 2)</f>
        <v/>
      </c>
      <c r="S174" s="85">
        <f>IF($C$8&gt;0, R174/$C$8, 0)</f>
        <v/>
      </c>
      <c r="T174" s="85">
        <f>IF(O174&gt;0, Q174/O174, 0)</f>
        <v/>
      </c>
      <c r="U174" s="18">
        <f>IF(Q174=0, "Exceeds Limit", IF(P174&lt;=O174, "Weight Limited", "Volume Limited"))</f>
        <v/>
      </c>
      <c r="V174" s="100">
        <f>B174&amp;"|"&amp;D174&amp;"|"&amp;F174</f>
        <v/>
      </c>
    </row>
    <row r="175" ht="19" customHeight="1">
      <c r="A175" s="93" t="n">
        <v>165</v>
      </c>
      <c r="B175" s="94" t="inlineStr">
        <is>
          <t>Carbon Steel</t>
        </is>
      </c>
      <c r="C175" s="13" t="inlineStr">
        <is>
          <t>ASME B36.10M / B36.19M</t>
        </is>
      </c>
      <c r="D175" s="12" t="inlineStr">
        <is>
          <t>5''</t>
        </is>
      </c>
      <c r="E175" s="93" t="n">
        <v>125</v>
      </c>
      <c r="F175" s="12" t="inlineStr">
        <is>
          <t>40</t>
        </is>
      </c>
      <c r="G175" s="14" t="n">
        <v>5.563</v>
      </c>
      <c r="H175" s="78" t="n">
        <v>141.3</v>
      </c>
      <c r="I175" s="14" t="n">
        <v>0.258</v>
      </c>
      <c r="J175" s="78" t="n">
        <v>6.55</v>
      </c>
      <c r="K175" s="14">
        <f>ROUND((H175-J175)*J175*IF(B175="Carbon Steel",$K$7,IF(B175="Stainless Steel 304",$K$8,$L$8)), 3)</f>
        <v/>
      </c>
      <c r="L175" s="78">
        <f>ROUND(K175*$G$5, 2)</f>
        <v/>
      </c>
      <c r="M175" s="93">
        <f>INT($G$6/H175)</f>
        <v/>
      </c>
      <c r="N175" s="93">
        <f>IF(M175=0, 0, IF(OR($K$6="Square Grid", M175=1), INT($G$7/H175), IF($G$7&lt;H175, 0, 1+INT(($G$7-H175)/(0.8660254*H175)))))</f>
        <v/>
      </c>
      <c r="O175" s="59">
        <f>IF(OR(M175=0,N175=0), 0, IF(OR($K$6="Square Grid", M175=1), M175*N175*$K$5, (INT((N175+1)/2)*M175 + INT(N175/2)*IF(($G$6-M175*H175)&gt;=0.5*H175, M175, M175-1))*$K$5))</f>
        <v/>
      </c>
      <c r="P175" s="59">
        <f>IF(L175&lt;=0, 0, INT($G$8/L175))</f>
        <v/>
      </c>
      <c r="Q175" s="95">
        <f>MIN(O175, P175)</f>
        <v/>
      </c>
      <c r="R175" s="96">
        <f>ROUND((Q175*L175)/1000, 2)</f>
        <v/>
      </c>
      <c r="S175" s="79">
        <f>IF($C$8&gt;0, R175/$C$8, 0)</f>
        <v/>
      </c>
      <c r="T175" s="79">
        <f>IF(O175&gt;0, Q175/O175, 0)</f>
        <v/>
      </c>
      <c r="U175" s="12">
        <f>IF(Q175=0, "Exceeds Limit", IF(P175&lt;=O175, "Weight Limited", "Volume Limited"))</f>
        <v/>
      </c>
      <c r="V175" s="97">
        <f>B175&amp;"|"&amp;D175&amp;"|"&amp;F175</f>
        <v/>
      </c>
    </row>
    <row r="176" ht="19" customHeight="1">
      <c r="A176" s="98" t="n">
        <v>166</v>
      </c>
      <c r="B176" s="99" t="inlineStr">
        <is>
          <t>Carbon Steel</t>
        </is>
      </c>
      <c r="C176" s="19" t="inlineStr">
        <is>
          <t>ASME B36.10M / B36.19M</t>
        </is>
      </c>
      <c r="D176" s="18" t="inlineStr">
        <is>
          <t>5''</t>
        </is>
      </c>
      <c r="E176" s="98" t="n">
        <v>125</v>
      </c>
      <c r="F176" s="18" t="inlineStr">
        <is>
          <t>80S</t>
        </is>
      </c>
      <c r="G176" s="20" t="n">
        <v>5.563</v>
      </c>
      <c r="H176" s="82" t="n">
        <v>141.3</v>
      </c>
      <c r="I176" s="20" t="n">
        <v>0.375</v>
      </c>
      <c r="J176" s="82" t="n">
        <v>9.52</v>
      </c>
      <c r="K176" s="20">
        <f>ROUND((H176-J176)*J176*IF(B176="Carbon Steel",$K$7,IF(B176="Stainless Steel 304",$K$8,$L$8)), 3)</f>
        <v/>
      </c>
      <c r="L176" s="82">
        <f>ROUND(K176*$G$5, 2)</f>
        <v/>
      </c>
      <c r="M176" s="98">
        <f>INT($G$6/H176)</f>
        <v/>
      </c>
      <c r="N176" s="98">
        <f>IF(M176=0, 0, IF(OR($K$6="Square Grid", M176=1), INT($G$7/H176), IF($G$7&lt;H176, 0, 1+INT(($G$7-H176)/(0.8660254*H176)))))</f>
        <v/>
      </c>
      <c r="O176" s="84">
        <f>IF(OR(M176=0,N176=0), 0, IF(OR($K$6="Square Grid", M176=1), M176*N176*$K$5, (INT((N176+1)/2)*M176 + INT(N176/2)*IF(($G$6-M176*H176)&gt;=0.5*H176, M176, M176-1))*$K$5))</f>
        <v/>
      </c>
      <c r="P176" s="84">
        <f>IF(L176&lt;=0, 0, INT($G$8/L176))</f>
        <v/>
      </c>
      <c r="Q176" s="95">
        <f>MIN(O176, P176)</f>
        <v/>
      </c>
      <c r="R176" s="96">
        <f>ROUND((Q176*L176)/1000, 2)</f>
        <v/>
      </c>
      <c r="S176" s="85">
        <f>IF($C$8&gt;0, R176/$C$8, 0)</f>
        <v/>
      </c>
      <c r="T176" s="85">
        <f>IF(O176&gt;0, Q176/O176, 0)</f>
        <v/>
      </c>
      <c r="U176" s="18">
        <f>IF(Q176=0, "Exceeds Limit", IF(P176&lt;=O176, "Weight Limited", "Volume Limited"))</f>
        <v/>
      </c>
      <c r="V176" s="100">
        <f>B176&amp;"|"&amp;D176&amp;"|"&amp;F176</f>
        <v/>
      </c>
    </row>
    <row r="177" ht="19" customHeight="1">
      <c r="A177" s="93" t="n">
        <v>167</v>
      </c>
      <c r="B177" s="94" t="inlineStr">
        <is>
          <t>Carbon Steel</t>
        </is>
      </c>
      <c r="C177" s="13" t="inlineStr">
        <is>
          <t>ASME B36.10M / B36.19M</t>
        </is>
      </c>
      <c r="D177" s="12" t="inlineStr">
        <is>
          <t>5''</t>
        </is>
      </c>
      <c r="E177" s="93" t="n">
        <v>125</v>
      </c>
      <c r="F177" s="12" t="inlineStr">
        <is>
          <t>XS</t>
        </is>
      </c>
      <c r="G177" s="14" t="n">
        <v>5.563</v>
      </c>
      <c r="H177" s="78" t="n">
        <v>141.3</v>
      </c>
      <c r="I177" s="14" t="n">
        <v>0.375</v>
      </c>
      <c r="J177" s="78" t="n">
        <v>9.52</v>
      </c>
      <c r="K177" s="14">
        <f>ROUND((H177-J177)*J177*IF(B177="Carbon Steel",$K$7,IF(B177="Stainless Steel 304",$K$8,$L$8)), 3)</f>
        <v/>
      </c>
      <c r="L177" s="78">
        <f>ROUND(K177*$G$5, 2)</f>
        <v/>
      </c>
      <c r="M177" s="93">
        <f>INT($G$6/H177)</f>
        <v/>
      </c>
      <c r="N177" s="93">
        <f>IF(M177=0, 0, IF(OR($K$6="Square Grid", M177=1), INT($G$7/H177), IF($G$7&lt;H177, 0, 1+INT(($G$7-H177)/(0.8660254*H177)))))</f>
        <v/>
      </c>
      <c r="O177" s="59">
        <f>IF(OR(M177=0,N177=0), 0, IF(OR($K$6="Square Grid", M177=1), M177*N177*$K$5, (INT((N177+1)/2)*M177 + INT(N177/2)*IF(($G$6-M177*H177)&gt;=0.5*H177, M177, M177-1))*$K$5))</f>
        <v/>
      </c>
      <c r="P177" s="59">
        <f>IF(L177&lt;=0, 0, INT($G$8/L177))</f>
        <v/>
      </c>
      <c r="Q177" s="95">
        <f>MIN(O177, P177)</f>
        <v/>
      </c>
      <c r="R177" s="96">
        <f>ROUND((Q177*L177)/1000, 2)</f>
        <v/>
      </c>
      <c r="S177" s="79">
        <f>IF($C$8&gt;0, R177/$C$8, 0)</f>
        <v/>
      </c>
      <c r="T177" s="79">
        <f>IF(O177&gt;0, Q177/O177, 0)</f>
        <v/>
      </c>
      <c r="U177" s="12">
        <f>IF(Q177=0, "Exceeds Limit", IF(P177&lt;=O177, "Weight Limited", "Volume Limited"))</f>
        <v/>
      </c>
      <c r="V177" s="97">
        <f>B177&amp;"|"&amp;D177&amp;"|"&amp;F177</f>
        <v/>
      </c>
    </row>
    <row r="178" ht="19" customHeight="1">
      <c r="A178" s="98" t="n">
        <v>168</v>
      </c>
      <c r="B178" s="99" t="inlineStr">
        <is>
          <t>Carbon Steel</t>
        </is>
      </c>
      <c r="C178" s="19" t="inlineStr">
        <is>
          <t>ASME B36.10M / B36.19M</t>
        </is>
      </c>
      <c r="D178" s="18" t="inlineStr">
        <is>
          <t>5''</t>
        </is>
      </c>
      <c r="E178" s="98" t="n">
        <v>125</v>
      </c>
      <c r="F178" s="18" t="inlineStr">
        <is>
          <t>80</t>
        </is>
      </c>
      <c r="G178" s="20" t="n">
        <v>5.563</v>
      </c>
      <c r="H178" s="82" t="n">
        <v>141.3</v>
      </c>
      <c r="I178" s="20" t="n">
        <v>0.375</v>
      </c>
      <c r="J178" s="82" t="n">
        <v>9.52</v>
      </c>
      <c r="K178" s="20">
        <f>ROUND((H178-J178)*J178*IF(B178="Carbon Steel",$K$7,IF(B178="Stainless Steel 304",$K$8,$L$8)), 3)</f>
        <v/>
      </c>
      <c r="L178" s="82">
        <f>ROUND(K178*$G$5, 2)</f>
        <v/>
      </c>
      <c r="M178" s="98">
        <f>INT($G$6/H178)</f>
        <v/>
      </c>
      <c r="N178" s="98">
        <f>IF(M178=0, 0, IF(OR($K$6="Square Grid", M178=1), INT($G$7/H178), IF($G$7&lt;H178, 0, 1+INT(($G$7-H178)/(0.8660254*H178)))))</f>
        <v/>
      </c>
      <c r="O178" s="84">
        <f>IF(OR(M178=0,N178=0), 0, IF(OR($K$6="Square Grid", M178=1), M178*N178*$K$5, (INT((N178+1)/2)*M178 + INT(N178/2)*IF(($G$6-M178*H178)&gt;=0.5*H178, M178, M178-1))*$K$5))</f>
        <v/>
      </c>
      <c r="P178" s="84">
        <f>IF(L178&lt;=0, 0, INT($G$8/L178))</f>
        <v/>
      </c>
      <c r="Q178" s="95">
        <f>MIN(O178, P178)</f>
        <v/>
      </c>
      <c r="R178" s="96">
        <f>ROUND((Q178*L178)/1000, 2)</f>
        <v/>
      </c>
      <c r="S178" s="85">
        <f>IF($C$8&gt;0, R178/$C$8, 0)</f>
        <v/>
      </c>
      <c r="T178" s="85">
        <f>IF(O178&gt;0, Q178/O178, 0)</f>
        <v/>
      </c>
      <c r="U178" s="18">
        <f>IF(Q178=0, "Exceeds Limit", IF(P178&lt;=O178, "Weight Limited", "Volume Limited"))</f>
        <v/>
      </c>
      <c r="V178" s="100">
        <f>B178&amp;"|"&amp;D178&amp;"|"&amp;F178</f>
        <v/>
      </c>
    </row>
    <row r="179" ht="19" customHeight="1">
      <c r="A179" s="93" t="n">
        <v>169</v>
      </c>
      <c r="B179" s="94" t="inlineStr">
        <is>
          <t>Carbon Steel</t>
        </is>
      </c>
      <c r="C179" s="13" t="inlineStr">
        <is>
          <t>ASME B36.10M / B36.19M</t>
        </is>
      </c>
      <c r="D179" s="12" t="inlineStr">
        <is>
          <t>5''</t>
        </is>
      </c>
      <c r="E179" s="93" t="n">
        <v>125</v>
      </c>
      <c r="F179" s="12" t="inlineStr">
        <is>
          <t>120</t>
        </is>
      </c>
      <c r="G179" s="14" t="n">
        <v>5.563</v>
      </c>
      <c r="H179" s="78" t="n">
        <v>141.3</v>
      </c>
      <c r="I179" s="14" t="n">
        <v>0.5</v>
      </c>
      <c r="J179" s="78" t="n">
        <v>12.7</v>
      </c>
      <c r="K179" s="14">
        <f>ROUND((H179-J179)*J179*IF(B179="Carbon Steel",$K$7,IF(B179="Stainless Steel 304",$K$8,$L$8)), 3)</f>
        <v/>
      </c>
      <c r="L179" s="78">
        <f>ROUND(K179*$G$5, 2)</f>
        <v/>
      </c>
      <c r="M179" s="93">
        <f>INT($G$6/H179)</f>
        <v/>
      </c>
      <c r="N179" s="93">
        <f>IF(M179=0, 0, IF(OR($K$6="Square Grid", M179=1), INT($G$7/H179), IF($G$7&lt;H179, 0, 1+INT(($G$7-H179)/(0.8660254*H179)))))</f>
        <v/>
      </c>
      <c r="O179" s="59">
        <f>IF(OR(M179=0,N179=0), 0, IF(OR($K$6="Square Grid", M179=1), M179*N179*$K$5, (INT((N179+1)/2)*M179 + INT(N179/2)*IF(($G$6-M179*H179)&gt;=0.5*H179, M179, M179-1))*$K$5))</f>
        <v/>
      </c>
      <c r="P179" s="59">
        <f>IF(L179&lt;=0, 0, INT($G$8/L179))</f>
        <v/>
      </c>
      <c r="Q179" s="95">
        <f>MIN(O179, P179)</f>
        <v/>
      </c>
      <c r="R179" s="96">
        <f>ROUND((Q179*L179)/1000, 2)</f>
        <v/>
      </c>
      <c r="S179" s="79">
        <f>IF($C$8&gt;0, R179/$C$8, 0)</f>
        <v/>
      </c>
      <c r="T179" s="79">
        <f>IF(O179&gt;0, Q179/O179, 0)</f>
        <v/>
      </c>
      <c r="U179" s="12">
        <f>IF(Q179=0, "Exceeds Limit", IF(P179&lt;=O179, "Weight Limited", "Volume Limited"))</f>
        <v/>
      </c>
      <c r="V179" s="97">
        <f>B179&amp;"|"&amp;D179&amp;"|"&amp;F179</f>
        <v/>
      </c>
    </row>
    <row r="180" ht="19" customHeight="1">
      <c r="A180" s="98" t="n">
        <v>170</v>
      </c>
      <c r="B180" s="99" t="inlineStr">
        <is>
          <t>Carbon Steel</t>
        </is>
      </c>
      <c r="C180" s="19" t="inlineStr">
        <is>
          <t>ASME B36.10M / B36.19M</t>
        </is>
      </c>
      <c r="D180" s="18" t="inlineStr">
        <is>
          <t>5''</t>
        </is>
      </c>
      <c r="E180" s="98" t="n">
        <v>125</v>
      </c>
      <c r="F180" s="18" t="inlineStr">
        <is>
          <t>160</t>
        </is>
      </c>
      <c r="G180" s="20" t="n">
        <v>5.563</v>
      </c>
      <c r="H180" s="82" t="n">
        <v>141.3</v>
      </c>
      <c r="I180" s="20" t="n">
        <v>0.625</v>
      </c>
      <c r="J180" s="82" t="n">
        <v>15.88</v>
      </c>
      <c r="K180" s="20">
        <f>ROUND((H180-J180)*J180*IF(B180="Carbon Steel",$K$7,IF(B180="Stainless Steel 304",$K$8,$L$8)), 3)</f>
        <v/>
      </c>
      <c r="L180" s="82">
        <f>ROUND(K180*$G$5, 2)</f>
        <v/>
      </c>
      <c r="M180" s="98">
        <f>INT($G$6/H180)</f>
        <v/>
      </c>
      <c r="N180" s="98">
        <f>IF(M180=0, 0, IF(OR($K$6="Square Grid", M180=1), INT($G$7/H180), IF($G$7&lt;H180, 0, 1+INT(($G$7-H180)/(0.8660254*H180)))))</f>
        <v/>
      </c>
      <c r="O180" s="84">
        <f>IF(OR(M180=0,N180=0), 0, IF(OR($K$6="Square Grid", M180=1), M180*N180*$K$5, (INT((N180+1)/2)*M180 + INT(N180/2)*IF(($G$6-M180*H180)&gt;=0.5*H180, M180, M180-1))*$K$5))</f>
        <v/>
      </c>
      <c r="P180" s="84">
        <f>IF(L180&lt;=0, 0, INT($G$8/L180))</f>
        <v/>
      </c>
      <c r="Q180" s="95">
        <f>MIN(O180, P180)</f>
        <v/>
      </c>
      <c r="R180" s="96">
        <f>ROUND((Q180*L180)/1000, 2)</f>
        <v/>
      </c>
      <c r="S180" s="85">
        <f>IF($C$8&gt;0, R180/$C$8, 0)</f>
        <v/>
      </c>
      <c r="T180" s="85">
        <f>IF(O180&gt;0, Q180/O180, 0)</f>
        <v/>
      </c>
      <c r="U180" s="18">
        <f>IF(Q180=0, "Exceeds Limit", IF(P180&lt;=O180, "Weight Limited", "Volume Limited"))</f>
        <v/>
      </c>
      <c r="V180" s="100">
        <f>B180&amp;"|"&amp;D180&amp;"|"&amp;F180</f>
        <v/>
      </c>
    </row>
    <row r="181" ht="19" customHeight="1">
      <c r="A181" s="93" t="n">
        <v>171</v>
      </c>
      <c r="B181" s="94" t="inlineStr">
        <is>
          <t>Carbon Steel</t>
        </is>
      </c>
      <c r="C181" s="13" t="inlineStr">
        <is>
          <t>ASME B36.10M / B36.19M</t>
        </is>
      </c>
      <c r="D181" s="12" t="inlineStr">
        <is>
          <t>5''</t>
        </is>
      </c>
      <c r="E181" s="93" t="n">
        <v>125</v>
      </c>
      <c r="F181" s="12" t="inlineStr">
        <is>
          <t>XXS</t>
        </is>
      </c>
      <c r="G181" s="14" t="n">
        <v>5.563</v>
      </c>
      <c r="H181" s="78" t="n">
        <v>141.3</v>
      </c>
      <c r="I181" s="14" t="n">
        <v>0.75</v>
      </c>
      <c r="J181" s="78" t="n">
        <v>19.05</v>
      </c>
      <c r="K181" s="14">
        <f>ROUND((H181-J181)*J181*IF(B181="Carbon Steel",$K$7,IF(B181="Stainless Steel 304",$K$8,$L$8)), 3)</f>
        <v/>
      </c>
      <c r="L181" s="78">
        <f>ROUND(K181*$G$5, 2)</f>
        <v/>
      </c>
      <c r="M181" s="93">
        <f>INT($G$6/H181)</f>
        <v/>
      </c>
      <c r="N181" s="93">
        <f>IF(M181=0, 0, IF(OR($K$6="Square Grid", M181=1), INT($G$7/H181), IF($G$7&lt;H181, 0, 1+INT(($G$7-H181)/(0.8660254*H181)))))</f>
        <v/>
      </c>
      <c r="O181" s="59">
        <f>IF(OR(M181=0,N181=0), 0, IF(OR($K$6="Square Grid", M181=1), M181*N181*$K$5, (INT((N181+1)/2)*M181 + INT(N181/2)*IF(($G$6-M181*H181)&gt;=0.5*H181, M181, M181-1))*$K$5))</f>
        <v/>
      </c>
      <c r="P181" s="59">
        <f>IF(L181&lt;=0, 0, INT($G$8/L181))</f>
        <v/>
      </c>
      <c r="Q181" s="95">
        <f>MIN(O181, P181)</f>
        <v/>
      </c>
      <c r="R181" s="96">
        <f>ROUND((Q181*L181)/1000, 2)</f>
        <v/>
      </c>
      <c r="S181" s="79">
        <f>IF($C$8&gt;0, R181/$C$8, 0)</f>
        <v/>
      </c>
      <c r="T181" s="79">
        <f>IF(O181&gt;0, Q181/O181, 0)</f>
        <v/>
      </c>
      <c r="U181" s="12">
        <f>IF(Q181=0, "Exceeds Limit", IF(P181&lt;=O181, "Weight Limited", "Volume Limited"))</f>
        <v/>
      </c>
      <c r="V181" s="97">
        <f>B181&amp;"|"&amp;D181&amp;"|"&amp;F181</f>
        <v/>
      </c>
    </row>
    <row r="182" ht="19" customHeight="1">
      <c r="A182" s="98" t="n">
        <v>172</v>
      </c>
      <c r="B182" s="99" t="inlineStr">
        <is>
          <t>Carbon Steel</t>
        </is>
      </c>
      <c r="C182" s="19" t="inlineStr">
        <is>
          <t>ASME B36.10M / B36.19M</t>
        </is>
      </c>
      <c r="D182" s="18" t="inlineStr">
        <is>
          <t>6''</t>
        </is>
      </c>
      <c r="E182" s="98" t="n">
        <v>150</v>
      </c>
      <c r="F182" s="18" t="inlineStr">
        <is>
          <t>5S</t>
        </is>
      </c>
      <c r="G182" s="20" t="n">
        <v>6.625</v>
      </c>
      <c r="H182" s="82" t="n">
        <v>168.27</v>
      </c>
      <c r="I182" s="20" t="n">
        <v>0.109</v>
      </c>
      <c r="J182" s="82" t="n">
        <v>2.77</v>
      </c>
      <c r="K182" s="20">
        <f>ROUND((H182-J182)*J182*IF(B182="Carbon Steel",$K$7,IF(B182="Stainless Steel 304",$K$8,$L$8)), 3)</f>
        <v/>
      </c>
      <c r="L182" s="82">
        <f>ROUND(K182*$G$5, 2)</f>
        <v/>
      </c>
      <c r="M182" s="98">
        <f>INT($G$6/H182)</f>
        <v/>
      </c>
      <c r="N182" s="98">
        <f>IF(M182=0, 0, IF(OR($K$6="Square Grid", M182=1), INT($G$7/H182), IF($G$7&lt;H182, 0, 1+INT(($G$7-H182)/(0.8660254*H182)))))</f>
        <v/>
      </c>
      <c r="O182" s="84">
        <f>IF(OR(M182=0,N182=0), 0, IF(OR($K$6="Square Grid", M182=1), M182*N182*$K$5, (INT((N182+1)/2)*M182 + INT(N182/2)*IF(($G$6-M182*H182)&gt;=0.5*H182, M182, M182-1))*$K$5))</f>
        <v/>
      </c>
      <c r="P182" s="84">
        <f>IF(L182&lt;=0, 0, INT($G$8/L182))</f>
        <v/>
      </c>
      <c r="Q182" s="95">
        <f>MIN(O182, P182)</f>
        <v/>
      </c>
      <c r="R182" s="96">
        <f>ROUND((Q182*L182)/1000, 2)</f>
        <v/>
      </c>
      <c r="S182" s="85">
        <f>IF($C$8&gt;0, R182/$C$8, 0)</f>
        <v/>
      </c>
      <c r="T182" s="85">
        <f>IF(O182&gt;0, Q182/O182, 0)</f>
        <v/>
      </c>
      <c r="U182" s="18">
        <f>IF(Q182=0, "Exceeds Limit", IF(P182&lt;=O182, "Weight Limited", "Volume Limited"))</f>
        <v/>
      </c>
      <c r="V182" s="100">
        <f>B182&amp;"|"&amp;D182&amp;"|"&amp;F182</f>
        <v/>
      </c>
    </row>
    <row r="183" ht="19" customHeight="1">
      <c r="A183" s="93" t="n">
        <v>173</v>
      </c>
      <c r="B183" s="94" t="inlineStr">
        <is>
          <t>Carbon Steel</t>
        </is>
      </c>
      <c r="C183" s="13" t="inlineStr">
        <is>
          <t>ASME B36.10M / B36.19M</t>
        </is>
      </c>
      <c r="D183" s="12" t="inlineStr">
        <is>
          <t>6''</t>
        </is>
      </c>
      <c r="E183" s="93" t="n">
        <v>150</v>
      </c>
      <c r="F183" s="12" t="inlineStr">
        <is>
          <t>5</t>
        </is>
      </c>
      <c r="G183" s="14" t="n">
        <v>6.625</v>
      </c>
      <c r="H183" s="78" t="n">
        <v>168.27</v>
      </c>
      <c r="I183" s="14" t="n">
        <v>0.109</v>
      </c>
      <c r="J183" s="78" t="n">
        <v>2.77</v>
      </c>
      <c r="K183" s="14">
        <f>ROUND((H183-J183)*J183*IF(B183="Carbon Steel",$K$7,IF(B183="Stainless Steel 304",$K$8,$L$8)), 3)</f>
        <v/>
      </c>
      <c r="L183" s="78">
        <f>ROUND(K183*$G$5, 2)</f>
        <v/>
      </c>
      <c r="M183" s="93">
        <f>INT($G$6/H183)</f>
        <v/>
      </c>
      <c r="N183" s="93">
        <f>IF(M183=0, 0, IF(OR($K$6="Square Grid", M183=1), INT($G$7/H183), IF($G$7&lt;H183, 0, 1+INT(($G$7-H183)/(0.8660254*H183)))))</f>
        <v/>
      </c>
      <c r="O183" s="59">
        <f>IF(OR(M183=0,N183=0), 0, IF(OR($K$6="Square Grid", M183=1), M183*N183*$K$5, (INT((N183+1)/2)*M183 + INT(N183/2)*IF(($G$6-M183*H183)&gt;=0.5*H183, M183, M183-1))*$K$5))</f>
        <v/>
      </c>
      <c r="P183" s="59">
        <f>IF(L183&lt;=0, 0, INT($G$8/L183))</f>
        <v/>
      </c>
      <c r="Q183" s="95">
        <f>MIN(O183, P183)</f>
        <v/>
      </c>
      <c r="R183" s="96">
        <f>ROUND((Q183*L183)/1000, 2)</f>
        <v/>
      </c>
      <c r="S183" s="79">
        <f>IF($C$8&gt;0, R183/$C$8, 0)</f>
        <v/>
      </c>
      <c r="T183" s="79">
        <f>IF(O183&gt;0, Q183/O183, 0)</f>
        <v/>
      </c>
      <c r="U183" s="12">
        <f>IF(Q183=0, "Exceeds Limit", IF(P183&lt;=O183, "Weight Limited", "Volume Limited"))</f>
        <v/>
      </c>
      <c r="V183" s="97">
        <f>B183&amp;"|"&amp;D183&amp;"|"&amp;F183</f>
        <v/>
      </c>
    </row>
    <row r="184" ht="19" customHeight="1">
      <c r="A184" s="98" t="n">
        <v>174</v>
      </c>
      <c r="B184" s="99" t="inlineStr">
        <is>
          <t>Carbon Steel</t>
        </is>
      </c>
      <c r="C184" s="19" t="inlineStr">
        <is>
          <t>ASME B36.10M / B36.19M</t>
        </is>
      </c>
      <c r="D184" s="18" t="inlineStr">
        <is>
          <t>6''</t>
        </is>
      </c>
      <c r="E184" s="98" t="n">
        <v>150</v>
      </c>
      <c r="F184" s="18" t="inlineStr">
        <is>
          <t>10S</t>
        </is>
      </c>
      <c r="G184" s="20" t="n">
        <v>6.625</v>
      </c>
      <c r="H184" s="82" t="n">
        <v>168.27</v>
      </c>
      <c r="I184" s="20" t="n">
        <v>0.134</v>
      </c>
      <c r="J184" s="82" t="n">
        <v>3.4</v>
      </c>
      <c r="K184" s="20">
        <f>ROUND((H184-J184)*J184*IF(B184="Carbon Steel",$K$7,IF(B184="Stainless Steel 304",$K$8,$L$8)), 3)</f>
        <v/>
      </c>
      <c r="L184" s="82">
        <f>ROUND(K184*$G$5, 2)</f>
        <v/>
      </c>
      <c r="M184" s="98">
        <f>INT($G$6/H184)</f>
        <v/>
      </c>
      <c r="N184" s="98">
        <f>IF(M184=0, 0, IF(OR($K$6="Square Grid", M184=1), INT($G$7/H184), IF($G$7&lt;H184, 0, 1+INT(($G$7-H184)/(0.8660254*H184)))))</f>
        <v/>
      </c>
      <c r="O184" s="84">
        <f>IF(OR(M184=0,N184=0), 0, IF(OR($K$6="Square Grid", M184=1), M184*N184*$K$5, (INT((N184+1)/2)*M184 + INT(N184/2)*IF(($G$6-M184*H184)&gt;=0.5*H184, M184, M184-1))*$K$5))</f>
        <v/>
      </c>
      <c r="P184" s="84">
        <f>IF(L184&lt;=0, 0, INT($G$8/L184))</f>
        <v/>
      </c>
      <c r="Q184" s="95">
        <f>MIN(O184, P184)</f>
        <v/>
      </c>
      <c r="R184" s="96">
        <f>ROUND((Q184*L184)/1000, 2)</f>
        <v/>
      </c>
      <c r="S184" s="85">
        <f>IF($C$8&gt;0, R184/$C$8, 0)</f>
        <v/>
      </c>
      <c r="T184" s="85">
        <f>IF(O184&gt;0, Q184/O184, 0)</f>
        <v/>
      </c>
      <c r="U184" s="18">
        <f>IF(Q184=0, "Exceeds Limit", IF(P184&lt;=O184, "Weight Limited", "Volume Limited"))</f>
        <v/>
      </c>
      <c r="V184" s="100">
        <f>B184&amp;"|"&amp;D184&amp;"|"&amp;F184</f>
        <v/>
      </c>
    </row>
    <row r="185" ht="19" customHeight="1">
      <c r="A185" s="93" t="n">
        <v>175</v>
      </c>
      <c r="B185" s="94" t="inlineStr">
        <is>
          <t>Carbon Steel</t>
        </is>
      </c>
      <c r="C185" s="13" t="inlineStr">
        <is>
          <t>ASME B36.10M / B36.19M</t>
        </is>
      </c>
      <c r="D185" s="12" t="inlineStr">
        <is>
          <t>6''</t>
        </is>
      </c>
      <c r="E185" s="93" t="n">
        <v>150</v>
      </c>
      <c r="F185" s="12" t="inlineStr">
        <is>
          <t>10</t>
        </is>
      </c>
      <c r="G185" s="14" t="n">
        <v>6.625</v>
      </c>
      <c r="H185" s="78" t="n">
        <v>168.27</v>
      </c>
      <c r="I185" s="14" t="n">
        <v>0.134</v>
      </c>
      <c r="J185" s="78" t="n">
        <v>3.4</v>
      </c>
      <c r="K185" s="14">
        <f>ROUND((H185-J185)*J185*IF(B185="Carbon Steel",$K$7,IF(B185="Stainless Steel 304",$K$8,$L$8)), 3)</f>
        <v/>
      </c>
      <c r="L185" s="78">
        <f>ROUND(K185*$G$5, 2)</f>
        <v/>
      </c>
      <c r="M185" s="93">
        <f>INT($G$6/H185)</f>
        <v/>
      </c>
      <c r="N185" s="93">
        <f>IF(M185=0, 0, IF(OR($K$6="Square Grid", M185=1), INT($G$7/H185), IF($G$7&lt;H185, 0, 1+INT(($G$7-H185)/(0.8660254*H185)))))</f>
        <v/>
      </c>
      <c r="O185" s="59">
        <f>IF(OR(M185=0,N185=0), 0, IF(OR($K$6="Square Grid", M185=1), M185*N185*$K$5, (INT((N185+1)/2)*M185 + INT(N185/2)*IF(($G$6-M185*H185)&gt;=0.5*H185, M185, M185-1))*$K$5))</f>
        <v/>
      </c>
      <c r="P185" s="59">
        <f>IF(L185&lt;=0, 0, INT($G$8/L185))</f>
        <v/>
      </c>
      <c r="Q185" s="95">
        <f>MIN(O185, P185)</f>
        <v/>
      </c>
      <c r="R185" s="96">
        <f>ROUND((Q185*L185)/1000, 2)</f>
        <v/>
      </c>
      <c r="S185" s="79">
        <f>IF($C$8&gt;0, R185/$C$8, 0)</f>
        <v/>
      </c>
      <c r="T185" s="79">
        <f>IF(O185&gt;0, Q185/O185, 0)</f>
        <v/>
      </c>
      <c r="U185" s="12">
        <f>IF(Q185=0, "Exceeds Limit", IF(P185&lt;=O185, "Weight Limited", "Volume Limited"))</f>
        <v/>
      </c>
      <c r="V185" s="97">
        <f>B185&amp;"|"&amp;D185&amp;"|"&amp;F185</f>
        <v/>
      </c>
    </row>
    <row r="186" ht="19" customHeight="1">
      <c r="A186" s="98" t="n">
        <v>176</v>
      </c>
      <c r="B186" s="99" t="inlineStr">
        <is>
          <t>Carbon Steel</t>
        </is>
      </c>
      <c r="C186" s="19" t="inlineStr">
        <is>
          <t>ASME B36.10M / B36.19M</t>
        </is>
      </c>
      <c r="D186" s="18" t="inlineStr">
        <is>
          <t>6''</t>
        </is>
      </c>
      <c r="E186" s="98" t="n">
        <v>150</v>
      </c>
      <c r="F186" s="18" t="inlineStr">
        <is>
          <t>40S</t>
        </is>
      </c>
      <c r="G186" s="20" t="n">
        <v>6.625</v>
      </c>
      <c r="H186" s="82" t="n">
        <v>168.27</v>
      </c>
      <c r="I186" s="20" t="n">
        <v>0.28</v>
      </c>
      <c r="J186" s="82" t="n">
        <v>7.11</v>
      </c>
      <c r="K186" s="20">
        <f>ROUND((H186-J186)*J186*IF(B186="Carbon Steel",$K$7,IF(B186="Stainless Steel 304",$K$8,$L$8)), 3)</f>
        <v/>
      </c>
      <c r="L186" s="82">
        <f>ROUND(K186*$G$5, 2)</f>
        <v/>
      </c>
      <c r="M186" s="98">
        <f>INT($G$6/H186)</f>
        <v/>
      </c>
      <c r="N186" s="98">
        <f>IF(M186=0, 0, IF(OR($K$6="Square Grid", M186=1), INT($G$7/H186), IF($G$7&lt;H186, 0, 1+INT(($G$7-H186)/(0.8660254*H186)))))</f>
        <v/>
      </c>
      <c r="O186" s="84">
        <f>IF(OR(M186=0,N186=0), 0, IF(OR($K$6="Square Grid", M186=1), M186*N186*$K$5, (INT((N186+1)/2)*M186 + INT(N186/2)*IF(($G$6-M186*H186)&gt;=0.5*H186, M186, M186-1))*$K$5))</f>
        <v/>
      </c>
      <c r="P186" s="84">
        <f>IF(L186&lt;=0, 0, INT($G$8/L186))</f>
        <v/>
      </c>
      <c r="Q186" s="95">
        <f>MIN(O186, P186)</f>
        <v/>
      </c>
      <c r="R186" s="96">
        <f>ROUND((Q186*L186)/1000, 2)</f>
        <v/>
      </c>
      <c r="S186" s="85">
        <f>IF($C$8&gt;0, R186/$C$8, 0)</f>
        <v/>
      </c>
      <c r="T186" s="85">
        <f>IF(O186&gt;0, Q186/O186, 0)</f>
        <v/>
      </c>
      <c r="U186" s="18">
        <f>IF(Q186=0, "Exceeds Limit", IF(P186&lt;=O186, "Weight Limited", "Volume Limited"))</f>
        <v/>
      </c>
      <c r="V186" s="100">
        <f>B186&amp;"|"&amp;D186&amp;"|"&amp;F186</f>
        <v/>
      </c>
    </row>
    <row r="187" ht="19" customHeight="1">
      <c r="A187" s="93" t="n">
        <v>177</v>
      </c>
      <c r="B187" s="94" t="inlineStr">
        <is>
          <t>Carbon Steel</t>
        </is>
      </c>
      <c r="C187" s="13" t="inlineStr">
        <is>
          <t>ASME B36.10M / B36.19M</t>
        </is>
      </c>
      <c r="D187" s="12" t="inlineStr">
        <is>
          <t>6''</t>
        </is>
      </c>
      <c r="E187" s="93" t="n">
        <v>150</v>
      </c>
      <c r="F187" s="12" t="inlineStr">
        <is>
          <t>STD</t>
        </is>
      </c>
      <c r="G187" s="14" t="n">
        <v>6.625</v>
      </c>
      <c r="H187" s="78" t="n">
        <v>168.27</v>
      </c>
      <c r="I187" s="14" t="n">
        <v>0.28</v>
      </c>
      <c r="J187" s="78" t="n">
        <v>7.11</v>
      </c>
      <c r="K187" s="14">
        <f>ROUND((H187-J187)*J187*IF(B187="Carbon Steel",$K$7,IF(B187="Stainless Steel 304",$K$8,$L$8)), 3)</f>
        <v/>
      </c>
      <c r="L187" s="78">
        <f>ROUND(K187*$G$5, 2)</f>
        <v/>
      </c>
      <c r="M187" s="93">
        <f>INT($G$6/H187)</f>
        <v/>
      </c>
      <c r="N187" s="93">
        <f>IF(M187=0, 0, IF(OR($K$6="Square Grid", M187=1), INT($G$7/H187), IF($G$7&lt;H187, 0, 1+INT(($G$7-H187)/(0.8660254*H187)))))</f>
        <v/>
      </c>
      <c r="O187" s="59">
        <f>IF(OR(M187=0,N187=0), 0, IF(OR($K$6="Square Grid", M187=1), M187*N187*$K$5, (INT((N187+1)/2)*M187 + INT(N187/2)*IF(($G$6-M187*H187)&gt;=0.5*H187, M187, M187-1))*$K$5))</f>
        <v/>
      </c>
      <c r="P187" s="59">
        <f>IF(L187&lt;=0, 0, INT($G$8/L187))</f>
        <v/>
      </c>
      <c r="Q187" s="95">
        <f>MIN(O187, P187)</f>
        <v/>
      </c>
      <c r="R187" s="96">
        <f>ROUND((Q187*L187)/1000, 2)</f>
        <v/>
      </c>
      <c r="S187" s="79">
        <f>IF($C$8&gt;0, R187/$C$8, 0)</f>
        <v/>
      </c>
      <c r="T187" s="79">
        <f>IF(O187&gt;0, Q187/O187, 0)</f>
        <v/>
      </c>
      <c r="U187" s="12">
        <f>IF(Q187=0, "Exceeds Limit", IF(P187&lt;=O187, "Weight Limited", "Volume Limited"))</f>
        <v/>
      </c>
      <c r="V187" s="97">
        <f>B187&amp;"|"&amp;D187&amp;"|"&amp;F187</f>
        <v/>
      </c>
    </row>
    <row r="188" ht="19" customHeight="1">
      <c r="A188" s="98" t="n">
        <v>178</v>
      </c>
      <c r="B188" s="99" t="inlineStr">
        <is>
          <t>Carbon Steel</t>
        </is>
      </c>
      <c r="C188" s="19" t="inlineStr">
        <is>
          <t>ASME B36.10M / B36.19M</t>
        </is>
      </c>
      <c r="D188" s="18" t="inlineStr">
        <is>
          <t>6''</t>
        </is>
      </c>
      <c r="E188" s="98" t="n">
        <v>150</v>
      </c>
      <c r="F188" s="18" t="inlineStr">
        <is>
          <t>40</t>
        </is>
      </c>
      <c r="G188" s="20" t="n">
        <v>6.625</v>
      </c>
      <c r="H188" s="82" t="n">
        <v>168.27</v>
      </c>
      <c r="I188" s="20" t="n">
        <v>0.28</v>
      </c>
      <c r="J188" s="82" t="n">
        <v>7.11</v>
      </c>
      <c r="K188" s="20">
        <f>ROUND((H188-J188)*J188*IF(B188="Carbon Steel",$K$7,IF(B188="Stainless Steel 304",$K$8,$L$8)), 3)</f>
        <v/>
      </c>
      <c r="L188" s="82">
        <f>ROUND(K188*$G$5, 2)</f>
        <v/>
      </c>
      <c r="M188" s="98">
        <f>INT($G$6/H188)</f>
        <v/>
      </c>
      <c r="N188" s="98">
        <f>IF(M188=0, 0, IF(OR($K$6="Square Grid", M188=1), INT($G$7/H188), IF($G$7&lt;H188, 0, 1+INT(($G$7-H188)/(0.8660254*H188)))))</f>
        <v/>
      </c>
      <c r="O188" s="84">
        <f>IF(OR(M188=0,N188=0), 0, IF(OR($K$6="Square Grid", M188=1), M188*N188*$K$5, (INT((N188+1)/2)*M188 + INT(N188/2)*IF(($G$6-M188*H188)&gt;=0.5*H188, M188, M188-1))*$K$5))</f>
        <v/>
      </c>
      <c r="P188" s="84">
        <f>IF(L188&lt;=0, 0, INT($G$8/L188))</f>
        <v/>
      </c>
      <c r="Q188" s="95">
        <f>MIN(O188, P188)</f>
        <v/>
      </c>
      <c r="R188" s="96">
        <f>ROUND((Q188*L188)/1000, 2)</f>
        <v/>
      </c>
      <c r="S188" s="85">
        <f>IF($C$8&gt;0, R188/$C$8, 0)</f>
        <v/>
      </c>
      <c r="T188" s="85">
        <f>IF(O188&gt;0, Q188/O188, 0)</f>
        <v/>
      </c>
      <c r="U188" s="18">
        <f>IF(Q188=0, "Exceeds Limit", IF(P188&lt;=O188, "Weight Limited", "Volume Limited"))</f>
        <v/>
      </c>
      <c r="V188" s="100">
        <f>B188&amp;"|"&amp;D188&amp;"|"&amp;F188</f>
        <v/>
      </c>
    </row>
    <row r="189" ht="19" customHeight="1">
      <c r="A189" s="93" t="n">
        <v>179</v>
      </c>
      <c r="B189" s="94" t="inlineStr">
        <is>
          <t>Carbon Steel</t>
        </is>
      </c>
      <c r="C189" s="13" t="inlineStr">
        <is>
          <t>ASME B36.10M / B36.19M</t>
        </is>
      </c>
      <c r="D189" s="12" t="inlineStr">
        <is>
          <t>6''</t>
        </is>
      </c>
      <c r="E189" s="93" t="n">
        <v>150</v>
      </c>
      <c r="F189" s="12" t="inlineStr">
        <is>
          <t>80S</t>
        </is>
      </c>
      <c r="G189" s="14" t="n">
        <v>6.625</v>
      </c>
      <c r="H189" s="78" t="n">
        <v>168.27</v>
      </c>
      <c r="I189" s="14" t="n">
        <v>0.432</v>
      </c>
      <c r="J189" s="78" t="n">
        <v>10.97</v>
      </c>
      <c r="K189" s="14">
        <f>ROUND((H189-J189)*J189*IF(B189="Carbon Steel",$K$7,IF(B189="Stainless Steel 304",$K$8,$L$8)), 3)</f>
        <v/>
      </c>
      <c r="L189" s="78">
        <f>ROUND(K189*$G$5, 2)</f>
        <v/>
      </c>
      <c r="M189" s="93">
        <f>INT($G$6/H189)</f>
        <v/>
      </c>
      <c r="N189" s="93">
        <f>IF(M189=0, 0, IF(OR($K$6="Square Grid", M189=1), INT($G$7/H189), IF($G$7&lt;H189, 0, 1+INT(($G$7-H189)/(0.8660254*H189)))))</f>
        <v/>
      </c>
      <c r="O189" s="59">
        <f>IF(OR(M189=0,N189=0), 0, IF(OR($K$6="Square Grid", M189=1), M189*N189*$K$5, (INT((N189+1)/2)*M189 + INT(N189/2)*IF(($G$6-M189*H189)&gt;=0.5*H189, M189, M189-1))*$K$5))</f>
        <v/>
      </c>
      <c r="P189" s="59">
        <f>IF(L189&lt;=0, 0, INT($G$8/L189))</f>
        <v/>
      </c>
      <c r="Q189" s="95">
        <f>MIN(O189, P189)</f>
        <v/>
      </c>
      <c r="R189" s="96">
        <f>ROUND((Q189*L189)/1000, 2)</f>
        <v/>
      </c>
      <c r="S189" s="79">
        <f>IF($C$8&gt;0, R189/$C$8, 0)</f>
        <v/>
      </c>
      <c r="T189" s="79">
        <f>IF(O189&gt;0, Q189/O189, 0)</f>
        <v/>
      </c>
      <c r="U189" s="12">
        <f>IF(Q189=0, "Exceeds Limit", IF(P189&lt;=O189, "Weight Limited", "Volume Limited"))</f>
        <v/>
      </c>
      <c r="V189" s="97">
        <f>B189&amp;"|"&amp;D189&amp;"|"&amp;F189</f>
        <v/>
      </c>
    </row>
    <row r="190" ht="19" customHeight="1">
      <c r="A190" s="98" t="n">
        <v>180</v>
      </c>
      <c r="B190" s="99" t="inlineStr">
        <is>
          <t>Carbon Steel</t>
        </is>
      </c>
      <c r="C190" s="19" t="inlineStr">
        <is>
          <t>ASME B36.10M / B36.19M</t>
        </is>
      </c>
      <c r="D190" s="18" t="inlineStr">
        <is>
          <t>6''</t>
        </is>
      </c>
      <c r="E190" s="98" t="n">
        <v>150</v>
      </c>
      <c r="F190" s="18" t="inlineStr">
        <is>
          <t>XS</t>
        </is>
      </c>
      <c r="G190" s="20" t="n">
        <v>6.625</v>
      </c>
      <c r="H190" s="82" t="n">
        <v>168.27</v>
      </c>
      <c r="I190" s="20" t="n">
        <v>0.432</v>
      </c>
      <c r="J190" s="82" t="n">
        <v>10.97</v>
      </c>
      <c r="K190" s="20">
        <f>ROUND((H190-J190)*J190*IF(B190="Carbon Steel",$K$7,IF(B190="Stainless Steel 304",$K$8,$L$8)), 3)</f>
        <v/>
      </c>
      <c r="L190" s="82">
        <f>ROUND(K190*$G$5, 2)</f>
        <v/>
      </c>
      <c r="M190" s="98">
        <f>INT($G$6/H190)</f>
        <v/>
      </c>
      <c r="N190" s="98">
        <f>IF(M190=0, 0, IF(OR($K$6="Square Grid", M190=1), INT($G$7/H190), IF($G$7&lt;H190, 0, 1+INT(($G$7-H190)/(0.8660254*H190)))))</f>
        <v/>
      </c>
      <c r="O190" s="84">
        <f>IF(OR(M190=0,N190=0), 0, IF(OR($K$6="Square Grid", M190=1), M190*N190*$K$5, (INT((N190+1)/2)*M190 + INT(N190/2)*IF(($G$6-M190*H190)&gt;=0.5*H190, M190, M190-1))*$K$5))</f>
        <v/>
      </c>
      <c r="P190" s="84">
        <f>IF(L190&lt;=0, 0, INT($G$8/L190))</f>
        <v/>
      </c>
      <c r="Q190" s="95">
        <f>MIN(O190, P190)</f>
        <v/>
      </c>
      <c r="R190" s="96">
        <f>ROUND((Q190*L190)/1000, 2)</f>
        <v/>
      </c>
      <c r="S190" s="85">
        <f>IF($C$8&gt;0, R190/$C$8, 0)</f>
        <v/>
      </c>
      <c r="T190" s="85">
        <f>IF(O190&gt;0, Q190/O190, 0)</f>
        <v/>
      </c>
      <c r="U190" s="18">
        <f>IF(Q190=0, "Exceeds Limit", IF(P190&lt;=O190, "Weight Limited", "Volume Limited"))</f>
        <v/>
      </c>
      <c r="V190" s="100">
        <f>B190&amp;"|"&amp;D190&amp;"|"&amp;F190</f>
        <v/>
      </c>
    </row>
    <row r="191" ht="19" customHeight="1">
      <c r="A191" s="93" t="n">
        <v>181</v>
      </c>
      <c r="B191" s="94" t="inlineStr">
        <is>
          <t>Carbon Steel</t>
        </is>
      </c>
      <c r="C191" s="13" t="inlineStr">
        <is>
          <t>ASME B36.10M / B36.19M</t>
        </is>
      </c>
      <c r="D191" s="12" t="inlineStr">
        <is>
          <t>6''</t>
        </is>
      </c>
      <c r="E191" s="93" t="n">
        <v>150</v>
      </c>
      <c r="F191" s="12" t="inlineStr">
        <is>
          <t>80</t>
        </is>
      </c>
      <c r="G191" s="14" t="n">
        <v>6.625</v>
      </c>
      <c r="H191" s="78" t="n">
        <v>168.27</v>
      </c>
      <c r="I191" s="14" t="n">
        <v>0.432</v>
      </c>
      <c r="J191" s="78" t="n">
        <v>10.97</v>
      </c>
      <c r="K191" s="14">
        <f>ROUND((H191-J191)*J191*IF(B191="Carbon Steel",$K$7,IF(B191="Stainless Steel 304",$K$8,$L$8)), 3)</f>
        <v/>
      </c>
      <c r="L191" s="78">
        <f>ROUND(K191*$G$5, 2)</f>
        <v/>
      </c>
      <c r="M191" s="93">
        <f>INT($G$6/H191)</f>
        <v/>
      </c>
      <c r="N191" s="93">
        <f>IF(M191=0, 0, IF(OR($K$6="Square Grid", M191=1), INT($G$7/H191), IF($G$7&lt;H191, 0, 1+INT(($G$7-H191)/(0.8660254*H191)))))</f>
        <v/>
      </c>
      <c r="O191" s="59">
        <f>IF(OR(M191=0,N191=0), 0, IF(OR($K$6="Square Grid", M191=1), M191*N191*$K$5, (INT((N191+1)/2)*M191 + INT(N191/2)*IF(($G$6-M191*H191)&gt;=0.5*H191, M191, M191-1))*$K$5))</f>
        <v/>
      </c>
      <c r="P191" s="59">
        <f>IF(L191&lt;=0, 0, INT($G$8/L191))</f>
        <v/>
      </c>
      <c r="Q191" s="95">
        <f>MIN(O191, P191)</f>
        <v/>
      </c>
      <c r="R191" s="96">
        <f>ROUND((Q191*L191)/1000, 2)</f>
        <v/>
      </c>
      <c r="S191" s="79">
        <f>IF($C$8&gt;0, R191/$C$8, 0)</f>
        <v/>
      </c>
      <c r="T191" s="79">
        <f>IF(O191&gt;0, Q191/O191, 0)</f>
        <v/>
      </c>
      <c r="U191" s="12">
        <f>IF(Q191=0, "Exceeds Limit", IF(P191&lt;=O191, "Weight Limited", "Volume Limited"))</f>
        <v/>
      </c>
      <c r="V191" s="97">
        <f>B191&amp;"|"&amp;D191&amp;"|"&amp;F191</f>
        <v/>
      </c>
    </row>
    <row r="192" ht="19" customHeight="1">
      <c r="A192" s="98" t="n">
        <v>182</v>
      </c>
      <c r="B192" s="99" t="inlineStr">
        <is>
          <t>Carbon Steel</t>
        </is>
      </c>
      <c r="C192" s="19" t="inlineStr">
        <is>
          <t>ASME B36.10M / B36.19M</t>
        </is>
      </c>
      <c r="D192" s="18" t="inlineStr">
        <is>
          <t>6''</t>
        </is>
      </c>
      <c r="E192" s="98" t="n">
        <v>150</v>
      </c>
      <c r="F192" s="18" t="inlineStr">
        <is>
          <t>120</t>
        </is>
      </c>
      <c r="G192" s="20" t="n">
        <v>6.625</v>
      </c>
      <c r="H192" s="82" t="n">
        <v>168.27</v>
      </c>
      <c r="I192" s="20" t="n">
        <v>0.5620000000000001</v>
      </c>
      <c r="J192" s="82" t="n">
        <v>14.27</v>
      </c>
      <c r="K192" s="20">
        <f>ROUND((H192-J192)*J192*IF(B192="Carbon Steel",$K$7,IF(B192="Stainless Steel 304",$K$8,$L$8)), 3)</f>
        <v/>
      </c>
      <c r="L192" s="82">
        <f>ROUND(K192*$G$5, 2)</f>
        <v/>
      </c>
      <c r="M192" s="98">
        <f>INT($G$6/H192)</f>
        <v/>
      </c>
      <c r="N192" s="98">
        <f>IF(M192=0, 0, IF(OR($K$6="Square Grid", M192=1), INT($G$7/H192), IF($G$7&lt;H192, 0, 1+INT(($G$7-H192)/(0.8660254*H192)))))</f>
        <v/>
      </c>
      <c r="O192" s="84">
        <f>IF(OR(M192=0,N192=0), 0, IF(OR($K$6="Square Grid", M192=1), M192*N192*$K$5, (INT((N192+1)/2)*M192 + INT(N192/2)*IF(($G$6-M192*H192)&gt;=0.5*H192, M192, M192-1))*$K$5))</f>
        <v/>
      </c>
      <c r="P192" s="84">
        <f>IF(L192&lt;=0, 0, INT($G$8/L192))</f>
        <v/>
      </c>
      <c r="Q192" s="95">
        <f>MIN(O192, P192)</f>
        <v/>
      </c>
      <c r="R192" s="96">
        <f>ROUND((Q192*L192)/1000, 2)</f>
        <v/>
      </c>
      <c r="S192" s="85">
        <f>IF($C$8&gt;0, R192/$C$8, 0)</f>
        <v/>
      </c>
      <c r="T192" s="85">
        <f>IF(O192&gt;0, Q192/O192, 0)</f>
        <v/>
      </c>
      <c r="U192" s="18">
        <f>IF(Q192=0, "Exceeds Limit", IF(P192&lt;=O192, "Weight Limited", "Volume Limited"))</f>
        <v/>
      </c>
      <c r="V192" s="100">
        <f>B192&amp;"|"&amp;D192&amp;"|"&amp;F192</f>
        <v/>
      </c>
    </row>
    <row r="193" ht="19" customHeight="1">
      <c r="A193" s="93" t="n">
        <v>183</v>
      </c>
      <c r="B193" s="94" t="inlineStr">
        <is>
          <t>Carbon Steel</t>
        </is>
      </c>
      <c r="C193" s="13" t="inlineStr">
        <is>
          <t>ASME B36.10M / B36.19M</t>
        </is>
      </c>
      <c r="D193" s="12" t="inlineStr">
        <is>
          <t>6''</t>
        </is>
      </c>
      <c r="E193" s="93" t="n">
        <v>150</v>
      </c>
      <c r="F193" s="12" t="inlineStr">
        <is>
          <t>160</t>
        </is>
      </c>
      <c r="G193" s="14" t="n">
        <v>6.625</v>
      </c>
      <c r="H193" s="78" t="n">
        <v>168.27</v>
      </c>
      <c r="I193" s="14" t="n">
        <v>0.719</v>
      </c>
      <c r="J193" s="78" t="n">
        <v>18.26</v>
      </c>
      <c r="K193" s="14">
        <f>ROUND((H193-J193)*J193*IF(B193="Carbon Steel",$K$7,IF(B193="Stainless Steel 304",$K$8,$L$8)), 3)</f>
        <v/>
      </c>
      <c r="L193" s="78">
        <f>ROUND(K193*$G$5, 2)</f>
        <v/>
      </c>
      <c r="M193" s="93">
        <f>INT($G$6/H193)</f>
        <v/>
      </c>
      <c r="N193" s="93">
        <f>IF(M193=0, 0, IF(OR($K$6="Square Grid", M193=1), INT($G$7/H193), IF($G$7&lt;H193, 0, 1+INT(($G$7-H193)/(0.8660254*H193)))))</f>
        <v/>
      </c>
      <c r="O193" s="59">
        <f>IF(OR(M193=0,N193=0), 0, IF(OR($K$6="Square Grid", M193=1), M193*N193*$K$5, (INT((N193+1)/2)*M193 + INT(N193/2)*IF(($G$6-M193*H193)&gt;=0.5*H193, M193, M193-1))*$K$5))</f>
        <v/>
      </c>
      <c r="P193" s="59">
        <f>IF(L193&lt;=0, 0, INT($G$8/L193))</f>
        <v/>
      </c>
      <c r="Q193" s="95">
        <f>MIN(O193, P193)</f>
        <v/>
      </c>
      <c r="R193" s="96">
        <f>ROUND((Q193*L193)/1000, 2)</f>
        <v/>
      </c>
      <c r="S193" s="79">
        <f>IF($C$8&gt;0, R193/$C$8, 0)</f>
        <v/>
      </c>
      <c r="T193" s="79">
        <f>IF(O193&gt;0, Q193/O193, 0)</f>
        <v/>
      </c>
      <c r="U193" s="12">
        <f>IF(Q193=0, "Exceeds Limit", IF(P193&lt;=O193, "Weight Limited", "Volume Limited"))</f>
        <v/>
      </c>
      <c r="V193" s="97">
        <f>B193&amp;"|"&amp;D193&amp;"|"&amp;F193</f>
        <v/>
      </c>
    </row>
    <row r="194" ht="19" customHeight="1">
      <c r="A194" s="98" t="n">
        <v>184</v>
      </c>
      <c r="B194" s="99" t="inlineStr">
        <is>
          <t>Carbon Steel</t>
        </is>
      </c>
      <c r="C194" s="19" t="inlineStr">
        <is>
          <t>ASME B36.10M / B36.19M</t>
        </is>
      </c>
      <c r="D194" s="18" t="inlineStr">
        <is>
          <t>6''</t>
        </is>
      </c>
      <c r="E194" s="98" t="n">
        <v>150</v>
      </c>
      <c r="F194" s="18" t="inlineStr">
        <is>
          <t>XXS</t>
        </is>
      </c>
      <c r="G194" s="20" t="n">
        <v>6.625</v>
      </c>
      <c r="H194" s="82" t="n">
        <v>168.27</v>
      </c>
      <c r="I194" s="20" t="n">
        <v>0.864</v>
      </c>
      <c r="J194" s="82" t="n">
        <v>21.95</v>
      </c>
      <c r="K194" s="20">
        <f>ROUND((H194-J194)*J194*IF(B194="Carbon Steel",$K$7,IF(B194="Stainless Steel 304",$K$8,$L$8)), 3)</f>
        <v/>
      </c>
      <c r="L194" s="82">
        <f>ROUND(K194*$G$5, 2)</f>
        <v/>
      </c>
      <c r="M194" s="98">
        <f>INT($G$6/H194)</f>
        <v/>
      </c>
      <c r="N194" s="98">
        <f>IF(M194=0, 0, IF(OR($K$6="Square Grid", M194=1), INT($G$7/H194), IF($G$7&lt;H194, 0, 1+INT(($G$7-H194)/(0.8660254*H194)))))</f>
        <v/>
      </c>
      <c r="O194" s="84">
        <f>IF(OR(M194=0,N194=0), 0, IF(OR($K$6="Square Grid", M194=1), M194*N194*$K$5, (INT((N194+1)/2)*M194 + INT(N194/2)*IF(($G$6-M194*H194)&gt;=0.5*H194, M194, M194-1))*$K$5))</f>
        <v/>
      </c>
      <c r="P194" s="84">
        <f>IF(L194&lt;=0, 0, INT($G$8/L194))</f>
        <v/>
      </c>
      <c r="Q194" s="95">
        <f>MIN(O194, P194)</f>
        <v/>
      </c>
      <c r="R194" s="96">
        <f>ROUND((Q194*L194)/1000, 2)</f>
        <v/>
      </c>
      <c r="S194" s="85">
        <f>IF($C$8&gt;0, R194/$C$8, 0)</f>
        <v/>
      </c>
      <c r="T194" s="85">
        <f>IF(O194&gt;0, Q194/O194, 0)</f>
        <v/>
      </c>
      <c r="U194" s="18">
        <f>IF(Q194=0, "Exceeds Limit", IF(P194&lt;=O194, "Weight Limited", "Volume Limited"))</f>
        <v/>
      </c>
      <c r="V194" s="100">
        <f>B194&amp;"|"&amp;D194&amp;"|"&amp;F194</f>
        <v/>
      </c>
    </row>
    <row r="195" ht="19" customHeight="1">
      <c r="A195" s="93" t="n">
        <v>185</v>
      </c>
      <c r="B195" s="94" t="inlineStr">
        <is>
          <t>Carbon Steel</t>
        </is>
      </c>
      <c r="C195" s="13" t="inlineStr">
        <is>
          <t>ASME B36.10M / B36.19M</t>
        </is>
      </c>
      <c r="D195" s="12" t="inlineStr">
        <is>
          <t>8''</t>
        </is>
      </c>
      <c r="E195" s="93" t="n">
        <v>200</v>
      </c>
      <c r="F195" s="12" t="inlineStr">
        <is>
          <t>5S</t>
        </is>
      </c>
      <c r="G195" s="14" t="n">
        <v>8.625</v>
      </c>
      <c r="H195" s="78" t="n">
        <v>219.07</v>
      </c>
      <c r="I195" s="14" t="n">
        <v>0.109</v>
      </c>
      <c r="J195" s="78" t="n">
        <v>2.77</v>
      </c>
      <c r="K195" s="14">
        <f>ROUND((H195-J195)*J195*IF(B195="Carbon Steel",$K$7,IF(B195="Stainless Steel 304",$K$8,$L$8)), 3)</f>
        <v/>
      </c>
      <c r="L195" s="78">
        <f>ROUND(K195*$G$5, 2)</f>
        <v/>
      </c>
      <c r="M195" s="93">
        <f>INT($G$6/H195)</f>
        <v/>
      </c>
      <c r="N195" s="93">
        <f>IF(M195=0, 0, IF(OR($K$6="Square Grid", M195=1), INT($G$7/H195), IF($G$7&lt;H195, 0, 1+INT(($G$7-H195)/(0.8660254*H195)))))</f>
        <v/>
      </c>
      <c r="O195" s="59">
        <f>IF(OR(M195=0,N195=0), 0, IF(OR($K$6="Square Grid", M195=1), M195*N195*$K$5, (INT((N195+1)/2)*M195 + INT(N195/2)*IF(($G$6-M195*H195)&gt;=0.5*H195, M195, M195-1))*$K$5))</f>
        <v/>
      </c>
      <c r="P195" s="59">
        <f>IF(L195&lt;=0, 0, INT($G$8/L195))</f>
        <v/>
      </c>
      <c r="Q195" s="95">
        <f>MIN(O195, P195)</f>
        <v/>
      </c>
      <c r="R195" s="96">
        <f>ROUND((Q195*L195)/1000, 2)</f>
        <v/>
      </c>
      <c r="S195" s="79">
        <f>IF($C$8&gt;0, R195/$C$8, 0)</f>
        <v/>
      </c>
      <c r="T195" s="79">
        <f>IF(O195&gt;0, Q195/O195, 0)</f>
        <v/>
      </c>
      <c r="U195" s="12">
        <f>IF(Q195=0, "Exceeds Limit", IF(P195&lt;=O195, "Weight Limited", "Volume Limited"))</f>
        <v/>
      </c>
      <c r="V195" s="97">
        <f>B195&amp;"|"&amp;D195&amp;"|"&amp;F195</f>
        <v/>
      </c>
    </row>
    <row r="196" ht="19" customHeight="1">
      <c r="A196" s="98" t="n">
        <v>186</v>
      </c>
      <c r="B196" s="99" t="inlineStr">
        <is>
          <t>Carbon Steel</t>
        </is>
      </c>
      <c r="C196" s="19" t="inlineStr">
        <is>
          <t>ASME B36.10M / B36.19M</t>
        </is>
      </c>
      <c r="D196" s="18" t="inlineStr">
        <is>
          <t>8''</t>
        </is>
      </c>
      <c r="E196" s="98" t="n">
        <v>200</v>
      </c>
      <c r="F196" s="18" t="inlineStr">
        <is>
          <t>5</t>
        </is>
      </c>
      <c r="G196" s="20" t="n">
        <v>8.625</v>
      </c>
      <c r="H196" s="82" t="n">
        <v>219.07</v>
      </c>
      <c r="I196" s="20" t="n">
        <v>0.109</v>
      </c>
      <c r="J196" s="82" t="n">
        <v>2.77</v>
      </c>
      <c r="K196" s="20">
        <f>ROUND((H196-J196)*J196*IF(B196="Carbon Steel",$K$7,IF(B196="Stainless Steel 304",$K$8,$L$8)), 3)</f>
        <v/>
      </c>
      <c r="L196" s="82">
        <f>ROUND(K196*$G$5, 2)</f>
        <v/>
      </c>
      <c r="M196" s="98">
        <f>INT($G$6/H196)</f>
        <v/>
      </c>
      <c r="N196" s="98">
        <f>IF(M196=0, 0, IF(OR($K$6="Square Grid", M196=1), INT($G$7/H196), IF($G$7&lt;H196, 0, 1+INT(($G$7-H196)/(0.8660254*H196)))))</f>
        <v/>
      </c>
      <c r="O196" s="84">
        <f>IF(OR(M196=0,N196=0), 0, IF(OR($K$6="Square Grid", M196=1), M196*N196*$K$5, (INT((N196+1)/2)*M196 + INT(N196/2)*IF(($G$6-M196*H196)&gt;=0.5*H196, M196, M196-1))*$K$5))</f>
        <v/>
      </c>
      <c r="P196" s="84">
        <f>IF(L196&lt;=0, 0, INT($G$8/L196))</f>
        <v/>
      </c>
      <c r="Q196" s="95">
        <f>MIN(O196, P196)</f>
        <v/>
      </c>
      <c r="R196" s="96">
        <f>ROUND((Q196*L196)/1000, 2)</f>
        <v/>
      </c>
      <c r="S196" s="85">
        <f>IF($C$8&gt;0, R196/$C$8, 0)</f>
        <v/>
      </c>
      <c r="T196" s="85">
        <f>IF(O196&gt;0, Q196/O196, 0)</f>
        <v/>
      </c>
      <c r="U196" s="18">
        <f>IF(Q196=0, "Exceeds Limit", IF(P196&lt;=O196, "Weight Limited", "Volume Limited"))</f>
        <v/>
      </c>
      <c r="V196" s="100">
        <f>B196&amp;"|"&amp;D196&amp;"|"&amp;F196</f>
        <v/>
      </c>
    </row>
    <row r="197" ht="19" customHeight="1">
      <c r="A197" s="93" t="n">
        <v>187</v>
      </c>
      <c r="B197" s="94" t="inlineStr">
        <is>
          <t>Carbon Steel</t>
        </is>
      </c>
      <c r="C197" s="13" t="inlineStr">
        <is>
          <t>ASME B36.10M / B36.19M</t>
        </is>
      </c>
      <c r="D197" s="12" t="inlineStr">
        <is>
          <t>8''</t>
        </is>
      </c>
      <c r="E197" s="93" t="n">
        <v>200</v>
      </c>
      <c r="F197" s="12" t="inlineStr">
        <is>
          <t>10S</t>
        </is>
      </c>
      <c r="G197" s="14" t="n">
        <v>8.625</v>
      </c>
      <c r="H197" s="78" t="n">
        <v>219.07</v>
      </c>
      <c r="I197" s="14" t="n">
        <v>0.148</v>
      </c>
      <c r="J197" s="78" t="n">
        <v>3.76</v>
      </c>
      <c r="K197" s="14">
        <f>ROUND((H197-J197)*J197*IF(B197="Carbon Steel",$K$7,IF(B197="Stainless Steel 304",$K$8,$L$8)), 3)</f>
        <v/>
      </c>
      <c r="L197" s="78">
        <f>ROUND(K197*$G$5, 2)</f>
        <v/>
      </c>
      <c r="M197" s="93">
        <f>INT($G$6/H197)</f>
        <v/>
      </c>
      <c r="N197" s="93">
        <f>IF(M197=0, 0, IF(OR($K$6="Square Grid", M197=1), INT($G$7/H197), IF($G$7&lt;H197, 0, 1+INT(($G$7-H197)/(0.8660254*H197)))))</f>
        <v/>
      </c>
      <c r="O197" s="59">
        <f>IF(OR(M197=0,N197=0), 0, IF(OR($K$6="Square Grid", M197=1), M197*N197*$K$5, (INT((N197+1)/2)*M197 + INT(N197/2)*IF(($G$6-M197*H197)&gt;=0.5*H197, M197, M197-1))*$K$5))</f>
        <v/>
      </c>
      <c r="P197" s="59">
        <f>IF(L197&lt;=0, 0, INT($G$8/L197))</f>
        <v/>
      </c>
      <c r="Q197" s="95">
        <f>MIN(O197, P197)</f>
        <v/>
      </c>
      <c r="R197" s="96">
        <f>ROUND((Q197*L197)/1000, 2)</f>
        <v/>
      </c>
      <c r="S197" s="79">
        <f>IF($C$8&gt;0, R197/$C$8, 0)</f>
        <v/>
      </c>
      <c r="T197" s="79">
        <f>IF(O197&gt;0, Q197/O197, 0)</f>
        <v/>
      </c>
      <c r="U197" s="12">
        <f>IF(Q197=0, "Exceeds Limit", IF(P197&lt;=O197, "Weight Limited", "Volume Limited"))</f>
        <v/>
      </c>
      <c r="V197" s="97">
        <f>B197&amp;"|"&amp;D197&amp;"|"&amp;F197</f>
        <v/>
      </c>
    </row>
    <row r="198" ht="19" customHeight="1">
      <c r="A198" s="98" t="n">
        <v>188</v>
      </c>
      <c r="B198" s="99" t="inlineStr">
        <is>
          <t>Carbon Steel</t>
        </is>
      </c>
      <c r="C198" s="19" t="inlineStr">
        <is>
          <t>ASME B36.10M / B36.19M</t>
        </is>
      </c>
      <c r="D198" s="18" t="inlineStr">
        <is>
          <t>8''</t>
        </is>
      </c>
      <c r="E198" s="98" t="n">
        <v>200</v>
      </c>
      <c r="F198" s="18" t="inlineStr">
        <is>
          <t>10</t>
        </is>
      </c>
      <c r="G198" s="20" t="n">
        <v>8.625</v>
      </c>
      <c r="H198" s="82" t="n">
        <v>219.07</v>
      </c>
      <c r="I198" s="20" t="n">
        <v>0.148</v>
      </c>
      <c r="J198" s="82" t="n">
        <v>3.76</v>
      </c>
      <c r="K198" s="20">
        <f>ROUND((H198-J198)*J198*IF(B198="Carbon Steel",$K$7,IF(B198="Stainless Steel 304",$K$8,$L$8)), 3)</f>
        <v/>
      </c>
      <c r="L198" s="82">
        <f>ROUND(K198*$G$5, 2)</f>
        <v/>
      </c>
      <c r="M198" s="98">
        <f>INT($G$6/H198)</f>
        <v/>
      </c>
      <c r="N198" s="98">
        <f>IF(M198=0, 0, IF(OR($K$6="Square Grid", M198=1), INT($G$7/H198), IF($G$7&lt;H198, 0, 1+INT(($G$7-H198)/(0.8660254*H198)))))</f>
        <v/>
      </c>
      <c r="O198" s="84">
        <f>IF(OR(M198=0,N198=0), 0, IF(OR($K$6="Square Grid", M198=1), M198*N198*$K$5, (INT((N198+1)/2)*M198 + INT(N198/2)*IF(($G$6-M198*H198)&gt;=0.5*H198, M198, M198-1))*$K$5))</f>
        <v/>
      </c>
      <c r="P198" s="84">
        <f>IF(L198&lt;=0, 0, INT($G$8/L198))</f>
        <v/>
      </c>
      <c r="Q198" s="95">
        <f>MIN(O198, P198)</f>
        <v/>
      </c>
      <c r="R198" s="96">
        <f>ROUND((Q198*L198)/1000, 2)</f>
        <v/>
      </c>
      <c r="S198" s="85">
        <f>IF($C$8&gt;0, R198/$C$8, 0)</f>
        <v/>
      </c>
      <c r="T198" s="85">
        <f>IF(O198&gt;0, Q198/O198, 0)</f>
        <v/>
      </c>
      <c r="U198" s="18">
        <f>IF(Q198=0, "Exceeds Limit", IF(P198&lt;=O198, "Weight Limited", "Volume Limited"))</f>
        <v/>
      </c>
      <c r="V198" s="100">
        <f>B198&amp;"|"&amp;D198&amp;"|"&amp;F198</f>
        <v/>
      </c>
    </row>
    <row r="199" ht="19" customHeight="1">
      <c r="A199" s="93" t="n">
        <v>189</v>
      </c>
      <c r="B199" s="94" t="inlineStr">
        <is>
          <t>Carbon Steel</t>
        </is>
      </c>
      <c r="C199" s="13" t="inlineStr">
        <is>
          <t>ASME B36.10M / B36.19M</t>
        </is>
      </c>
      <c r="D199" s="12" t="inlineStr">
        <is>
          <t>8''</t>
        </is>
      </c>
      <c r="E199" s="93" t="n">
        <v>200</v>
      </c>
      <c r="F199" s="12" t="inlineStr">
        <is>
          <t>20</t>
        </is>
      </c>
      <c r="G199" s="14" t="n">
        <v>8.625</v>
      </c>
      <c r="H199" s="78" t="n">
        <v>219.07</v>
      </c>
      <c r="I199" s="14" t="n">
        <v>0.25</v>
      </c>
      <c r="J199" s="78" t="n">
        <v>6.35</v>
      </c>
      <c r="K199" s="14">
        <f>ROUND((H199-J199)*J199*IF(B199="Carbon Steel",$K$7,IF(B199="Stainless Steel 304",$K$8,$L$8)), 3)</f>
        <v/>
      </c>
      <c r="L199" s="78">
        <f>ROUND(K199*$G$5, 2)</f>
        <v/>
      </c>
      <c r="M199" s="93">
        <f>INT($G$6/H199)</f>
        <v/>
      </c>
      <c r="N199" s="93">
        <f>IF(M199=0, 0, IF(OR($K$6="Square Grid", M199=1), INT($G$7/H199), IF($G$7&lt;H199, 0, 1+INT(($G$7-H199)/(0.8660254*H199)))))</f>
        <v/>
      </c>
      <c r="O199" s="59">
        <f>IF(OR(M199=0,N199=0), 0, IF(OR($K$6="Square Grid", M199=1), M199*N199*$K$5, (INT((N199+1)/2)*M199 + INT(N199/2)*IF(($G$6-M199*H199)&gt;=0.5*H199, M199, M199-1))*$K$5))</f>
        <v/>
      </c>
      <c r="P199" s="59">
        <f>IF(L199&lt;=0, 0, INT($G$8/L199))</f>
        <v/>
      </c>
      <c r="Q199" s="95">
        <f>MIN(O199, P199)</f>
        <v/>
      </c>
      <c r="R199" s="96">
        <f>ROUND((Q199*L199)/1000, 2)</f>
        <v/>
      </c>
      <c r="S199" s="79">
        <f>IF($C$8&gt;0, R199/$C$8, 0)</f>
        <v/>
      </c>
      <c r="T199" s="79">
        <f>IF(O199&gt;0, Q199/O199, 0)</f>
        <v/>
      </c>
      <c r="U199" s="12">
        <f>IF(Q199=0, "Exceeds Limit", IF(P199&lt;=O199, "Weight Limited", "Volume Limited"))</f>
        <v/>
      </c>
      <c r="V199" s="97">
        <f>B199&amp;"|"&amp;D199&amp;"|"&amp;F199</f>
        <v/>
      </c>
    </row>
    <row r="200" ht="19" customHeight="1">
      <c r="A200" s="98" t="n">
        <v>190</v>
      </c>
      <c r="B200" s="99" t="inlineStr">
        <is>
          <t>Carbon Steel</t>
        </is>
      </c>
      <c r="C200" s="19" t="inlineStr">
        <is>
          <t>ASME B36.10M / B36.19M</t>
        </is>
      </c>
      <c r="D200" s="18" t="inlineStr">
        <is>
          <t>8''</t>
        </is>
      </c>
      <c r="E200" s="98" t="n">
        <v>200</v>
      </c>
      <c r="F200" s="18" t="inlineStr">
        <is>
          <t>30</t>
        </is>
      </c>
      <c r="G200" s="20" t="n">
        <v>8.625</v>
      </c>
      <c r="H200" s="82" t="n">
        <v>219.07</v>
      </c>
      <c r="I200" s="20" t="n">
        <v>0.277</v>
      </c>
      <c r="J200" s="82" t="n">
        <v>7.04</v>
      </c>
      <c r="K200" s="20">
        <f>ROUND((H200-J200)*J200*IF(B200="Carbon Steel",$K$7,IF(B200="Stainless Steel 304",$K$8,$L$8)), 3)</f>
        <v/>
      </c>
      <c r="L200" s="82">
        <f>ROUND(K200*$G$5, 2)</f>
        <v/>
      </c>
      <c r="M200" s="98">
        <f>INT($G$6/H200)</f>
        <v/>
      </c>
      <c r="N200" s="98">
        <f>IF(M200=0, 0, IF(OR($K$6="Square Grid", M200=1), INT($G$7/H200), IF($G$7&lt;H200, 0, 1+INT(($G$7-H200)/(0.8660254*H200)))))</f>
        <v/>
      </c>
      <c r="O200" s="84">
        <f>IF(OR(M200=0,N200=0), 0, IF(OR($K$6="Square Grid", M200=1), M200*N200*$K$5, (INT((N200+1)/2)*M200 + INT(N200/2)*IF(($G$6-M200*H200)&gt;=0.5*H200, M200, M200-1))*$K$5))</f>
        <v/>
      </c>
      <c r="P200" s="84">
        <f>IF(L200&lt;=0, 0, INT($G$8/L200))</f>
        <v/>
      </c>
      <c r="Q200" s="95">
        <f>MIN(O200, P200)</f>
        <v/>
      </c>
      <c r="R200" s="96">
        <f>ROUND((Q200*L200)/1000, 2)</f>
        <v/>
      </c>
      <c r="S200" s="85">
        <f>IF($C$8&gt;0, R200/$C$8, 0)</f>
        <v/>
      </c>
      <c r="T200" s="85">
        <f>IF(O200&gt;0, Q200/O200, 0)</f>
        <v/>
      </c>
      <c r="U200" s="18">
        <f>IF(Q200=0, "Exceeds Limit", IF(P200&lt;=O200, "Weight Limited", "Volume Limited"))</f>
        <v/>
      </c>
      <c r="V200" s="100">
        <f>B200&amp;"|"&amp;D200&amp;"|"&amp;F200</f>
        <v/>
      </c>
    </row>
    <row r="201" ht="19" customHeight="1">
      <c r="A201" s="93" t="n">
        <v>191</v>
      </c>
      <c r="B201" s="94" t="inlineStr">
        <is>
          <t>Carbon Steel</t>
        </is>
      </c>
      <c r="C201" s="13" t="inlineStr">
        <is>
          <t>ASME B36.10M / B36.19M</t>
        </is>
      </c>
      <c r="D201" s="12" t="inlineStr">
        <is>
          <t>8''</t>
        </is>
      </c>
      <c r="E201" s="93" t="n">
        <v>200</v>
      </c>
      <c r="F201" s="12" t="inlineStr">
        <is>
          <t>40S</t>
        </is>
      </c>
      <c r="G201" s="14" t="n">
        <v>8.625</v>
      </c>
      <c r="H201" s="78" t="n">
        <v>219.07</v>
      </c>
      <c r="I201" s="14" t="n">
        <v>0.322</v>
      </c>
      <c r="J201" s="78" t="n">
        <v>8.18</v>
      </c>
      <c r="K201" s="14">
        <f>ROUND((H201-J201)*J201*IF(B201="Carbon Steel",$K$7,IF(B201="Stainless Steel 304",$K$8,$L$8)), 3)</f>
        <v/>
      </c>
      <c r="L201" s="78">
        <f>ROUND(K201*$G$5, 2)</f>
        <v/>
      </c>
      <c r="M201" s="93">
        <f>INT($G$6/H201)</f>
        <v/>
      </c>
      <c r="N201" s="93">
        <f>IF(M201=0, 0, IF(OR($K$6="Square Grid", M201=1), INT($G$7/H201), IF($G$7&lt;H201, 0, 1+INT(($G$7-H201)/(0.8660254*H201)))))</f>
        <v/>
      </c>
      <c r="O201" s="59">
        <f>IF(OR(M201=0,N201=0), 0, IF(OR($K$6="Square Grid", M201=1), M201*N201*$K$5, (INT((N201+1)/2)*M201 + INT(N201/2)*IF(($G$6-M201*H201)&gt;=0.5*H201, M201, M201-1))*$K$5))</f>
        <v/>
      </c>
      <c r="P201" s="59">
        <f>IF(L201&lt;=0, 0, INT($G$8/L201))</f>
        <v/>
      </c>
      <c r="Q201" s="95">
        <f>MIN(O201, P201)</f>
        <v/>
      </c>
      <c r="R201" s="96">
        <f>ROUND((Q201*L201)/1000, 2)</f>
        <v/>
      </c>
      <c r="S201" s="79">
        <f>IF($C$8&gt;0, R201/$C$8, 0)</f>
        <v/>
      </c>
      <c r="T201" s="79">
        <f>IF(O201&gt;0, Q201/O201, 0)</f>
        <v/>
      </c>
      <c r="U201" s="12">
        <f>IF(Q201=0, "Exceeds Limit", IF(P201&lt;=O201, "Weight Limited", "Volume Limited"))</f>
        <v/>
      </c>
      <c r="V201" s="97">
        <f>B201&amp;"|"&amp;D201&amp;"|"&amp;F201</f>
        <v/>
      </c>
    </row>
    <row r="202" ht="19" customHeight="1">
      <c r="A202" s="98" t="n">
        <v>192</v>
      </c>
      <c r="B202" s="99" t="inlineStr">
        <is>
          <t>Carbon Steel</t>
        </is>
      </c>
      <c r="C202" s="19" t="inlineStr">
        <is>
          <t>ASME B36.10M / B36.19M</t>
        </is>
      </c>
      <c r="D202" s="18" t="inlineStr">
        <is>
          <t>8''</t>
        </is>
      </c>
      <c r="E202" s="98" t="n">
        <v>200</v>
      </c>
      <c r="F202" s="18" t="inlineStr">
        <is>
          <t>STD</t>
        </is>
      </c>
      <c r="G202" s="20" t="n">
        <v>8.625</v>
      </c>
      <c r="H202" s="82" t="n">
        <v>219.07</v>
      </c>
      <c r="I202" s="20" t="n">
        <v>0.322</v>
      </c>
      <c r="J202" s="82" t="n">
        <v>8.18</v>
      </c>
      <c r="K202" s="20">
        <f>ROUND((H202-J202)*J202*IF(B202="Carbon Steel",$K$7,IF(B202="Stainless Steel 304",$K$8,$L$8)), 3)</f>
        <v/>
      </c>
      <c r="L202" s="82">
        <f>ROUND(K202*$G$5, 2)</f>
        <v/>
      </c>
      <c r="M202" s="98">
        <f>INT($G$6/H202)</f>
        <v/>
      </c>
      <c r="N202" s="98">
        <f>IF(M202=0, 0, IF(OR($K$6="Square Grid", M202=1), INT($G$7/H202), IF($G$7&lt;H202, 0, 1+INT(($G$7-H202)/(0.8660254*H202)))))</f>
        <v/>
      </c>
      <c r="O202" s="84">
        <f>IF(OR(M202=0,N202=0), 0, IF(OR($K$6="Square Grid", M202=1), M202*N202*$K$5, (INT((N202+1)/2)*M202 + INT(N202/2)*IF(($G$6-M202*H202)&gt;=0.5*H202, M202, M202-1))*$K$5))</f>
        <v/>
      </c>
      <c r="P202" s="84">
        <f>IF(L202&lt;=0, 0, INT($G$8/L202))</f>
        <v/>
      </c>
      <c r="Q202" s="95">
        <f>MIN(O202, P202)</f>
        <v/>
      </c>
      <c r="R202" s="96">
        <f>ROUND((Q202*L202)/1000, 2)</f>
        <v/>
      </c>
      <c r="S202" s="85">
        <f>IF($C$8&gt;0, R202/$C$8, 0)</f>
        <v/>
      </c>
      <c r="T202" s="85">
        <f>IF(O202&gt;0, Q202/O202, 0)</f>
        <v/>
      </c>
      <c r="U202" s="18">
        <f>IF(Q202=0, "Exceeds Limit", IF(P202&lt;=O202, "Weight Limited", "Volume Limited"))</f>
        <v/>
      </c>
      <c r="V202" s="100">
        <f>B202&amp;"|"&amp;D202&amp;"|"&amp;F202</f>
        <v/>
      </c>
    </row>
    <row r="203" ht="19" customHeight="1">
      <c r="A203" s="93" t="n">
        <v>193</v>
      </c>
      <c r="B203" s="94" t="inlineStr">
        <is>
          <t>Carbon Steel</t>
        </is>
      </c>
      <c r="C203" s="13" t="inlineStr">
        <is>
          <t>ASME B36.10M / B36.19M</t>
        </is>
      </c>
      <c r="D203" s="12" t="inlineStr">
        <is>
          <t>8''</t>
        </is>
      </c>
      <c r="E203" s="93" t="n">
        <v>200</v>
      </c>
      <c r="F203" s="12" t="inlineStr">
        <is>
          <t>40</t>
        </is>
      </c>
      <c r="G203" s="14" t="n">
        <v>8.625</v>
      </c>
      <c r="H203" s="78" t="n">
        <v>219.07</v>
      </c>
      <c r="I203" s="14" t="n">
        <v>0.322</v>
      </c>
      <c r="J203" s="78" t="n">
        <v>8.18</v>
      </c>
      <c r="K203" s="14">
        <f>ROUND((H203-J203)*J203*IF(B203="Carbon Steel",$K$7,IF(B203="Stainless Steel 304",$K$8,$L$8)), 3)</f>
        <v/>
      </c>
      <c r="L203" s="78">
        <f>ROUND(K203*$G$5, 2)</f>
        <v/>
      </c>
      <c r="M203" s="93">
        <f>INT($G$6/H203)</f>
        <v/>
      </c>
      <c r="N203" s="93">
        <f>IF(M203=0, 0, IF(OR($K$6="Square Grid", M203=1), INT($G$7/H203), IF($G$7&lt;H203, 0, 1+INT(($G$7-H203)/(0.8660254*H203)))))</f>
        <v/>
      </c>
      <c r="O203" s="59">
        <f>IF(OR(M203=0,N203=0), 0, IF(OR($K$6="Square Grid", M203=1), M203*N203*$K$5, (INT((N203+1)/2)*M203 + INT(N203/2)*IF(($G$6-M203*H203)&gt;=0.5*H203, M203, M203-1))*$K$5))</f>
        <v/>
      </c>
      <c r="P203" s="59">
        <f>IF(L203&lt;=0, 0, INT($G$8/L203))</f>
        <v/>
      </c>
      <c r="Q203" s="95">
        <f>MIN(O203, P203)</f>
        <v/>
      </c>
      <c r="R203" s="96">
        <f>ROUND((Q203*L203)/1000, 2)</f>
        <v/>
      </c>
      <c r="S203" s="79">
        <f>IF($C$8&gt;0, R203/$C$8, 0)</f>
        <v/>
      </c>
      <c r="T203" s="79">
        <f>IF(O203&gt;0, Q203/O203, 0)</f>
        <v/>
      </c>
      <c r="U203" s="12">
        <f>IF(Q203=0, "Exceeds Limit", IF(P203&lt;=O203, "Weight Limited", "Volume Limited"))</f>
        <v/>
      </c>
      <c r="V203" s="97">
        <f>B203&amp;"|"&amp;D203&amp;"|"&amp;F203</f>
        <v/>
      </c>
    </row>
    <row r="204" ht="19" customHeight="1">
      <c r="A204" s="98" t="n">
        <v>194</v>
      </c>
      <c r="B204" s="99" t="inlineStr">
        <is>
          <t>Carbon Steel</t>
        </is>
      </c>
      <c r="C204" s="19" t="inlineStr">
        <is>
          <t>ASME B36.10M / B36.19M</t>
        </is>
      </c>
      <c r="D204" s="18" t="inlineStr">
        <is>
          <t>8''</t>
        </is>
      </c>
      <c r="E204" s="98" t="n">
        <v>200</v>
      </c>
      <c r="F204" s="18" t="inlineStr">
        <is>
          <t>60</t>
        </is>
      </c>
      <c r="G204" s="20" t="n">
        <v>8.625</v>
      </c>
      <c r="H204" s="82" t="n">
        <v>219.07</v>
      </c>
      <c r="I204" s="20" t="n">
        <v>0.406</v>
      </c>
      <c r="J204" s="82" t="n">
        <v>10.31</v>
      </c>
      <c r="K204" s="20">
        <f>ROUND((H204-J204)*J204*IF(B204="Carbon Steel",$K$7,IF(B204="Stainless Steel 304",$K$8,$L$8)), 3)</f>
        <v/>
      </c>
      <c r="L204" s="82">
        <f>ROUND(K204*$G$5, 2)</f>
        <v/>
      </c>
      <c r="M204" s="98">
        <f>INT($G$6/H204)</f>
        <v/>
      </c>
      <c r="N204" s="98">
        <f>IF(M204=0, 0, IF(OR($K$6="Square Grid", M204=1), INT($G$7/H204), IF($G$7&lt;H204, 0, 1+INT(($G$7-H204)/(0.8660254*H204)))))</f>
        <v/>
      </c>
      <c r="O204" s="84">
        <f>IF(OR(M204=0,N204=0), 0, IF(OR($K$6="Square Grid", M204=1), M204*N204*$K$5, (INT((N204+1)/2)*M204 + INT(N204/2)*IF(($G$6-M204*H204)&gt;=0.5*H204, M204, M204-1))*$K$5))</f>
        <v/>
      </c>
      <c r="P204" s="84">
        <f>IF(L204&lt;=0, 0, INT($G$8/L204))</f>
        <v/>
      </c>
      <c r="Q204" s="95">
        <f>MIN(O204, P204)</f>
        <v/>
      </c>
      <c r="R204" s="96">
        <f>ROUND((Q204*L204)/1000, 2)</f>
        <v/>
      </c>
      <c r="S204" s="85">
        <f>IF($C$8&gt;0, R204/$C$8, 0)</f>
        <v/>
      </c>
      <c r="T204" s="85">
        <f>IF(O204&gt;0, Q204/O204, 0)</f>
        <v/>
      </c>
      <c r="U204" s="18">
        <f>IF(Q204=0, "Exceeds Limit", IF(P204&lt;=O204, "Weight Limited", "Volume Limited"))</f>
        <v/>
      </c>
      <c r="V204" s="100">
        <f>B204&amp;"|"&amp;D204&amp;"|"&amp;F204</f>
        <v/>
      </c>
    </row>
    <row r="205" ht="19" customHeight="1">
      <c r="A205" s="93" t="n">
        <v>195</v>
      </c>
      <c r="B205" s="94" t="inlineStr">
        <is>
          <t>Carbon Steel</t>
        </is>
      </c>
      <c r="C205" s="13" t="inlineStr">
        <is>
          <t>ASME B36.10M / B36.19M</t>
        </is>
      </c>
      <c r="D205" s="12" t="inlineStr">
        <is>
          <t>8''</t>
        </is>
      </c>
      <c r="E205" s="93" t="n">
        <v>200</v>
      </c>
      <c r="F205" s="12" t="inlineStr">
        <is>
          <t>80S</t>
        </is>
      </c>
      <c r="G205" s="14" t="n">
        <v>8.625</v>
      </c>
      <c r="H205" s="78" t="n">
        <v>219.07</v>
      </c>
      <c r="I205" s="14" t="n">
        <v>0.5</v>
      </c>
      <c r="J205" s="78" t="n">
        <v>12.7</v>
      </c>
      <c r="K205" s="14">
        <f>ROUND((H205-J205)*J205*IF(B205="Carbon Steel",$K$7,IF(B205="Stainless Steel 304",$K$8,$L$8)), 3)</f>
        <v/>
      </c>
      <c r="L205" s="78">
        <f>ROUND(K205*$G$5, 2)</f>
        <v/>
      </c>
      <c r="M205" s="93">
        <f>INT($G$6/H205)</f>
        <v/>
      </c>
      <c r="N205" s="93">
        <f>IF(M205=0, 0, IF(OR($K$6="Square Grid", M205=1), INT($G$7/H205), IF($G$7&lt;H205, 0, 1+INT(($G$7-H205)/(0.8660254*H205)))))</f>
        <v/>
      </c>
      <c r="O205" s="59">
        <f>IF(OR(M205=0,N205=0), 0, IF(OR($K$6="Square Grid", M205=1), M205*N205*$K$5, (INT((N205+1)/2)*M205 + INT(N205/2)*IF(($G$6-M205*H205)&gt;=0.5*H205, M205, M205-1))*$K$5))</f>
        <v/>
      </c>
      <c r="P205" s="59">
        <f>IF(L205&lt;=0, 0, INT($G$8/L205))</f>
        <v/>
      </c>
      <c r="Q205" s="95">
        <f>MIN(O205, P205)</f>
        <v/>
      </c>
      <c r="R205" s="96">
        <f>ROUND((Q205*L205)/1000, 2)</f>
        <v/>
      </c>
      <c r="S205" s="79">
        <f>IF($C$8&gt;0, R205/$C$8, 0)</f>
        <v/>
      </c>
      <c r="T205" s="79">
        <f>IF(O205&gt;0, Q205/O205, 0)</f>
        <v/>
      </c>
      <c r="U205" s="12">
        <f>IF(Q205=0, "Exceeds Limit", IF(P205&lt;=O205, "Weight Limited", "Volume Limited"))</f>
        <v/>
      </c>
      <c r="V205" s="97">
        <f>B205&amp;"|"&amp;D205&amp;"|"&amp;F205</f>
        <v/>
      </c>
    </row>
    <row r="206" ht="19" customHeight="1">
      <c r="A206" s="98" t="n">
        <v>196</v>
      </c>
      <c r="B206" s="99" t="inlineStr">
        <is>
          <t>Carbon Steel</t>
        </is>
      </c>
      <c r="C206" s="19" t="inlineStr">
        <is>
          <t>ASME B36.10M / B36.19M</t>
        </is>
      </c>
      <c r="D206" s="18" t="inlineStr">
        <is>
          <t>8''</t>
        </is>
      </c>
      <c r="E206" s="98" t="n">
        <v>200</v>
      </c>
      <c r="F206" s="18" t="inlineStr">
        <is>
          <t>XS</t>
        </is>
      </c>
      <c r="G206" s="20" t="n">
        <v>8.625</v>
      </c>
      <c r="H206" s="82" t="n">
        <v>219.07</v>
      </c>
      <c r="I206" s="20" t="n">
        <v>0.5</v>
      </c>
      <c r="J206" s="82" t="n">
        <v>12.7</v>
      </c>
      <c r="K206" s="20">
        <f>ROUND((H206-J206)*J206*IF(B206="Carbon Steel",$K$7,IF(B206="Stainless Steel 304",$K$8,$L$8)), 3)</f>
        <v/>
      </c>
      <c r="L206" s="82">
        <f>ROUND(K206*$G$5, 2)</f>
        <v/>
      </c>
      <c r="M206" s="98">
        <f>INT($G$6/H206)</f>
        <v/>
      </c>
      <c r="N206" s="98">
        <f>IF(M206=0, 0, IF(OR($K$6="Square Grid", M206=1), INT($G$7/H206), IF($G$7&lt;H206, 0, 1+INT(($G$7-H206)/(0.8660254*H206)))))</f>
        <v/>
      </c>
      <c r="O206" s="84">
        <f>IF(OR(M206=0,N206=0), 0, IF(OR($K$6="Square Grid", M206=1), M206*N206*$K$5, (INT((N206+1)/2)*M206 + INT(N206/2)*IF(($G$6-M206*H206)&gt;=0.5*H206, M206, M206-1))*$K$5))</f>
        <v/>
      </c>
      <c r="P206" s="84">
        <f>IF(L206&lt;=0, 0, INT($G$8/L206))</f>
        <v/>
      </c>
      <c r="Q206" s="95">
        <f>MIN(O206, P206)</f>
        <v/>
      </c>
      <c r="R206" s="96">
        <f>ROUND((Q206*L206)/1000, 2)</f>
        <v/>
      </c>
      <c r="S206" s="85">
        <f>IF($C$8&gt;0, R206/$C$8, 0)</f>
        <v/>
      </c>
      <c r="T206" s="85">
        <f>IF(O206&gt;0, Q206/O206, 0)</f>
        <v/>
      </c>
      <c r="U206" s="18">
        <f>IF(Q206=0, "Exceeds Limit", IF(P206&lt;=O206, "Weight Limited", "Volume Limited"))</f>
        <v/>
      </c>
      <c r="V206" s="100">
        <f>B206&amp;"|"&amp;D206&amp;"|"&amp;F206</f>
        <v/>
      </c>
    </row>
    <row r="207" ht="19" customHeight="1">
      <c r="A207" s="93" t="n">
        <v>197</v>
      </c>
      <c r="B207" s="94" t="inlineStr">
        <is>
          <t>Carbon Steel</t>
        </is>
      </c>
      <c r="C207" s="13" t="inlineStr">
        <is>
          <t>ASME B36.10M / B36.19M</t>
        </is>
      </c>
      <c r="D207" s="12" t="inlineStr">
        <is>
          <t>8''</t>
        </is>
      </c>
      <c r="E207" s="93" t="n">
        <v>200</v>
      </c>
      <c r="F207" s="12" t="inlineStr">
        <is>
          <t>80</t>
        </is>
      </c>
      <c r="G207" s="14" t="n">
        <v>8.625</v>
      </c>
      <c r="H207" s="78" t="n">
        <v>219.07</v>
      </c>
      <c r="I207" s="14" t="n">
        <v>0.5</v>
      </c>
      <c r="J207" s="78" t="n">
        <v>12.7</v>
      </c>
      <c r="K207" s="14">
        <f>ROUND((H207-J207)*J207*IF(B207="Carbon Steel",$K$7,IF(B207="Stainless Steel 304",$K$8,$L$8)), 3)</f>
        <v/>
      </c>
      <c r="L207" s="78">
        <f>ROUND(K207*$G$5, 2)</f>
        <v/>
      </c>
      <c r="M207" s="93">
        <f>INT($G$6/H207)</f>
        <v/>
      </c>
      <c r="N207" s="93">
        <f>IF(M207=0, 0, IF(OR($K$6="Square Grid", M207=1), INT($G$7/H207), IF($G$7&lt;H207, 0, 1+INT(($G$7-H207)/(0.8660254*H207)))))</f>
        <v/>
      </c>
      <c r="O207" s="59">
        <f>IF(OR(M207=0,N207=0), 0, IF(OR($K$6="Square Grid", M207=1), M207*N207*$K$5, (INT((N207+1)/2)*M207 + INT(N207/2)*IF(($G$6-M207*H207)&gt;=0.5*H207, M207, M207-1))*$K$5))</f>
        <v/>
      </c>
      <c r="P207" s="59">
        <f>IF(L207&lt;=0, 0, INT($G$8/L207))</f>
        <v/>
      </c>
      <c r="Q207" s="95">
        <f>MIN(O207, P207)</f>
        <v/>
      </c>
      <c r="R207" s="96">
        <f>ROUND((Q207*L207)/1000, 2)</f>
        <v/>
      </c>
      <c r="S207" s="79">
        <f>IF($C$8&gt;0, R207/$C$8, 0)</f>
        <v/>
      </c>
      <c r="T207" s="79">
        <f>IF(O207&gt;0, Q207/O207, 0)</f>
        <v/>
      </c>
      <c r="U207" s="12">
        <f>IF(Q207=0, "Exceeds Limit", IF(P207&lt;=O207, "Weight Limited", "Volume Limited"))</f>
        <v/>
      </c>
      <c r="V207" s="97">
        <f>B207&amp;"|"&amp;D207&amp;"|"&amp;F207</f>
        <v/>
      </c>
    </row>
    <row r="208" ht="19" customHeight="1">
      <c r="A208" s="98" t="n">
        <v>198</v>
      </c>
      <c r="B208" s="99" t="inlineStr">
        <is>
          <t>Carbon Steel</t>
        </is>
      </c>
      <c r="C208" s="19" t="inlineStr">
        <is>
          <t>ASME B36.10M / B36.19M</t>
        </is>
      </c>
      <c r="D208" s="18" t="inlineStr">
        <is>
          <t>8''</t>
        </is>
      </c>
      <c r="E208" s="98" t="n">
        <v>200</v>
      </c>
      <c r="F208" s="18" t="inlineStr">
        <is>
          <t>100</t>
        </is>
      </c>
      <c r="G208" s="20" t="n">
        <v>8.625</v>
      </c>
      <c r="H208" s="82" t="n">
        <v>219.07</v>
      </c>
      <c r="I208" s="20" t="n">
        <v>0.594</v>
      </c>
      <c r="J208" s="82" t="n">
        <v>15.09</v>
      </c>
      <c r="K208" s="20">
        <f>ROUND((H208-J208)*J208*IF(B208="Carbon Steel",$K$7,IF(B208="Stainless Steel 304",$K$8,$L$8)), 3)</f>
        <v/>
      </c>
      <c r="L208" s="82">
        <f>ROUND(K208*$G$5, 2)</f>
        <v/>
      </c>
      <c r="M208" s="98">
        <f>INT($G$6/H208)</f>
        <v/>
      </c>
      <c r="N208" s="98">
        <f>IF(M208=0, 0, IF(OR($K$6="Square Grid", M208=1), INT($G$7/H208), IF($G$7&lt;H208, 0, 1+INT(($G$7-H208)/(0.8660254*H208)))))</f>
        <v/>
      </c>
      <c r="O208" s="84">
        <f>IF(OR(M208=0,N208=0), 0, IF(OR($K$6="Square Grid", M208=1), M208*N208*$K$5, (INT((N208+1)/2)*M208 + INT(N208/2)*IF(($G$6-M208*H208)&gt;=0.5*H208, M208, M208-1))*$K$5))</f>
        <v/>
      </c>
      <c r="P208" s="84">
        <f>IF(L208&lt;=0, 0, INT($G$8/L208))</f>
        <v/>
      </c>
      <c r="Q208" s="95">
        <f>MIN(O208, P208)</f>
        <v/>
      </c>
      <c r="R208" s="96">
        <f>ROUND((Q208*L208)/1000, 2)</f>
        <v/>
      </c>
      <c r="S208" s="85">
        <f>IF($C$8&gt;0, R208/$C$8, 0)</f>
        <v/>
      </c>
      <c r="T208" s="85">
        <f>IF(O208&gt;0, Q208/O208, 0)</f>
        <v/>
      </c>
      <c r="U208" s="18">
        <f>IF(Q208=0, "Exceeds Limit", IF(P208&lt;=O208, "Weight Limited", "Volume Limited"))</f>
        <v/>
      </c>
      <c r="V208" s="100">
        <f>B208&amp;"|"&amp;D208&amp;"|"&amp;F208</f>
        <v/>
      </c>
    </row>
    <row r="209" ht="19" customHeight="1">
      <c r="A209" s="93" t="n">
        <v>199</v>
      </c>
      <c r="B209" s="94" t="inlineStr">
        <is>
          <t>Carbon Steel</t>
        </is>
      </c>
      <c r="C209" s="13" t="inlineStr">
        <is>
          <t>ASME B36.10M / B36.19M</t>
        </is>
      </c>
      <c r="D209" s="12" t="inlineStr">
        <is>
          <t>8''</t>
        </is>
      </c>
      <c r="E209" s="93" t="n">
        <v>200</v>
      </c>
      <c r="F209" s="12" t="inlineStr">
        <is>
          <t>120</t>
        </is>
      </c>
      <c r="G209" s="14" t="n">
        <v>8.625</v>
      </c>
      <c r="H209" s="78" t="n">
        <v>219.07</v>
      </c>
      <c r="I209" s="14" t="n">
        <v>0.719</v>
      </c>
      <c r="J209" s="78" t="n">
        <v>18.26</v>
      </c>
      <c r="K209" s="14">
        <f>ROUND((H209-J209)*J209*IF(B209="Carbon Steel",$K$7,IF(B209="Stainless Steel 304",$K$8,$L$8)), 3)</f>
        <v/>
      </c>
      <c r="L209" s="78">
        <f>ROUND(K209*$G$5, 2)</f>
        <v/>
      </c>
      <c r="M209" s="93">
        <f>INT($G$6/H209)</f>
        <v/>
      </c>
      <c r="N209" s="93">
        <f>IF(M209=0, 0, IF(OR($K$6="Square Grid", M209=1), INT($G$7/H209), IF($G$7&lt;H209, 0, 1+INT(($G$7-H209)/(0.8660254*H209)))))</f>
        <v/>
      </c>
      <c r="O209" s="59">
        <f>IF(OR(M209=0,N209=0), 0, IF(OR($K$6="Square Grid", M209=1), M209*N209*$K$5, (INT((N209+1)/2)*M209 + INT(N209/2)*IF(($G$6-M209*H209)&gt;=0.5*H209, M209, M209-1))*$K$5))</f>
        <v/>
      </c>
      <c r="P209" s="59">
        <f>IF(L209&lt;=0, 0, INT($G$8/L209))</f>
        <v/>
      </c>
      <c r="Q209" s="95">
        <f>MIN(O209, P209)</f>
        <v/>
      </c>
      <c r="R209" s="96">
        <f>ROUND((Q209*L209)/1000, 2)</f>
        <v/>
      </c>
      <c r="S209" s="79">
        <f>IF($C$8&gt;0, R209/$C$8, 0)</f>
        <v/>
      </c>
      <c r="T209" s="79">
        <f>IF(O209&gt;0, Q209/O209, 0)</f>
        <v/>
      </c>
      <c r="U209" s="12">
        <f>IF(Q209=0, "Exceeds Limit", IF(P209&lt;=O209, "Weight Limited", "Volume Limited"))</f>
        <v/>
      </c>
      <c r="V209" s="97">
        <f>B209&amp;"|"&amp;D209&amp;"|"&amp;F209</f>
        <v/>
      </c>
    </row>
    <row r="210" ht="19" customHeight="1">
      <c r="A210" s="98" t="n">
        <v>200</v>
      </c>
      <c r="B210" s="99" t="inlineStr">
        <is>
          <t>Carbon Steel</t>
        </is>
      </c>
      <c r="C210" s="19" t="inlineStr">
        <is>
          <t>ASME B36.10M / B36.19M</t>
        </is>
      </c>
      <c r="D210" s="18" t="inlineStr">
        <is>
          <t>8''</t>
        </is>
      </c>
      <c r="E210" s="98" t="n">
        <v>200</v>
      </c>
      <c r="F210" s="18" t="inlineStr">
        <is>
          <t>140</t>
        </is>
      </c>
      <c r="G210" s="20" t="n">
        <v>8.625</v>
      </c>
      <c r="H210" s="82" t="n">
        <v>219.07</v>
      </c>
      <c r="I210" s="20" t="n">
        <v>0.8120000000000001</v>
      </c>
      <c r="J210" s="82" t="n">
        <v>20.62</v>
      </c>
      <c r="K210" s="20">
        <f>ROUND((H210-J210)*J210*IF(B210="Carbon Steel",$K$7,IF(B210="Stainless Steel 304",$K$8,$L$8)), 3)</f>
        <v/>
      </c>
      <c r="L210" s="82">
        <f>ROUND(K210*$G$5, 2)</f>
        <v/>
      </c>
      <c r="M210" s="98">
        <f>INT($G$6/H210)</f>
        <v/>
      </c>
      <c r="N210" s="98">
        <f>IF(M210=0, 0, IF(OR($K$6="Square Grid", M210=1), INT($G$7/H210), IF($G$7&lt;H210, 0, 1+INT(($G$7-H210)/(0.8660254*H210)))))</f>
        <v/>
      </c>
      <c r="O210" s="84">
        <f>IF(OR(M210=0,N210=0), 0, IF(OR($K$6="Square Grid", M210=1), M210*N210*$K$5, (INT((N210+1)/2)*M210 + INT(N210/2)*IF(($G$6-M210*H210)&gt;=0.5*H210, M210, M210-1))*$K$5))</f>
        <v/>
      </c>
      <c r="P210" s="84">
        <f>IF(L210&lt;=0, 0, INT($G$8/L210))</f>
        <v/>
      </c>
      <c r="Q210" s="95">
        <f>MIN(O210, P210)</f>
        <v/>
      </c>
      <c r="R210" s="96">
        <f>ROUND((Q210*L210)/1000, 2)</f>
        <v/>
      </c>
      <c r="S210" s="85">
        <f>IF($C$8&gt;0, R210/$C$8, 0)</f>
        <v/>
      </c>
      <c r="T210" s="85">
        <f>IF(O210&gt;0, Q210/O210, 0)</f>
        <v/>
      </c>
      <c r="U210" s="18">
        <f>IF(Q210=0, "Exceeds Limit", IF(P210&lt;=O210, "Weight Limited", "Volume Limited"))</f>
        <v/>
      </c>
      <c r="V210" s="100">
        <f>B210&amp;"|"&amp;D210&amp;"|"&amp;F210</f>
        <v/>
      </c>
    </row>
    <row r="211" ht="19" customHeight="1">
      <c r="A211" s="93" t="n">
        <v>201</v>
      </c>
      <c r="B211" s="94" t="inlineStr">
        <is>
          <t>Carbon Steel</t>
        </is>
      </c>
      <c r="C211" s="13" t="inlineStr">
        <is>
          <t>ASME B36.10M / B36.19M</t>
        </is>
      </c>
      <c r="D211" s="12" t="inlineStr">
        <is>
          <t>8''</t>
        </is>
      </c>
      <c r="E211" s="93" t="n">
        <v>200</v>
      </c>
      <c r="F211" s="12" t="inlineStr">
        <is>
          <t>160</t>
        </is>
      </c>
      <c r="G211" s="14" t="n">
        <v>8.625</v>
      </c>
      <c r="H211" s="78" t="n">
        <v>219.07</v>
      </c>
      <c r="I211" s="14" t="n">
        <v>0.906</v>
      </c>
      <c r="J211" s="78" t="n">
        <v>23.01</v>
      </c>
      <c r="K211" s="14">
        <f>ROUND((H211-J211)*J211*IF(B211="Carbon Steel",$K$7,IF(B211="Stainless Steel 304",$K$8,$L$8)), 3)</f>
        <v/>
      </c>
      <c r="L211" s="78">
        <f>ROUND(K211*$G$5, 2)</f>
        <v/>
      </c>
      <c r="M211" s="93">
        <f>INT($G$6/H211)</f>
        <v/>
      </c>
      <c r="N211" s="93">
        <f>IF(M211=0, 0, IF(OR($K$6="Square Grid", M211=1), INT($G$7/H211), IF($G$7&lt;H211, 0, 1+INT(($G$7-H211)/(0.8660254*H211)))))</f>
        <v/>
      </c>
      <c r="O211" s="59">
        <f>IF(OR(M211=0,N211=0), 0, IF(OR($K$6="Square Grid", M211=1), M211*N211*$K$5, (INT((N211+1)/2)*M211 + INT(N211/2)*IF(($G$6-M211*H211)&gt;=0.5*H211, M211, M211-1))*$K$5))</f>
        <v/>
      </c>
      <c r="P211" s="59">
        <f>IF(L211&lt;=0, 0, INT($G$8/L211))</f>
        <v/>
      </c>
      <c r="Q211" s="95">
        <f>MIN(O211, P211)</f>
        <v/>
      </c>
      <c r="R211" s="96">
        <f>ROUND((Q211*L211)/1000, 2)</f>
        <v/>
      </c>
      <c r="S211" s="79">
        <f>IF($C$8&gt;0, R211/$C$8, 0)</f>
        <v/>
      </c>
      <c r="T211" s="79">
        <f>IF(O211&gt;0, Q211/O211, 0)</f>
        <v/>
      </c>
      <c r="U211" s="12">
        <f>IF(Q211=0, "Exceeds Limit", IF(P211&lt;=O211, "Weight Limited", "Volume Limited"))</f>
        <v/>
      </c>
      <c r="V211" s="97">
        <f>B211&amp;"|"&amp;D211&amp;"|"&amp;F211</f>
        <v/>
      </c>
    </row>
    <row r="212" ht="19" customHeight="1">
      <c r="A212" s="98" t="n">
        <v>202</v>
      </c>
      <c r="B212" s="99" t="inlineStr">
        <is>
          <t>Carbon Steel</t>
        </is>
      </c>
      <c r="C212" s="19" t="inlineStr">
        <is>
          <t>ASME B36.10M / B36.19M</t>
        </is>
      </c>
      <c r="D212" s="18" t="inlineStr">
        <is>
          <t>8''</t>
        </is>
      </c>
      <c r="E212" s="98" t="n">
        <v>200</v>
      </c>
      <c r="F212" s="18" t="inlineStr">
        <is>
          <t>XXS</t>
        </is>
      </c>
      <c r="G212" s="20" t="n">
        <v>8.625</v>
      </c>
      <c r="H212" s="82" t="n">
        <v>219.07</v>
      </c>
      <c r="I212" s="20" t="n">
        <v>0.875</v>
      </c>
      <c r="J212" s="82" t="n">
        <v>22.22</v>
      </c>
      <c r="K212" s="20">
        <f>ROUND((H212-J212)*J212*IF(B212="Carbon Steel",$K$7,IF(B212="Stainless Steel 304",$K$8,$L$8)), 3)</f>
        <v/>
      </c>
      <c r="L212" s="82">
        <f>ROUND(K212*$G$5, 2)</f>
        <v/>
      </c>
      <c r="M212" s="98">
        <f>INT($G$6/H212)</f>
        <v/>
      </c>
      <c r="N212" s="98">
        <f>IF(M212=0, 0, IF(OR($K$6="Square Grid", M212=1), INT($G$7/H212), IF($G$7&lt;H212, 0, 1+INT(($G$7-H212)/(0.8660254*H212)))))</f>
        <v/>
      </c>
      <c r="O212" s="84">
        <f>IF(OR(M212=0,N212=0), 0, IF(OR($K$6="Square Grid", M212=1), M212*N212*$K$5, (INT((N212+1)/2)*M212 + INT(N212/2)*IF(($G$6-M212*H212)&gt;=0.5*H212, M212, M212-1))*$K$5))</f>
        <v/>
      </c>
      <c r="P212" s="84">
        <f>IF(L212&lt;=0, 0, INT($G$8/L212))</f>
        <v/>
      </c>
      <c r="Q212" s="95">
        <f>MIN(O212, P212)</f>
        <v/>
      </c>
      <c r="R212" s="96">
        <f>ROUND((Q212*L212)/1000, 2)</f>
        <v/>
      </c>
      <c r="S212" s="85">
        <f>IF($C$8&gt;0, R212/$C$8, 0)</f>
        <v/>
      </c>
      <c r="T212" s="85">
        <f>IF(O212&gt;0, Q212/O212, 0)</f>
        <v/>
      </c>
      <c r="U212" s="18">
        <f>IF(Q212=0, "Exceeds Limit", IF(P212&lt;=O212, "Weight Limited", "Volume Limited"))</f>
        <v/>
      </c>
      <c r="V212" s="100">
        <f>B212&amp;"|"&amp;D212&amp;"|"&amp;F212</f>
        <v/>
      </c>
    </row>
    <row r="213" ht="19" customHeight="1">
      <c r="A213" s="93" t="n">
        <v>203</v>
      </c>
      <c r="B213" s="94" t="inlineStr">
        <is>
          <t>Carbon Steel</t>
        </is>
      </c>
      <c r="C213" s="13" t="inlineStr">
        <is>
          <t>ASME B36.10M / B36.19M</t>
        </is>
      </c>
      <c r="D213" s="12" t="inlineStr">
        <is>
          <t>10''</t>
        </is>
      </c>
      <c r="E213" s="93" t="n">
        <v>250</v>
      </c>
      <c r="F213" s="12" t="inlineStr">
        <is>
          <t>5S</t>
        </is>
      </c>
      <c r="G213" s="14" t="n">
        <v>10.75</v>
      </c>
      <c r="H213" s="78" t="n">
        <v>273.05</v>
      </c>
      <c r="I213" s="14" t="n">
        <v>0.134</v>
      </c>
      <c r="J213" s="78" t="n">
        <v>3.4</v>
      </c>
      <c r="K213" s="14">
        <f>ROUND((H213-J213)*J213*IF(B213="Carbon Steel",$K$7,IF(B213="Stainless Steel 304",$K$8,$L$8)), 3)</f>
        <v/>
      </c>
      <c r="L213" s="78">
        <f>ROUND(K213*$G$5, 2)</f>
        <v/>
      </c>
      <c r="M213" s="93">
        <f>INT($G$6/H213)</f>
        <v/>
      </c>
      <c r="N213" s="93">
        <f>IF(M213=0, 0, IF(OR($K$6="Square Grid", M213=1), INT($G$7/H213), IF($G$7&lt;H213, 0, 1+INT(($G$7-H213)/(0.8660254*H213)))))</f>
        <v/>
      </c>
      <c r="O213" s="59">
        <f>IF(OR(M213=0,N213=0), 0, IF(OR($K$6="Square Grid", M213=1), M213*N213*$K$5, (INT((N213+1)/2)*M213 + INT(N213/2)*IF(($G$6-M213*H213)&gt;=0.5*H213, M213, M213-1))*$K$5))</f>
        <v/>
      </c>
      <c r="P213" s="59">
        <f>IF(L213&lt;=0, 0, INT($G$8/L213))</f>
        <v/>
      </c>
      <c r="Q213" s="95">
        <f>MIN(O213, P213)</f>
        <v/>
      </c>
      <c r="R213" s="96">
        <f>ROUND((Q213*L213)/1000, 2)</f>
        <v/>
      </c>
      <c r="S213" s="79">
        <f>IF($C$8&gt;0, R213/$C$8, 0)</f>
        <v/>
      </c>
      <c r="T213" s="79">
        <f>IF(O213&gt;0, Q213/O213, 0)</f>
        <v/>
      </c>
      <c r="U213" s="12">
        <f>IF(Q213=0, "Exceeds Limit", IF(P213&lt;=O213, "Weight Limited", "Volume Limited"))</f>
        <v/>
      </c>
      <c r="V213" s="97">
        <f>B213&amp;"|"&amp;D213&amp;"|"&amp;F213</f>
        <v/>
      </c>
    </row>
    <row r="214" ht="19" customHeight="1">
      <c r="A214" s="98" t="n">
        <v>204</v>
      </c>
      <c r="B214" s="99" t="inlineStr">
        <is>
          <t>Carbon Steel</t>
        </is>
      </c>
      <c r="C214" s="19" t="inlineStr">
        <is>
          <t>ASME B36.10M / B36.19M</t>
        </is>
      </c>
      <c r="D214" s="18" t="inlineStr">
        <is>
          <t>10''</t>
        </is>
      </c>
      <c r="E214" s="98" t="n">
        <v>250</v>
      </c>
      <c r="F214" s="18" t="inlineStr">
        <is>
          <t>5</t>
        </is>
      </c>
      <c r="G214" s="20" t="n">
        <v>10.75</v>
      </c>
      <c r="H214" s="82" t="n">
        <v>273.05</v>
      </c>
      <c r="I214" s="20" t="n">
        <v>0.134</v>
      </c>
      <c r="J214" s="82" t="n">
        <v>3.4</v>
      </c>
      <c r="K214" s="20">
        <f>ROUND((H214-J214)*J214*IF(B214="Carbon Steel",$K$7,IF(B214="Stainless Steel 304",$K$8,$L$8)), 3)</f>
        <v/>
      </c>
      <c r="L214" s="82">
        <f>ROUND(K214*$G$5, 2)</f>
        <v/>
      </c>
      <c r="M214" s="98">
        <f>INT($G$6/H214)</f>
        <v/>
      </c>
      <c r="N214" s="98">
        <f>IF(M214=0, 0, IF(OR($K$6="Square Grid", M214=1), INT($G$7/H214), IF($G$7&lt;H214, 0, 1+INT(($G$7-H214)/(0.8660254*H214)))))</f>
        <v/>
      </c>
      <c r="O214" s="84">
        <f>IF(OR(M214=0,N214=0), 0, IF(OR($K$6="Square Grid", M214=1), M214*N214*$K$5, (INT((N214+1)/2)*M214 + INT(N214/2)*IF(($G$6-M214*H214)&gt;=0.5*H214, M214, M214-1))*$K$5))</f>
        <v/>
      </c>
      <c r="P214" s="84">
        <f>IF(L214&lt;=0, 0, INT($G$8/L214))</f>
        <v/>
      </c>
      <c r="Q214" s="95">
        <f>MIN(O214, P214)</f>
        <v/>
      </c>
      <c r="R214" s="96">
        <f>ROUND((Q214*L214)/1000, 2)</f>
        <v/>
      </c>
      <c r="S214" s="85">
        <f>IF($C$8&gt;0, R214/$C$8, 0)</f>
        <v/>
      </c>
      <c r="T214" s="85">
        <f>IF(O214&gt;0, Q214/O214, 0)</f>
        <v/>
      </c>
      <c r="U214" s="18">
        <f>IF(Q214=0, "Exceeds Limit", IF(P214&lt;=O214, "Weight Limited", "Volume Limited"))</f>
        <v/>
      </c>
      <c r="V214" s="100">
        <f>B214&amp;"|"&amp;D214&amp;"|"&amp;F214</f>
        <v/>
      </c>
    </row>
    <row r="215" ht="19" customHeight="1">
      <c r="A215" s="93" t="n">
        <v>205</v>
      </c>
      <c r="B215" s="94" t="inlineStr">
        <is>
          <t>Carbon Steel</t>
        </is>
      </c>
      <c r="C215" s="13" t="inlineStr">
        <is>
          <t>ASME B36.10M / B36.19M</t>
        </is>
      </c>
      <c r="D215" s="12" t="inlineStr">
        <is>
          <t>10''</t>
        </is>
      </c>
      <c r="E215" s="93" t="n">
        <v>250</v>
      </c>
      <c r="F215" s="12" t="inlineStr">
        <is>
          <t>10S</t>
        </is>
      </c>
      <c r="G215" s="14" t="n">
        <v>10.75</v>
      </c>
      <c r="H215" s="78" t="n">
        <v>273.05</v>
      </c>
      <c r="I215" s="14" t="n">
        <v>0.165</v>
      </c>
      <c r="J215" s="78" t="n">
        <v>4.19</v>
      </c>
      <c r="K215" s="14">
        <f>ROUND((H215-J215)*J215*IF(B215="Carbon Steel",$K$7,IF(B215="Stainless Steel 304",$K$8,$L$8)), 3)</f>
        <v/>
      </c>
      <c r="L215" s="78">
        <f>ROUND(K215*$G$5, 2)</f>
        <v/>
      </c>
      <c r="M215" s="93">
        <f>INT($G$6/H215)</f>
        <v/>
      </c>
      <c r="N215" s="93">
        <f>IF(M215=0, 0, IF(OR($K$6="Square Grid", M215=1), INT($G$7/H215), IF($G$7&lt;H215, 0, 1+INT(($G$7-H215)/(0.8660254*H215)))))</f>
        <v/>
      </c>
      <c r="O215" s="59">
        <f>IF(OR(M215=0,N215=0), 0, IF(OR($K$6="Square Grid", M215=1), M215*N215*$K$5, (INT((N215+1)/2)*M215 + INT(N215/2)*IF(($G$6-M215*H215)&gt;=0.5*H215, M215, M215-1))*$K$5))</f>
        <v/>
      </c>
      <c r="P215" s="59">
        <f>IF(L215&lt;=0, 0, INT($G$8/L215))</f>
        <v/>
      </c>
      <c r="Q215" s="95">
        <f>MIN(O215, P215)</f>
        <v/>
      </c>
      <c r="R215" s="96">
        <f>ROUND((Q215*L215)/1000, 2)</f>
        <v/>
      </c>
      <c r="S215" s="79">
        <f>IF($C$8&gt;0, R215/$C$8, 0)</f>
        <v/>
      </c>
      <c r="T215" s="79">
        <f>IF(O215&gt;0, Q215/O215, 0)</f>
        <v/>
      </c>
      <c r="U215" s="12">
        <f>IF(Q215=0, "Exceeds Limit", IF(P215&lt;=O215, "Weight Limited", "Volume Limited"))</f>
        <v/>
      </c>
      <c r="V215" s="97">
        <f>B215&amp;"|"&amp;D215&amp;"|"&amp;F215</f>
        <v/>
      </c>
    </row>
    <row r="216" ht="19" customHeight="1">
      <c r="A216" s="98" t="n">
        <v>206</v>
      </c>
      <c r="B216" s="99" t="inlineStr">
        <is>
          <t>Carbon Steel</t>
        </is>
      </c>
      <c r="C216" s="19" t="inlineStr">
        <is>
          <t>ASME B36.10M / B36.19M</t>
        </is>
      </c>
      <c r="D216" s="18" t="inlineStr">
        <is>
          <t>10''</t>
        </is>
      </c>
      <c r="E216" s="98" t="n">
        <v>250</v>
      </c>
      <c r="F216" s="18" t="inlineStr">
        <is>
          <t>10</t>
        </is>
      </c>
      <c r="G216" s="20" t="n">
        <v>10.75</v>
      </c>
      <c r="H216" s="82" t="n">
        <v>273.05</v>
      </c>
      <c r="I216" s="20" t="n">
        <v>0.165</v>
      </c>
      <c r="J216" s="82" t="n">
        <v>4.19</v>
      </c>
      <c r="K216" s="20">
        <f>ROUND((H216-J216)*J216*IF(B216="Carbon Steel",$K$7,IF(B216="Stainless Steel 304",$K$8,$L$8)), 3)</f>
        <v/>
      </c>
      <c r="L216" s="82">
        <f>ROUND(K216*$G$5, 2)</f>
        <v/>
      </c>
      <c r="M216" s="98">
        <f>INT($G$6/H216)</f>
        <v/>
      </c>
      <c r="N216" s="98">
        <f>IF(M216=0, 0, IF(OR($K$6="Square Grid", M216=1), INT($G$7/H216), IF($G$7&lt;H216, 0, 1+INT(($G$7-H216)/(0.8660254*H216)))))</f>
        <v/>
      </c>
      <c r="O216" s="84">
        <f>IF(OR(M216=0,N216=0), 0, IF(OR($K$6="Square Grid", M216=1), M216*N216*$K$5, (INT((N216+1)/2)*M216 + INT(N216/2)*IF(($G$6-M216*H216)&gt;=0.5*H216, M216, M216-1))*$K$5))</f>
        <v/>
      </c>
      <c r="P216" s="84">
        <f>IF(L216&lt;=0, 0, INT($G$8/L216))</f>
        <v/>
      </c>
      <c r="Q216" s="95">
        <f>MIN(O216, P216)</f>
        <v/>
      </c>
      <c r="R216" s="96">
        <f>ROUND((Q216*L216)/1000, 2)</f>
        <v/>
      </c>
      <c r="S216" s="85">
        <f>IF($C$8&gt;0, R216/$C$8, 0)</f>
        <v/>
      </c>
      <c r="T216" s="85">
        <f>IF(O216&gt;0, Q216/O216, 0)</f>
        <v/>
      </c>
      <c r="U216" s="18">
        <f>IF(Q216=0, "Exceeds Limit", IF(P216&lt;=O216, "Weight Limited", "Volume Limited"))</f>
        <v/>
      </c>
      <c r="V216" s="100">
        <f>B216&amp;"|"&amp;D216&amp;"|"&amp;F216</f>
        <v/>
      </c>
    </row>
    <row r="217" ht="19" customHeight="1">
      <c r="A217" s="93" t="n">
        <v>207</v>
      </c>
      <c r="B217" s="94" t="inlineStr">
        <is>
          <t>Carbon Steel</t>
        </is>
      </c>
      <c r="C217" s="13" t="inlineStr">
        <is>
          <t>ASME B36.10M / B36.19M</t>
        </is>
      </c>
      <c r="D217" s="12" t="inlineStr">
        <is>
          <t>10''</t>
        </is>
      </c>
      <c r="E217" s="93" t="n">
        <v>250</v>
      </c>
      <c r="F217" s="12" t="inlineStr">
        <is>
          <t>20</t>
        </is>
      </c>
      <c r="G217" s="14" t="n">
        <v>10.75</v>
      </c>
      <c r="H217" s="78" t="n">
        <v>273.05</v>
      </c>
      <c r="I217" s="14" t="n">
        <v>0.25</v>
      </c>
      <c r="J217" s="78" t="n">
        <v>6.35</v>
      </c>
      <c r="K217" s="14">
        <f>ROUND((H217-J217)*J217*IF(B217="Carbon Steel",$K$7,IF(B217="Stainless Steel 304",$K$8,$L$8)), 3)</f>
        <v/>
      </c>
      <c r="L217" s="78">
        <f>ROUND(K217*$G$5, 2)</f>
        <v/>
      </c>
      <c r="M217" s="93">
        <f>INT($G$6/H217)</f>
        <v/>
      </c>
      <c r="N217" s="93">
        <f>IF(M217=0, 0, IF(OR($K$6="Square Grid", M217=1), INT($G$7/H217), IF($G$7&lt;H217, 0, 1+INT(($G$7-H217)/(0.8660254*H217)))))</f>
        <v/>
      </c>
      <c r="O217" s="59">
        <f>IF(OR(M217=0,N217=0), 0, IF(OR($K$6="Square Grid", M217=1), M217*N217*$K$5, (INT((N217+1)/2)*M217 + INT(N217/2)*IF(($G$6-M217*H217)&gt;=0.5*H217, M217, M217-1))*$K$5))</f>
        <v/>
      </c>
      <c r="P217" s="59">
        <f>IF(L217&lt;=0, 0, INT($G$8/L217))</f>
        <v/>
      </c>
      <c r="Q217" s="95">
        <f>MIN(O217, P217)</f>
        <v/>
      </c>
      <c r="R217" s="96">
        <f>ROUND((Q217*L217)/1000, 2)</f>
        <v/>
      </c>
      <c r="S217" s="79">
        <f>IF($C$8&gt;0, R217/$C$8, 0)</f>
        <v/>
      </c>
      <c r="T217" s="79">
        <f>IF(O217&gt;0, Q217/O217, 0)</f>
        <v/>
      </c>
      <c r="U217" s="12">
        <f>IF(Q217=0, "Exceeds Limit", IF(P217&lt;=O217, "Weight Limited", "Volume Limited"))</f>
        <v/>
      </c>
      <c r="V217" s="97">
        <f>B217&amp;"|"&amp;D217&amp;"|"&amp;F217</f>
        <v/>
      </c>
    </row>
    <row r="218" ht="19" customHeight="1">
      <c r="A218" s="98" t="n">
        <v>208</v>
      </c>
      <c r="B218" s="99" t="inlineStr">
        <is>
          <t>Carbon Steel</t>
        </is>
      </c>
      <c r="C218" s="19" t="inlineStr">
        <is>
          <t>ASME B36.10M / B36.19M</t>
        </is>
      </c>
      <c r="D218" s="18" t="inlineStr">
        <is>
          <t>10''</t>
        </is>
      </c>
      <c r="E218" s="98" t="n">
        <v>250</v>
      </c>
      <c r="F218" s="18" t="inlineStr">
        <is>
          <t>30</t>
        </is>
      </c>
      <c r="G218" s="20" t="n">
        <v>10.75</v>
      </c>
      <c r="H218" s="82" t="n">
        <v>273.05</v>
      </c>
      <c r="I218" s="20" t="n">
        <v>0.307</v>
      </c>
      <c r="J218" s="82" t="n">
        <v>7.8</v>
      </c>
      <c r="K218" s="20">
        <f>ROUND((H218-J218)*J218*IF(B218="Carbon Steel",$K$7,IF(B218="Stainless Steel 304",$K$8,$L$8)), 3)</f>
        <v/>
      </c>
      <c r="L218" s="82">
        <f>ROUND(K218*$G$5, 2)</f>
        <v/>
      </c>
      <c r="M218" s="98">
        <f>INT($G$6/H218)</f>
        <v/>
      </c>
      <c r="N218" s="98">
        <f>IF(M218=0, 0, IF(OR($K$6="Square Grid", M218=1), INT($G$7/H218), IF($G$7&lt;H218, 0, 1+INT(($G$7-H218)/(0.8660254*H218)))))</f>
        <v/>
      </c>
      <c r="O218" s="84">
        <f>IF(OR(M218=0,N218=0), 0, IF(OR($K$6="Square Grid", M218=1), M218*N218*$K$5, (INT((N218+1)/2)*M218 + INT(N218/2)*IF(($G$6-M218*H218)&gt;=0.5*H218, M218, M218-1))*$K$5))</f>
        <v/>
      </c>
      <c r="P218" s="84">
        <f>IF(L218&lt;=0, 0, INT($G$8/L218))</f>
        <v/>
      </c>
      <c r="Q218" s="95">
        <f>MIN(O218, P218)</f>
        <v/>
      </c>
      <c r="R218" s="96">
        <f>ROUND((Q218*L218)/1000, 2)</f>
        <v/>
      </c>
      <c r="S218" s="85">
        <f>IF($C$8&gt;0, R218/$C$8, 0)</f>
        <v/>
      </c>
      <c r="T218" s="85">
        <f>IF(O218&gt;0, Q218/O218, 0)</f>
        <v/>
      </c>
      <c r="U218" s="18">
        <f>IF(Q218=0, "Exceeds Limit", IF(P218&lt;=O218, "Weight Limited", "Volume Limited"))</f>
        <v/>
      </c>
      <c r="V218" s="100">
        <f>B218&amp;"|"&amp;D218&amp;"|"&amp;F218</f>
        <v/>
      </c>
    </row>
    <row r="219" ht="19" customHeight="1">
      <c r="A219" s="93" t="n">
        <v>209</v>
      </c>
      <c r="B219" s="94" t="inlineStr">
        <is>
          <t>Carbon Steel</t>
        </is>
      </c>
      <c r="C219" s="13" t="inlineStr">
        <is>
          <t>ASME B36.10M / B36.19M</t>
        </is>
      </c>
      <c r="D219" s="12" t="inlineStr">
        <is>
          <t>10''</t>
        </is>
      </c>
      <c r="E219" s="93" t="n">
        <v>250</v>
      </c>
      <c r="F219" s="12" t="inlineStr">
        <is>
          <t>40S</t>
        </is>
      </c>
      <c r="G219" s="14" t="n">
        <v>10.75</v>
      </c>
      <c r="H219" s="78" t="n">
        <v>273.05</v>
      </c>
      <c r="I219" s="14" t="n">
        <v>0.365</v>
      </c>
      <c r="J219" s="78" t="n">
        <v>9.27</v>
      </c>
      <c r="K219" s="14">
        <f>ROUND((H219-J219)*J219*IF(B219="Carbon Steel",$K$7,IF(B219="Stainless Steel 304",$K$8,$L$8)), 3)</f>
        <v/>
      </c>
      <c r="L219" s="78">
        <f>ROUND(K219*$G$5, 2)</f>
        <v/>
      </c>
      <c r="M219" s="93">
        <f>INT($G$6/H219)</f>
        <v/>
      </c>
      <c r="N219" s="93">
        <f>IF(M219=0, 0, IF(OR($K$6="Square Grid", M219=1), INT($G$7/H219), IF($G$7&lt;H219, 0, 1+INT(($G$7-H219)/(0.8660254*H219)))))</f>
        <v/>
      </c>
      <c r="O219" s="59">
        <f>IF(OR(M219=0,N219=0), 0, IF(OR($K$6="Square Grid", M219=1), M219*N219*$K$5, (INT((N219+1)/2)*M219 + INT(N219/2)*IF(($G$6-M219*H219)&gt;=0.5*H219, M219, M219-1))*$K$5))</f>
        <v/>
      </c>
      <c r="P219" s="59">
        <f>IF(L219&lt;=0, 0, INT($G$8/L219))</f>
        <v/>
      </c>
      <c r="Q219" s="95">
        <f>MIN(O219, P219)</f>
        <v/>
      </c>
      <c r="R219" s="96">
        <f>ROUND((Q219*L219)/1000, 2)</f>
        <v/>
      </c>
      <c r="S219" s="79">
        <f>IF($C$8&gt;0, R219/$C$8, 0)</f>
        <v/>
      </c>
      <c r="T219" s="79">
        <f>IF(O219&gt;0, Q219/O219, 0)</f>
        <v/>
      </c>
      <c r="U219" s="12">
        <f>IF(Q219=0, "Exceeds Limit", IF(P219&lt;=O219, "Weight Limited", "Volume Limited"))</f>
        <v/>
      </c>
      <c r="V219" s="97">
        <f>B219&amp;"|"&amp;D219&amp;"|"&amp;F219</f>
        <v/>
      </c>
    </row>
    <row r="220" ht="19" customHeight="1">
      <c r="A220" s="98" t="n">
        <v>210</v>
      </c>
      <c r="B220" s="99" t="inlineStr">
        <is>
          <t>Carbon Steel</t>
        </is>
      </c>
      <c r="C220" s="19" t="inlineStr">
        <is>
          <t>ASME B36.10M / B36.19M</t>
        </is>
      </c>
      <c r="D220" s="18" t="inlineStr">
        <is>
          <t>10''</t>
        </is>
      </c>
      <c r="E220" s="98" t="n">
        <v>250</v>
      </c>
      <c r="F220" s="18" t="inlineStr">
        <is>
          <t>STD</t>
        </is>
      </c>
      <c r="G220" s="20" t="n">
        <v>10.75</v>
      </c>
      <c r="H220" s="82" t="n">
        <v>273.05</v>
      </c>
      <c r="I220" s="20" t="n">
        <v>0.365</v>
      </c>
      <c r="J220" s="82" t="n">
        <v>9.27</v>
      </c>
      <c r="K220" s="20">
        <f>ROUND((H220-J220)*J220*IF(B220="Carbon Steel",$K$7,IF(B220="Stainless Steel 304",$K$8,$L$8)), 3)</f>
        <v/>
      </c>
      <c r="L220" s="82">
        <f>ROUND(K220*$G$5, 2)</f>
        <v/>
      </c>
      <c r="M220" s="98">
        <f>INT($G$6/H220)</f>
        <v/>
      </c>
      <c r="N220" s="98">
        <f>IF(M220=0, 0, IF(OR($K$6="Square Grid", M220=1), INT($G$7/H220), IF($G$7&lt;H220, 0, 1+INT(($G$7-H220)/(0.8660254*H220)))))</f>
        <v/>
      </c>
      <c r="O220" s="84">
        <f>IF(OR(M220=0,N220=0), 0, IF(OR($K$6="Square Grid", M220=1), M220*N220*$K$5, (INT((N220+1)/2)*M220 + INT(N220/2)*IF(($G$6-M220*H220)&gt;=0.5*H220, M220, M220-1))*$K$5))</f>
        <v/>
      </c>
      <c r="P220" s="84">
        <f>IF(L220&lt;=0, 0, INT($G$8/L220))</f>
        <v/>
      </c>
      <c r="Q220" s="95">
        <f>MIN(O220, P220)</f>
        <v/>
      </c>
      <c r="R220" s="96">
        <f>ROUND((Q220*L220)/1000, 2)</f>
        <v/>
      </c>
      <c r="S220" s="85">
        <f>IF($C$8&gt;0, R220/$C$8, 0)</f>
        <v/>
      </c>
      <c r="T220" s="85">
        <f>IF(O220&gt;0, Q220/O220, 0)</f>
        <v/>
      </c>
      <c r="U220" s="18">
        <f>IF(Q220=0, "Exceeds Limit", IF(P220&lt;=O220, "Weight Limited", "Volume Limited"))</f>
        <v/>
      </c>
      <c r="V220" s="100">
        <f>B220&amp;"|"&amp;D220&amp;"|"&amp;F220</f>
        <v/>
      </c>
    </row>
    <row r="221" ht="19" customHeight="1">
      <c r="A221" s="93" t="n">
        <v>211</v>
      </c>
      <c r="B221" s="94" t="inlineStr">
        <is>
          <t>Carbon Steel</t>
        </is>
      </c>
      <c r="C221" s="13" t="inlineStr">
        <is>
          <t>ASME B36.10M / B36.19M</t>
        </is>
      </c>
      <c r="D221" s="12" t="inlineStr">
        <is>
          <t>10''</t>
        </is>
      </c>
      <c r="E221" s="93" t="n">
        <v>250</v>
      </c>
      <c r="F221" s="12" t="inlineStr">
        <is>
          <t>40</t>
        </is>
      </c>
      <c r="G221" s="14" t="n">
        <v>10.75</v>
      </c>
      <c r="H221" s="78" t="n">
        <v>273.05</v>
      </c>
      <c r="I221" s="14" t="n">
        <v>0.365</v>
      </c>
      <c r="J221" s="78" t="n">
        <v>9.27</v>
      </c>
      <c r="K221" s="14">
        <f>ROUND((H221-J221)*J221*IF(B221="Carbon Steel",$K$7,IF(B221="Stainless Steel 304",$K$8,$L$8)), 3)</f>
        <v/>
      </c>
      <c r="L221" s="78">
        <f>ROUND(K221*$G$5, 2)</f>
        <v/>
      </c>
      <c r="M221" s="93">
        <f>INT($G$6/H221)</f>
        <v/>
      </c>
      <c r="N221" s="93">
        <f>IF(M221=0, 0, IF(OR($K$6="Square Grid", M221=1), INT($G$7/H221), IF($G$7&lt;H221, 0, 1+INT(($G$7-H221)/(0.8660254*H221)))))</f>
        <v/>
      </c>
      <c r="O221" s="59">
        <f>IF(OR(M221=0,N221=0), 0, IF(OR($K$6="Square Grid", M221=1), M221*N221*$K$5, (INT((N221+1)/2)*M221 + INT(N221/2)*IF(($G$6-M221*H221)&gt;=0.5*H221, M221, M221-1))*$K$5))</f>
        <v/>
      </c>
      <c r="P221" s="59">
        <f>IF(L221&lt;=0, 0, INT($G$8/L221))</f>
        <v/>
      </c>
      <c r="Q221" s="95">
        <f>MIN(O221, P221)</f>
        <v/>
      </c>
      <c r="R221" s="96">
        <f>ROUND((Q221*L221)/1000, 2)</f>
        <v/>
      </c>
      <c r="S221" s="79">
        <f>IF($C$8&gt;0, R221/$C$8, 0)</f>
        <v/>
      </c>
      <c r="T221" s="79">
        <f>IF(O221&gt;0, Q221/O221, 0)</f>
        <v/>
      </c>
      <c r="U221" s="12">
        <f>IF(Q221=0, "Exceeds Limit", IF(P221&lt;=O221, "Weight Limited", "Volume Limited"))</f>
        <v/>
      </c>
      <c r="V221" s="97">
        <f>B221&amp;"|"&amp;D221&amp;"|"&amp;F221</f>
        <v/>
      </c>
    </row>
    <row r="222" ht="19" customHeight="1">
      <c r="A222" s="98" t="n">
        <v>212</v>
      </c>
      <c r="B222" s="99" t="inlineStr">
        <is>
          <t>Carbon Steel</t>
        </is>
      </c>
      <c r="C222" s="19" t="inlineStr">
        <is>
          <t>ASME B36.10M / B36.19M</t>
        </is>
      </c>
      <c r="D222" s="18" t="inlineStr">
        <is>
          <t>10''</t>
        </is>
      </c>
      <c r="E222" s="98" t="n">
        <v>250</v>
      </c>
      <c r="F222" s="18" t="inlineStr">
        <is>
          <t>60</t>
        </is>
      </c>
      <c r="G222" s="20" t="n">
        <v>10.75</v>
      </c>
      <c r="H222" s="82" t="n">
        <v>273.05</v>
      </c>
      <c r="I222" s="20" t="n">
        <v>0.5</v>
      </c>
      <c r="J222" s="82" t="n">
        <v>12.7</v>
      </c>
      <c r="K222" s="20">
        <f>ROUND((H222-J222)*J222*IF(B222="Carbon Steel",$K$7,IF(B222="Stainless Steel 304",$K$8,$L$8)), 3)</f>
        <v/>
      </c>
      <c r="L222" s="82">
        <f>ROUND(K222*$G$5, 2)</f>
        <v/>
      </c>
      <c r="M222" s="98">
        <f>INT($G$6/H222)</f>
        <v/>
      </c>
      <c r="N222" s="98">
        <f>IF(M222=0, 0, IF(OR($K$6="Square Grid", M222=1), INT($G$7/H222), IF($G$7&lt;H222, 0, 1+INT(($G$7-H222)/(0.8660254*H222)))))</f>
        <v/>
      </c>
      <c r="O222" s="84">
        <f>IF(OR(M222=0,N222=0), 0, IF(OR($K$6="Square Grid", M222=1), M222*N222*$K$5, (INT((N222+1)/2)*M222 + INT(N222/2)*IF(($G$6-M222*H222)&gt;=0.5*H222, M222, M222-1))*$K$5))</f>
        <v/>
      </c>
      <c r="P222" s="84">
        <f>IF(L222&lt;=0, 0, INT($G$8/L222))</f>
        <v/>
      </c>
      <c r="Q222" s="95">
        <f>MIN(O222, P222)</f>
        <v/>
      </c>
      <c r="R222" s="96">
        <f>ROUND((Q222*L222)/1000, 2)</f>
        <v/>
      </c>
      <c r="S222" s="85">
        <f>IF($C$8&gt;0, R222/$C$8, 0)</f>
        <v/>
      </c>
      <c r="T222" s="85">
        <f>IF(O222&gt;0, Q222/O222, 0)</f>
        <v/>
      </c>
      <c r="U222" s="18">
        <f>IF(Q222=0, "Exceeds Limit", IF(P222&lt;=O222, "Weight Limited", "Volume Limited"))</f>
        <v/>
      </c>
      <c r="V222" s="100">
        <f>B222&amp;"|"&amp;D222&amp;"|"&amp;F222</f>
        <v/>
      </c>
    </row>
    <row r="223" ht="19" customHeight="1">
      <c r="A223" s="93" t="n">
        <v>213</v>
      </c>
      <c r="B223" s="94" t="inlineStr">
        <is>
          <t>Carbon Steel</t>
        </is>
      </c>
      <c r="C223" s="13" t="inlineStr">
        <is>
          <t>ASME B36.10M / B36.19M</t>
        </is>
      </c>
      <c r="D223" s="12" t="inlineStr">
        <is>
          <t>10''</t>
        </is>
      </c>
      <c r="E223" s="93" t="n">
        <v>250</v>
      </c>
      <c r="F223" s="12" t="inlineStr">
        <is>
          <t>80S</t>
        </is>
      </c>
      <c r="G223" s="14" t="n">
        <v>10.75</v>
      </c>
      <c r="H223" s="78" t="n">
        <v>273.05</v>
      </c>
      <c r="I223" s="14" t="n">
        <v>0.5</v>
      </c>
      <c r="J223" s="78" t="n">
        <v>12.7</v>
      </c>
      <c r="K223" s="14">
        <f>ROUND((H223-J223)*J223*IF(B223="Carbon Steel",$K$7,IF(B223="Stainless Steel 304",$K$8,$L$8)), 3)</f>
        <v/>
      </c>
      <c r="L223" s="78">
        <f>ROUND(K223*$G$5, 2)</f>
        <v/>
      </c>
      <c r="M223" s="93">
        <f>INT($G$6/H223)</f>
        <v/>
      </c>
      <c r="N223" s="93">
        <f>IF(M223=0, 0, IF(OR($K$6="Square Grid", M223=1), INT($G$7/H223), IF($G$7&lt;H223, 0, 1+INT(($G$7-H223)/(0.8660254*H223)))))</f>
        <v/>
      </c>
      <c r="O223" s="59">
        <f>IF(OR(M223=0,N223=0), 0, IF(OR($K$6="Square Grid", M223=1), M223*N223*$K$5, (INT((N223+1)/2)*M223 + INT(N223/2)*IF(($G$6-M223*H223)&gt;=0.5*H223, M223, M223-1))*$K$5))</f>
        <v/>
      </c>
      <c r="P223" s="59">
        <f>IF(L223&lt;=0, 0, INT($G$8/L223))</f>
        <v/>
      </c>
      <c r="Q223" s="95">
        <f>MIN(O223, P223)</f>
        <v/>
      </c>
      <c r="R223" s="96">
        <f>ROUND((Q223*L223)/1000, 2)</f>
        <v/>
      </c>
      <c r="S223" s="79">
        <f>IF($C$8&gt;0, R223/$C$8, 0)</f>
        <v/>
      </c>
      <c r="T223" s="79">
        <f>IF(O223&gt;0, Q223/O223, 0)</f>
        <v/>
      </c>
      <c r="U223" s="12">
        <f>IF(Q223=0, "Exceeds Limit", IF(P223&lt;=O223, "Weight Limited", "Volume Limited"))</f>
        <v/>
      </c>
      <c r="V223" s="97">
        <f>B223&amp;"|"&amp;D223&amp;"|"&amp;F223</f>
        <v/>
      </c>
    </row>
    <row r="224" ht="19" customHeight="1">
      <c r="A224" s="98" t="n">
        <v>214</v>
      </c>
      <c r="B224" s="99" t="inlineStr">
        <is>
          <t>Carbon Steel</t>
        </is>
      </c>
      <c r="C224" s="19" t="inlineStr">
        <is>
          <t>ASME B36.10M / B36.19M</t>
        </is>
      </c>
      <c r="D224" s="18" t="inlineStr">
        <is>
          <t>10''</t>
        </is>
      </c>
      <c r="E224" s="98" t="n">
        <v>250</v>
      </c>
      <c r="F224" s="18" t="inlineStr">
        <is>
          <t>XS</t>
        </is>
      </c>
      <c r="G224" s="20" t="n">
        <v>10.75</v>
      </c>
      <c r="H224" s="82" t="n">
        <v>273.05</v>
      </c>
      <c r="I224" s="20" t="n">
        <v>0.5</v>
      </c>
      <c r="J224" s="82" t="n">
        <v>12.7</v>
      </c>
      <c r="K224" s="20">
        <f>ROUND((H224-J224)*J224*IF(B224="Carbon Steel",$K$7,IF(B224="Stainless Steel 304",$K$8,$L$8)), 3)</f>
        <v/>
      </c>
      <c r="L224" s="82">
        <f>ROUND(K224*$G$5, 2)</f>
        <v/>
      </c>
      <c r="M224" s="98">
        <f>INT($G$6/H224)</f>
        <v/>
      </c>
      <c r="N224" s="98">
        <f>IF(M224=0, 0, IF(OR($K$6="Square Grid", M224=1), INT($G$7/H224), IF($G$7&lt;H224, 0, 1+INT(($G$7-H224)/(0.8660254*H224)))))</f>
        <v/>
      </c>
      <c r="O224" s="84">
        <f>IF(OR(M224=0,N224=0), 0, IF(OR($K$6="Square Grid", M224=1), M224*N224*$K$5, (INT((N224+1)/2)*M224 + INT(N224/2)*IF(($G$6-M224*H224)&gt;=0.5*H224, M224, M224-1))*$K$5))</f>
        <v/>
      </c>
      <c r="P224" s="84">
        <f>IF(L224&lt;=0, 0, INT($G$8/L224))</f>
        <v/>
      </c>
      <c r="Q224" s="95">
        <f>MIN(O224, P224)</f>
        <v/>
      </c>
      <c r="R224" s="96">
        <f>ROUND((Q224*L224)/1000, 2)</f>
        <v/>
      </c>
      <c r="S224" s="85">
        <f>IF($C$8&gt;0, R224/$C$8, 0)</f>
        <v/>
      </c>
      <c r="T224" s="85">
        <f>IF(O224&gt;0, Q224/O224, 0)</f>
        <v/>
      </c>
      <c r="U224" s="18">
        <f>IF(Q224=0, "Exceeds Limit", IF(P224&lt;=O224, "Weight Limited", "Volume Limited"))</f>
        <v/>
      </c>
      <c r="V224" s="100">
        <f>B224&amp;"|"&amp;D224&amp;"|"&amp;F224</f>
        <v/>
      </c>
    </row>
    <row r="225" ht="19" customHeight="1">
      <c r="A225" s="93" t="n">
        <v>215</v>
      </c>
      <c r="B225" s="94" t="inlineStr">
        <is>
          <t>Carbon Steel</t>
        </is>
      </c>
      <c r="C225" s="13" t="inlineStr">
        <is>
          <t>ASME B36.10M / B36.19M</t>
        </is>
      </c>
      <c r="D225" s="12" t="inlineStr">
        <is>
          <t>10''</t>
        </is>
      </c>
      <c r="E225" s="93" t="n">
        <v>250</v>
      </c>
      <c r="F225" s="12" t="inlineStr">
        <is>
          <t>80</t>
        </is>
      </c>
      <c r="G225" s="14" t="n">
        <v>10.75</v>
      </c>
      <c r="H225" s="78" t="n">
        <v>273.05</v>
      </c>
      <c r="I225" s="14" t="n">
        <v>0.594</v>
      </c>
      <c r="J225" s="78" t="n">
        <v>15.09</v>
      </c>
      <c r="K225" s="14">
        <f>ROUND((H225-J225)*J225*IF(B225="Carbon Steel",$K$7,IF(B225="Stainless Steel 304",$K$8,$L$8)), 3)</f>
        <v/>
      </c>
      <c r="L225" s="78">
        <f>ROUND(K225*$G$5, 2)</f>
        <v/>
      </c>
      <c r="M225" s="93">
        <f>INT($G$6/H225)</f>
        <v/>
      </c>
      <c r="N225" s="93">
        <f>IF(M225=0, 0, IF(OR($K$6="Square Grid", M225=1), INT($G$7/H225), IF($G$7&lt;H225, 0, 1+INT(($G$7-H225)/(0.8660254*H225)))))</f>
        <v/>
      </c>
      <c r="O225" s="59">
        <f>IF(OR(M225=0,N225=0), 0, IF(OR($K$6="Square Grid", M225=1), M225*N225*$K$5, (INT((N225+1)/2)*M225 + INT(N225/2)*IF(($G$6-M225*H225)&gt;=0.5*H225, M225, M225-1))*$K$5))</f>
        <v/>
      </c>
      <c r="P225" s="59">
        <f>IF(L225&lt;=0, 0, INT($G$8/L225))</f>
        <v/>
      </c>
      <c r="Q225" s="95">
        <f>MIN(O225, P225)</f>
        <v/>
      </c>
      <c r="R225" s="96">
        <f>ROUND((Q225*L225)/1000, 2)</f>
        <v/>
      </c>
      <c r="S225" s="79">
        <f>IF($C$8&gt;0, R225/$C$8, 0)</f>
        <v/>
      </c>
      <c r="T225" s="79">
        <f>IF(O225&gt;0, Q225/O225, 0)</f>
        <v/>
      </c>
      <c r="U225" s="12">
        <f>IF(Q225=0, "Exceeds Limit", IF(P225&lt;=O225, "Weight Limited", "Volume Limited"))</f>
        <v/>
      </c>
      <c r="V225" s="97">
        <f>B225&amp;"|"&amp;D225&amp;"|"&amp;F225</f>
        <v/>
      </c>
    </row>
    <row r="226" ht="19" customHeight="1">
      <c r="A226" s="98" t="n">
        <v>216</v>
      </c>
      <c r="B226" s="99" t="inlineStr">
        <is>
          <t>Carbon Steel</t>
        </is>
      </c>
      <c r="C226" s="19" t="inlineStr">
        <is>
          <t>ASME B36.10M / B36.19M</t>
        </is>
      </c>
      <c r="D226" s="18" t="inlineStr">
        <is>
          <t>10''</t>
        </is>
      </c>
      <c r="E226" s="98" t="n">
        <v>250</v>
      </c>
      <c r="F226" s="18" t="inlineStr">
        <is>
          <t>100</t>
        </is>
      </c>
      <c r="G226" s="20" t="n">
        <v>10.75</v>
      </c>
      <c r="H226" s="82" t="n">
        <v>273.05</v>
      </c>
      <c r="I226" s="20" t="n">
        <v>0.719</v>
      </c>
      <c r="J226" s="82" t="n">
        <v>18.26</v>
      </c>
      <c r="K226" s="20">
        <f>ROUND((H226-J226)*J226*IF(B226="Carbon Steel",$K$7,IF(B226="Stainless Steel 304",$K$8,$L$8)), 3)</f>
        <v/>
      </c>
      <c r="L226" s="82">
        <f>ROUND(K226*$G$5, 2)</f>
        <v/>
      </c>
      <c r="M226" s="98">
        <f>INT($G$6/H226)</f>
        <v/>
      </c>
      <c r="N226" s="98">
        <f>IF(M226=0, 0, IF(OR($K$6="Square Grid", M226=1), INT($G$7/H226), IF($G$7&lt;H226, 0, 1+INT(($G$7-H226)/(0.8660254*H226)))))</f>
        <v/>
      </c>
      <c r="O226" s="84">
        <f>IF(OR(M226=0,N226=0), 0, IF(OR($K$6="Square Grid", M226=1), M226*N226*$K$5, (INT((N226+1)/2)*M226 + INT(N226/2)*IF(($G$6-M226*H226)&gt;=0.5*H226, M226, M226-1))*$K$5))</f>
        <v/>
      </c>
      <c r="P226" s="84">
        <f>IF(L226&lt;=0, 0, INT($G$8/L226))</f>
        <v/>
      </c>
      <c r="Q226" s="95">
        <f>MIN(O226, P226)</f>
        <v/>
      </c>
      <c r="R226" s="96">
        <f>ROUND((Q226*L226)/1000, 2)</f>
        <v/>
      </c>
      <c r="S226" s="85">
        <f>IF($C$8&gt;0, R226/$C$8, 0)</f>
        <v/>
      </c>
      <c r="T226" s="85">
        <f>IF(O226&gt;0, Q226/O226, 0)</f>
        <v/>
      </c>
      <c r="U226" s="18">
        <f>IF(Q226=0, "Exceeds Limit", IF(P226&lt;=O226, "Weight Limited", "Volume Limited"))</f>
        <v/>
      </c>
      <c r="V226" s="100">
        <f>B226&amp;"|"&amp;D226&amp;"|"&amp;F226</f>
        <v/>
      </c>
    </row>
    <row r="227" ht="19" customHeight="1">
      <c r="A227" s="93" t="n">
        <v>217</v>
      </c>
      <c r="B227" s="94" t="inlineStr">
        <is>
          <t>Carbon Steel</t>
        </is>
      </c>
      <c r="C227" s="13" t="inlineStr">
        <is>
          <t>ASME B36.10M / B36.19M</t>
        </is>
      </c>
      <c r="D227" s="12" t="inlineStr">
        <is>
          <t>10''</t>
        </is>
      </c>
      <c r="E227" s="93" t="n">
        <v>250</v>
      </c>
      <c r="F227" s="12" t="inlineStr">
        <is>
          <t>120</t>
        </is>
      </c>
      <c r="G227" s="14" t="n">
        <v>10.75</v>
      </c>
      <c r="H227" s="78" t="n">
        <v>273.05</v>
      </c>
      <c r="I227" s="14" t="n">
        <v>0.844</v>
      </c>
      <c r="J227" s="78" t="n">
        <v>21.44</v>
      </c>
      <c r="K227" s="14">
        <f>ROUND((H227-J227)*J227*IF(B227="Carbon Steel",$K$7,IF(B227="Stainless Steel 304",$K$8,$L$8)), 3)</f>
        <v/>
      </c>
      <c r="L227" s="78">
        <f>ROUND(K227*$G$5, 2)</f>
        <v/>
      </c>
      <c r="M227" s="93">
        <f>INT($G$6/H227)</f>
        <v/>
      </c>
      <c r="N227" s="93">
        <f>IF(M227=0, 0, IF(OR($K$6="Square Grid", M227=1), INT($G$7/H227), IF($G$7&lt;H227, 0, 1+INT(($G$7-H227)/(0.8660254*H227)))))</f>
        <v/>
      </c>
      <c r="O227" s="59">
        <f>IF(OR(M227=0,N227=0), 0, IF(OR($K$6="Square Grid", M227=1), M227*N227*$K$5, (INT((N227+1)/2)*M227 + INT(N227/2)*IF(($G$6-M227*H227)&gt;=0.5*H227, M227, M227-1))*$K$5))</f>
        <v/>
      </c>
      <c r="P227" s="59">
        <f>IF(L227&lt;=0, 0, INT($G$8/L227))</f>
        <v/>
      </c>
      <c r="Q227" s="95">
        <f>MIN(O227, P227)</f>
        <v/>
      </c>
      <c r="R227" s="96">
        <f>ROUND((Q227*L227)/1000, 2)</f>
        <v/>
      </c>
      <c r="S227" s="79">
        <f>IF($C$8&gt;0, R227/$C$8, 0)</f>
        <v/>
      </c>
      <c r="T227" s="79">
        <f>IF(O227&gt;0, Q227/O227, 0)</f>
        <v/>
      </c>
      <c r="U227" s="12">
        <f>IF(Q227=0, "Exceeds Limit", IF(P227&lt;=O227, "Weight Limited", "Volume Limited"))</f>
        <v/>
      </c>
      <c r="V227" s="97">
        <f>B227&amp;"|"&amp;D227&amp;"|"&amp;F227</f>
        <v/>
      </c>
    </row>
    <row r="228" ht="19" customHeight="1">
      <c r="A228" s="98" t="n">
        <v>218</v>
      </c>
      <c r="B228" s="99" t="inlineStr">
        <is>
          <t>Carbon Steel</t>
        </is>
      </c>
      <c r="C228" s="19" t="inlineStr">
        <is>
          <t>ASME B36.10M / B36.19M</t>
        </is>
      </c>
      <c r="D228" s="18" t="inlineStr">
        <is>
          <t>10''</t>
        </is>
      </c>
      <c r="E228" s="98" t="n">
        <v>250</v>
      </c>
      <c r="F228" s="18" t="inlineStr">
        <is>
          <t>140</t>
        </is>
      </c>
      <c r="G228" s="20" t="n">
        <v>10.75</v>
      </c>
      <c r="H228" s="82" t="n">
        <v>273.05</v>
      </c>
      <c r="I228" s="20" t="n">
        <v>1</v>
      </c>
      <c r="J228" s="82" t="n">
        <v>25.4</v>
      </c>
      <c r="K228" s="20">
        <f>ROUND((H228-J228)*J228*IF(B228="Carbon Steel",$K$7,IF(B228="Stainless Steel 304",$K$8,$L$8)), 3)</f>
        <v/>
      </c>
      <c r="L228" s="82">
        <f>ROUND(K228*$G$5, 2)</f>
        <v/>
      </c>
      <c r="M228" s="98">
        <f>INT($G$6/H228)</f>
        <v/>
      </c>
      <c r="N228" s="98">
        <f>IF(M228=0, 0, IF(OR($K$6="Square Grid", M228=1), INT($G$7/H228), IF($G$7&lt;H228, 0, 1+INT(($G$7-H228)/(0.8660254*H228)))))</f>
        <v/>
      </c>
      <c r="O228" s="84">
        <f>IF(OR(M228=0,N228=0), 0, IF(OR($K$6="Square Grid", M228=1), M228*N228*$K$5, (INT((N228+1)/2)*M228 + INT(N228/2)*IF(($G$6-M228*H228)&gt;=0.5*H228, M228, M228-1))*$K$5))</f>
        <v/>
      </c>
      <c r="P228" s="84">
        <f>IF(L228&lt;=0, 0, INT($G$8/L228))</f>
        <v/>
      </c>
      <c r="Q228" s="95">
        <f>MIN(O228, P228)</f>
        <v/>
      </c>
      <c r="R228" s="96">
        <f>ROUND((Q228*L228)/1000, 2)</f>
        <v/>
      </c>
      <c r="S228" s="85">
        <f>IF($C$8&gt;0, R228/$C$8, 0)</f>
        <v/>
      </c>
      <c r="T228" s="85">
        <f>IF(O228&gt;0, Q228/O228, 0)</f>
        <v/>
      </c>
      <c r="U228" s="18">
        <f>IF(Q228=0, "Exceeds Limit", IF(P228&lt;=O228, "Weight Limited", "Volume Limited"))</f>
        <v/>
      </c>
      <c r="V228" s="100">
        <f>B228&amp;"|"&amp;D228&amp;"|"&amp;F228</f>
        <v/>
      </c>
    </row>
    <row r="229" ht="19" customHeight="1">
      <c r="A229" s="93" t="n">
        <v>219</v>
      </c>
      <c r="B229" s="94" t="inlineStr">
        <is>
          <t>Carbon Steel</t>
        </is>
      </c>
      <c r="C229" s="13" t="inlineStr">
        <is>
          <t>ASME B36.10M / B36.19M</t>
        </is>
      </c>
      <c r="D229" s="12" t="inlineStr">
        <is>
          <t>10''</t>
        </is>
      </c>
      <c r="E229" s="93" t="n">
        <v>250</v>
      </c>
      <c r="F229" s="12" t="inlineStr">
        <is>
          <t>160</t>
        </is>
      </c>
      <c r="G229" s="14" t="n">
        <v>10.75</v>
      </c>
      <c r="H229" s="78" t="n">
        <v>273.05</v>
      </c>
      <c r="I229" s="14" t="n">
        <v>1.125</v>
      </c>
      <c r="J229" s="78" t="n">
        <v>28.57</v>
      </c>
      <c r="K229" s="14">
        <f>ROUND((H229-J229)*J229*IF(B229="Carbon Steel",$K$7,IF(B229="Stainless Steel 304",$K$8,$L$8)), 3)</f>
        <v/>
      </c>
      <c r="L229" s="78">
        <f>ROUND(K229*$G$5, 2)</f>
        <v/>
      </c>
      <c r="M229" s="93">
        <f>INT($G$6/H229)</f>
        <v/>
      </c>
      <c r="N229" s="93">
        <f>IF(M229=0, 0, IF(OR($K$6="Square Grid", M229=1), INT($G$7/H229), IF($G$7&lt;H229, 0, 1+INT(($G$7-H229)/(0.8660254*H229)))))</f>
        <v/>
      </c>
      <c r="O229" s="59">
        <f>IF(OR(M229=0,N229=0), 0, IF(OR($K$6="Square Grid", M229=1), M229*N229*$K$5, (INT((N229+1)/2)*M229 + INT(N229/2)*IF(($G$6-M229*H229)&gt;=0.5*H229, M229, M229-1))*$K$5))</f>
        <v/>
      </c>
      <c r="P229" s="59">
        <f>IF(L229&lt;=0, 0, INT($G$8/L229))</f>
        <v/>
      </c>
      <c r="Q229" s="95">
        <f>MIN(O229, P229)</f>
        <v/>
      </c>
      <c r="R229" s="96">
        <f>ROUND((Q229*L229)/1000, 2)</f>
        <v/>
      </c>
      <c r="S229" s="79">
        <f>IF($C$8&gt;0, R229/$C$8, 0)</f>
        <v/>
      </c>
      <c r="T229" s="79">
        <f>IF(O229&gt;0, Q229/O229, 0)</f>
        <v/>
      </c>
      <c r="U229" s="12">
        <f>IF(Q229=0, "Exceeds Limit", IF(P229&lt;=O229, "Weight Limited", "Volume Limited"))</f>
        <v/>
      </c>
      <c r="V229" s="97">
        <f>B229&amp;"|"&amp;D229&amp;"|"&amp;F229</f>
        <v/>
      </c>
    </row>
    <row r="230" ht="19" customHeight="1">
      <c r="A230" s="98" t="n">
        <v>220</v>
      </c>
      <c r="B230" s="99" t="inlineStr">
        <is>
          <t>Carbon Steel</t>
        </is>
      </c>
      <c r="C230" s="19" t="inlineStr">
        <is>
          <t>ASME B36.10M / B36.19M</t>
        </is>
      </c>
      <c r="D230" s="18" t="inlineStr">
        <is>
          <t>10''</t>
        </is>
      </c>
      <c r="E230" s="98" t="n">
        <v>250</v>
      </c>
      <c r="F230" s="18" t="inlineStr">
        <is>
          <t>XXS</t>
        </is>
      </c>
      <c r="G230" s="20" t="n">
        <v>10.75</v>
      </c>
      <c r="H230" s="82" t="n">
        <v>273.05</v>
      </c>
      <c r="I230" s="20" t="n">
        <v>1</v>
      </c>
      <c r="J230" s="82" t="n">
        <v>25.4</v>
      </c>
      <c r="K230" s="20">
        <f>ROUND((H230-J230)*J230*IF(B230="Carbon Steel",$K$7,IF(B230="Stainless Steel 304",$K$8,$L$8)), 3)</f>
        <v/>
      </c>
      <c r="L230" s="82">
        <f>ROUND(K230*$G$5, 2)</f>
        <v/>
      </c>
      <c r="M230" s="98">
        <f>INT($G$6/H230)</f>
        <v/>
      </c>
      <c r="N230" s="98">
        <f>IF(M230=0, 0, IF(OR($K$6="Square Grid", M230=1), INT($G$7/H230), IF($G$7&lt;H230, 0, 1+INT(($G$7-H230)/(0.8660254*H230)))))</f>
        <v/>
      </c>
      <c r="O230" s="84">
        <f>IF(OR(M230=0,N230=0), 0, IF(OR($K$6="Square Grid", M230=1), M230*N230*$K$5, (INT((N230+1)/2)*M230 + INT(N230/2)*IF(($G$6-M230*H230)&gt;=0.5*H230, M230, M230-1))*$K$5))</f>
        <v/>
      </c>
      <c r="P230" s="84">
        <f>IF(L230&lt;=0, 0, INT($G$8/L230))</f>
        <v/>
      </c>
      <c r="Q230" s="95">
        <f>MIN(O230, P230)</f>
        <v/>
      </c>
      <c r="R230" s="96">
        <f>ROUND((Q230*L230)/1000, 2)</f>
        <v/>
      </c>
      <c r="S230" s="85">
        <f>IF($C$8&gt;0, R230/$C$8, 0)</f>
        <v/>
      </c>
      <c r="T230" s="85">
        <f>IF(O230&gt;0, Q230/O230, 0)</f>
        <v/>
      </c>
      <c r="U230" s="18">
        <f>IF(Q230=0, "Exceeds Limit", IF(P230&lt;=O230, "Weight Limited", "Volume Limited"))</f>
        <v/>
      </c>
      <c r="V230" s="100">
        <f>B230&amp;"|"&amp;D230&amp;"|"&amp;F230</f>
        <v/>
      </c>
    </row>
    <row r="231" ht="19" customHeight="1">
      <c r="A231" s="93" t="n">
        <v>221</v>
      </c>
      <c r="B231" s="94" t="inlineStr">
        <is>
          <t>Carbon Steel</t>
        </is>
      </c>
      <c r="C231" s="13" t="inlineStr">
        <is>
          <t>ASME B36.10M / B36.19M</t>
        </is>
      </c>
      <c r="D231" s="12" t="inlineStr">
        <is>
          <t>12''</t>
        </is>
      </c>
      <c r="E231" s="93" t="n">
        <v>300</v>
      </c>
      <c r="F231" s="12" t="inlineStr">
        <is>
          <t>5S</t>
        </is>
      </c>
      <c r="G231" s="14" t="n">
        <v>12.75</v>
      </c>
      <c r="H231" s="78" t="n">
        <v>323.85</v>
      </c>
      <c r="I231" s="14" t="n">
        <v>0.156</v>
      </c>
      <c r="J231" s="78" t="n">
        <v>3.96</v>
      </c>
      <c r="K231" s="14">
        <f>ROUND((H231-J231)*J231*IF(B231="Carbon Steel",$K$7,IF(B231="Stainless Steel 304",$K$8,$L$8)), 3)</f>
        <v/>
      </c>
      <c r="L231" s="78">
        <f>ROUND(K231*$G$5, 2)</f>
        <v/>
      </c>
      <c r="M231" s="93">
        <f>INT($G$6/H231)</f>
        <v/>
      </c>
      <c r="N231" s="93">
        <f>IF(M231=0, 0, IF(OR($K$6="Square Grid", M231=1), INT($G$7/H231), IF($G$7&lt;H231, 0, 1+INT(($G$7-H231)/(0.8660254*H231)))))</f>
        <v/>
      </c>
      <c r="O231" s="59">
        <f>IF(OR(M231=0,N231=0), 0, IF(OR($K$6="Square Grid", M231=1), M231*N231*$K$5, (INT((N231+1)/2)*M231 + INT(N231/2)*IF(($G$6-M231*H231)&gt;=0.5*H231, M231, M231-1))*$K$5))</f>
        <v/>
      </c>
      <c r="P231" s="59">
        <f>IF(L231&lt;=0, 0, INT($G$8/L231))</f>
        <v/>
      </c>
      <c r="Q231" s="95">
        <f>MIN(O231, P231)</f>
        <v/>
      </c>
      <c r="R231" s="96">
        <f>ROUND((Q231*L231)/1000, 2)</f>
        <v/>
      </c>
      <c r="S231" s="79">
        <f>IF($C$8&gt;0, R231/$C$8, 0)</f>
        <v/>
      </c>
      <c r="T231" s="79">
        <f>IF(O231&gt;0, Q231/O231, 0)</f>
        <v/>
      </c>
      <c r="U231" s="12">
        <f>IF(Q231=0, "Exceeds Limit", IF(P231&lt;=O231, "Weight Limited", "Volume Limited"))</f>
        <v/>
      </c>
      <c r="V231" s="97">
        <f>B231&amp;"|"&amp;D231&amp;"|"&amp;F231</f>
        <v/>
      </c>
    </row>
    <row r="232" ht="19" customHeight="1">
      <c r="A232" s="98" t="n">
        <v>222</v>
      </c>
      <c r="B232" s="99" t="inlineStr">
        <is>
          <t>Carbon Steel</t>
        </is>
      </c>
      <c r="C232" s="19" t="inlineStr">
        <is>
          <t>ASME B36.10M / B36.19M</t>
        </is>
      </c>
      <c r="D232" s="18" t="inlineStr">
        <is>
          <t>12''</t>
        </is>
      </c>
      <c r="E232" s="98" t="n">
        <v>300</v>
      </c>
      <c r="F232" s="18" t="inlineStr">
        <is>
          <t>5</t>
        </is>
      </c>
      <c r="G232" s="20" t="n">
        <v>12.75</v>
      </c>
      <c r="H232" s="82" t="n">
        <v>323.85</v>
      </c>
      <c r="I232" s="20" t="n">
        <v>0.156</v>
      </c>
      <c r="J232" s="82" t="n">
        <v>3.96</v>
      </c>
      <c r="K232" s="20">
        <f>ROUND((H232-J232)*J232*IF(B232="Carbon Steel",$K$7,IF(B232="Stainless Steel 304",$K$8,$L$8)), 3)</f>
        <v/>
      </c>
      <c r="L232" s="82">
        <f>ROUND(K232*$G$5, 2)</f>
        <v/>
      </c>
      <c r="M232" s="98">
        <f>INT($G$6/H232)</f>
        <v/>
      </c>
      <c r="N232" s="98">
        <f>IF(M232=0, 0, IF(OR($K$6="Square Grid", M232=1), INT($G$7/H232), IF($G$7&lt;H232, 0, 1+INT(($G$7-H232)/(0.8660254*H232)))))</f>
        <v/>
      </c>
      <c r="O232" s="84">
        <f>IF(OR(M232=0,N232=0), 0, IF(OR($K$6="Square Grid", M232=1), M232*N232*$K$5, (INT((N232+1)/2)*M232 + INT(N232/2)*IF(($G$6-M232*H232)&gt;=0.5*H232, M232, M232-1))*$K$5))</f>
        <v/>
      </c>
      <c r="P232" s="84">
        <f>IF(L232&lt;=0, 0, INT($G$8/L232))</f>
        <v/>
      </c>
      <c r="Q232" s="95">
        <f>MIN(O232, P232)</f>
        <v/>
      </c>
      <c r="R232" s="96">
        <f>ROUND((Q232*L232)/1000, 2)</f>
        <v/>
      </c>
      <c r="S232" s="85">
        <f>IF($C$8&gt;0, R232/$C$8, 0)</f>
        <v/>
      </c>
      <c r="T232" s="85">
        <f>IF(O232&gt;0, Q232/O232, 0)</f>
        <v/>
      </c>
      <c r="U232" s="18">
        <f>IF(Q232=0, "Exceeds Limit", IF(P232&lt;=O232, "Weight Limited", "Volume Limited"))</f>
        <v/>
      </c>
      <c r="V232" s="100">
        <f>B232&amp;"|"&amp;D232&amp;"|"&amp;F232</f>
        <v/>
      </c>
    </row>
    <row r="233" ht="19" customHeight="1">
      <c r="A233" s="93" t="n">
        <v>223</v>
      </c>
      <c r="B233" s="94" t="inlineStr">
        <is>
          <t>Carbon Steel</t>
        </is>
      </c>
      <c r="C233" s="13" t="inlineStr">
        <is>
          <t>ASME B36.10M / B36.19M</t>
        </is>
      </c>
      <c r="D233" s="12" t="inlineStr">
        <is>
          <t>12''</t>
        </is>
      </c>
      <c r="E233" s="93" t="n">
        <v>300</v>
      </c>
      <c r="F233" s="12" t="inlineStr">
        <is>
          <t>10S</t>
        </is>
      </c>
      <c r="G233" s="14" t="n">
        <v>12.75</v>
      </c>
      <c r="H233" s="78" t="n">
        <v>323.85</v>
      </c>
      <c r="I233" s="14" t="n">
        <v>0.18</v>
      </c>
      <c r="J233" s="78" t="n">
        <v>4.57</v>
      </c>
      <c r="K233" s="14">
        <f>ROUND((H233-J233)*J233*IF(B233="Carbon Steel",$K$7,IF(B233="Stainless Steel 304",$K$8,$L$8)), 3)</f>
        <v/>
      </c>
      <c r="L233" s="78">
        <f>ROUND(K233*$G$5, 2)</f>
        <v/>
      </c>
      <c r="M233" s="93">
        <f>INT($G$6/H233)</f>
        <v/>
      </c>
      <c r="N233" s="93">
        <f>IF(M233=0, 0, IF(OR($K$6="Square Grid", M233=1), INT($G$7/H233), IF($G$7&lt;H233, 0, 1+INT(($G$7-H233)/(0.8660254*H233)))))</f>
        <v/>
      </c>
      <c r="O233" s="59">
        <f>IF(OR(M233=0,N233=0), 0, IF(OR($K$6="Square Grid", M233=1), M233*N233*$K$5, (INT((N233+1)/2)*M233 + INT(N233/2)*IF(($G$6-M233*H233)&gt;=0.5*H233, M233, M233-1))*$K$5))</f>
        <v/>
      </c>
      <c r="P233" s="59">
        <f>IF(L233&lt;=0, 0, INT($G$8/L233))</f>
        <v/>
      </c>
      <c r="Q233" s="95">
        <f>MIN(O233, P233)</f>
        <v/>
      </c>
      <c r="R233" s="96">
        <f>ROUND((Q233*L233)/1000, 2)</f>
        <v/>
      </c>
      <c r="S233" s="79">
        <f>IF($C$8&gt;0, R233/$C$8, 0)</f>
        <v/>
      </c>
      <c r="T233" s="79">
        <f>IF(O233&gt;0, Q233/O233, 0)</f>
        <v/>
      </c>
      <c r="U233" s="12">
        <f>IF(Q233=0, "Exceeds Limit", IF(P233&lt;=O233, "Weight Limited", "Volume Limited"))</f>
        <v/>
      </c>
      <c r="V233" s="97">
        <f>B233&amp;"|"&amp;D233&amp;"|"&amp;F233</f>
        <v/>
      </c>
    </row>
    <row r="234" ht="19" customHeight="1">
      <c r="A234" s="98" t="n">
        <v>224</v>
      </c>
      <c r="B234" s="99" t="inlineStr">
        <is>
          <t>Carbon Steel</t>
        </is>
      </c>
      <c r="C234" s="19" t="inlineStr">
        <is>
          <t>ASME B36.10M / B36.19M</t>
        </is>
      </c>
      <c r="D234" s="18" t="inlineStr">
        <is>
          <t>12''</t>
        </is>
      </c>
      <c r="E234" s="98" t="n">
        <v>300</v>
      </c>
      <c r="F234" s="18" t="inlineStr">
        <is>
          <t>10</t>
        </is>
      </c>
      <c r="G234" s="20" t="n">
        <v>12.75</v>
      </c>
      <c r="H234" s="82" t="n">
        <v>323.85</v>
      </c>
      <c r="I234" s="20" t="n">
        <v>0.18</v>
      </c>
      <c r="J234" s="82" t="n">
        <v>4.57</v>
      </c>
      <c r="K234" s="20">
        <f>ROUND((H234-J234)*J234*IF(B234="Carbon Steel",$K$7,IF(B234="Stainless Steel 304",$K$8,$L$8)), 3)</f>
        <v/>
      </c>
      <c r="L234" s="82">
        <f>ROUND(K234*$G$5, 2)</f>
        <v/>
      </c>
      <c r="M234" s="98">
        <f>INT($G$6/H234)</f>
        <v/>
      </c>
      <c r="N234" s="98">
        <f>IF(M234=0, 0, IF(OR($K$6="Square Grid", M234=1), INT($G$7/H234), IF($G$7&lt;H234, 0, 1+INT(($G$7-H234)/(0.8660254*H234)))))</f>
        <v/>
      </c>
      <c r="O234" s="84">
        <f>IF(OR(M234=0,N234=0), 0, IF(OR($K$6="Square Grid", M234=1), M234*N234*$K$5, (INT((N234+1)/2)*M234 + INT(N234/2)*IF(($G$6-M234*H234)&gt;=0.5*H234, M234, M234-1))*$K$5))</f>
        <v/>
      </c>
      <c r="P234" s="84">
        <f>IF(L234&lt;=0, 0, INT($G$8/L234))</f>
        <v/>
      </c>
      <c r="Q234" s="95">
        <f>MIN(O234, P234)</f>
        <v/>
      </c>
      <c r="R234" s="96">
        <f>ROUND((Q234*L234)/1000, 2)</f>
        <v/>
      </c>
      <c r="S234" s="85">
        <f>IF($C$8&gt;0, R234/$C$8, 0)</f>
        <v/>
      </c>
      <c r="T234" s="85">
        <f>IF(O234&gt;0, Q234/O234, 0)</f>
        <v/>
      </c>
      <c r="U234" s="18">
        <f>IF(Q234=0, "Exceeds Limit", IF(P234&lt;=O234, "Weight Limited", "Volume Limited"))</f>
        <v/>
      </c>
      <c r="V234" s="100">
        <f>B234&amp;"|"&amp;D234&amp;"|"&amp;F234</f>
        <v/>
      </c>
    </row>
    <row r="235" ht="19" customHeight="1">
      <c r="A235" s="93" t="n">
        <v>225</v>
      </c>
      <c r="B235" s="94" t="inlineStr">
        <is>
          <t>Carbon Steel</t>
        </is>
      </c>
      <c r="C235" s="13" t="inlineStr">
        <is>
          <t>ASME B36.10M / B36.19M</t>
        </is>
      </c>
      <c r="D235" s="12" t="inlineStr">
        <is>
          <t>12''</t>
        </is>
      </c>
      <c r="E235" s="93" t="n">
        <v>300</v>
      </c>
      <c r="F235" s="12" t="inlineStr">
        <is>
          <t>20</t>
        </is>
      </c>
      <c r="G235" s="14" t="n">
        <v>12.75</v>
      </c>
      <c r="H235" s="78" t="n">
        <v>323.85</v>
      </c>
      <c r="I235" s="14" t="n">
        <v>0.25</v>
      </c>
      <c r="J235" s="78" t="n">
        <v>6.35</v>
      </c>
      <c r="K235" s="14">
        <f>ROUND((H235-J235)*J235*IF(B235="Carbon Steel",$K$7,IF(B235="Stainless Steel 304",$K$8,$L$8)), 3)</f>
        <v/>
      </c>
      <c r="L235" s="78">
        <f>ROUND(K235*$G$5, 2)</f>
        <v/>
      </c>
      <c r="M235" s="93">
        <f>INT($G$6/H235)</f>
        <v/>
      </c>
      <c r="N235" s="93">
        <f>IF(M235=0, 0, IF(OR($K$6="Square Grid", M235=1), INT($G$7/H235), IF($G$7&lt;H235, 0, 1+INT(($G$7-H235)/(0.8660254*H235)))))</f>
        <v/>
      </c>
      <c r="O235" s="59">
        <f>IF(OR(M235=0,N235=0), 0, IF(OR($K$6="Square Grid", M235=1), M235*N235*$K$5, (INT((N235+1)/2)*M235 + INT(N235/2)*IF(($G$6-M235*H235)&gt;=0.5*H235, M235, M235-1))*$K$5))</f>
        <v/>
      </c>
      <c r="P235" s="59">
        <f>IF(L235&lt;=0, 0, INT($G$8/L235))</f>
        <v/>
      </c>
      <c r="Q235" s="95">
        <f>MIN(O235, P235)</f>
        <v/>
      </c>
      <c r="R235" s="96">
        <f>ROUND((Q235*L235)/1000, 2)</f>
        <v/>
      </c>
      <c r="S235" s="79">
        <f>IF($C$8&gt;0, R235/$C$8, 0)</f>
        <v/>
      </c>
      <c r="T235" s="79">
        <f>IF(O235&gt;0, Q235/O235, 0)</f>
        <v/>
      </c>
      <c r="U235" s="12">
        <f>IF(Q235=0, "Exceeds Limit", IF(P235&lt;=O235, "Weight Limited", "Volume Limited"))</f>
        <v/>
      </c>
      <c r="V235" s="97">
        <f>B235&amp;"|"&amp;D235&amp;"|"&amp;F235</f>
        <v/>
      </c>
    </row>
    <row r="236" ht="19" customHeight="1">
      <c r="A236" s="98" t="n">
        <v>226</v>
      </c>
      <c r="B236" s="99" t="inlineStr">
        <is>
          <t>Carbon Steel</t>
        </is>
      </c>
      <c r="C236" s="19" t="inlineStr">
        <is>
          <t>ASME B36.10M / B36.19M</t>
        </is>
      </c>
      <c r="D236" s="18" t="inlineStr">
        <is>
          <t>12''</t>
        </is>
      </c>
      <c r="E236" s="98" t="n">
        <v>300</v>
      </c>
      <c r="F236" s="18" t="inlineStr">
        <is>
          <t>30</t>
        </is>
      </c>
      <c r="G236" s="20" t="n">
        <v>12.75</v>
      </c>
      <c r="H236" s="82" t="n">
        <v>323.85</v>
      </c>
      <c r="I236" s="20" t="n">
        <v>0.33</v>
      </c>
      <c r="J236" s="82" t="n">
        <v>8.380000000000001</v>
      </c>
      <c r="K236" s="20">
        <f>ROUND((H236-J236)*J236*IF(B236="Carbon Steel",$K$7,IF(B236="Stainless Steel 304",$K$8,$L$8)), 3)</f>
        <v/>
      </c>
      <c r="L236" s="82">
        <f>ROUND(K236*$G$5, 2)</f>
        <v/>
      </c>
      <c r="M236" s="98">
        <f>INT($G$6/H236)</f>
        <v/>
      </c>
      <c r="N236" s="98">
        <f>IF(M236=0, 0, IF(OR($K$6="Square Grid", M236=1), INT($G$7/H236), IF($G$7&lt;H236, 0, 1+INT(($G$7-H236)/(0.8660254*H236)))))</f>
        <v/>
      </c>
      <c r="O236" s="84">
        <f>IF(OR(M236=0,N236=0), 0, IF(OR($K$6="Square Grid", M236=1), M236*N236*$K$5, (INT((N236+1)/2)*M236 + INT(N236/2)*IF(($G$6-M236*H236)&gt;=0.5*H236, M236, M236-1))*$K$5))</f>
        <v/>
      </c>
      <c r="P236" s="84">
        <f>IF(L236&lt;=0, 0, INT($G$8/L236))</f>
        <v/>
      </c>
      <c r="Q236" s="95">
        <f>MIN(O236, P236)</f>
        <v/>
      </c>
      <c r="R236" s="96">
        <f>ROUND((Q236*L236)/1000, 2)</f>
        <v/>
      </c>
      <c r="S236" s="85">
        <f>IF($C$8&gt;0, R236/$C$8, 0)</f>
        <v/>
      </c>
      <c r="T236" s="85">
        <f>IF(O236&gt;0, Q236/O236, 0)</f>
        <v/>
      </c>
      <c r="U236" s="18">
        <f>IF(Q236=0, "Exceeds Limit", IF(P236&lt;=O236, "Weight Limited", "Volume Limited"))</f>
        <v/>
      </c>
      <c r="V236" s="100">
        <f>B236&amp;"|"&amp;D236&amp;"|"&amp;F236</f>
        <v/>
      </c>
    </row>
    <row r="237" ht="19" customHeight="1">
      <c r="A237" s="93" t="n">
        <v>227</v>
      </c>
      <c r="B237" s="94" t="inlineStr">
        <is>
          <t>Carbon Steel</t>
        </is>
      </c>
      <c r="C237" s="13" t="inlineStr">
        <is>
          <t>ASME B36.10M / B36.19M</t>
        </is>
      </c>
      <c r="D237" s="12" t="inlineStr">
        <is>
          <t>12''</t>
        </is>
      </c>
      <c r="E237" s="93" t="n">
        <v>300</v>
      </c>
      <c r="F237" s="12" t="inlineStr">
        <is>
          <t>40S</t>
        </is>
      </c>
      <c r="G237" s="14" t="n">
        <v>12.75</v>
      </c>
      <c r="H237" s="78" t="n">
        <v>323.85</v>
      </c>
      <c r="I237" s="14" t="n">
        <v>0.375</v>
      </c>
      <c r="J237" s="78" t="n">
        <v>9.52</v>
      </c>
      <c r="K237" s="14">
        <f>ROUND((H237-J237)*J237*IF(B237="Carbon Steel",$K$7,IF(B237="Stainless Steel 304",$K$8,$L$8)), 3)</f>
        <v/>
      </c>
      <c r="L237" s="78">
        <f>ROUND(K237*$G$5, 2)</f>
        <v/>
      </c>
      <c r="M237" s="93">
        <f>INT($G$6/H237)</f>
        <v/>
      </c>
      <c r="N237" s="93">
        <f>IF(M237=0, 0, IF(OR($K$6="Square Grid", M237=1), INT($G$7/H237), IF($G$7&lt;H237, 0, 1+INT(($G$7-H237)/(0.8660254*H237)))))</f>
        <v/>
      </c>
      <c r="O237" s="59">
        <f>IF(OR(M237=0,N237=0), 0, IF(OR($K$6="Square Grid", M237=1), M237*N237*$K$5, (INT((N237+1)/2)*M237 + INT(N237/2)*IF(($G$6-M237*H237)&gt;=0.5*H237, M237, M237-1))*$K$5))</f>
        <v/>
      </c>
      <c r="P237" s="59">
        <f>IF(L237&lt;=0, 0, INT($G$8/L237))</f>
        <v/>
      </c>
      <c r="Q237" s="95">
        <f>MIN(O237, P237)</f>
        <v/>
      </c>
      <c r="R237" s="96">
        <f>ROUND((Q237*L237)/1000, 2)</f>
        <v/>
      </c>
      <c r="S237" s="79">
        <f>IF($C$8&gt;0, R237/$C$8, 0)</f>
        <v/>
      </c>
      <c r="T237" s="79">
        <f>IF(O237&gt;0, Q237/O237, 0)</f>
        <v/>
      </c>
      <c r="U237" s="12">
        <f>IF(Q237=0, "Exceeds Limit", IF(P237&lt;=O237, "Weight Limited", "Volume Limited"))</f>
        <v/>
      </c>
      <c r="V237" s="97">
        <f>B237&amp;"|"&amp;D237&amp;"|"&amp;F237</f>
        <v/>
      </c>
    </row>
    <row r="238" ht="19" customHeight="1">
      <c r="A238" s="98" t="n">
        <v>228</v>
      </c>
      <c r="B238" s="99" t="inlineStr">
        <is>
          <t>Carbon Steel</t>
        </is>
      </c>
      <c r="C238" s="19" t="inlineStr">
        <is>
          <t>ASME B36.10M / B36.19M</t>
        </is>
      </c>
      <c r="D238" s="18" t="inlineStr">
        <is>
          <t>12''</t>
        </is>
      </c>
      <c r="E238" s="98" t="n">
        <v>300</v>
      </c>
      <c r="F238" s="18" t="inlineStr">
        <is>
          <t>STD</t>
        </is>
      </c>
      <c r="G238" s="20" t="n">
        <v>12.75</v>
      </c>
      <c r="H238" s="82" t="n">
        <v>323.85</v>
      </c>
      <c r="I238" s="20" t="n">
        <v>0.375</v>
      </c>
      <c r="J238" s="82" t="n">
        <v>9.52</v>
      </c>
      <c r="K238" s="20">
        <f>ROUND((H238-J238)*J238*IF(B238="Carbon Steel",$K$7,IF(B238="Stainless Steel 304",$K$8,$L$8)), 3)</f>
        <v/>
      </c>
      <c r="L238" s="82">
        <f>ROUND(K238*$G$5, 2)</f>
        <v/>
      </c>
      <c r="M238" s="98">
        <f>INT($G$6/H238)</f>
        <v/>
      </c>
      <c r="N238" s="98">
        <f>IF(M238=0, 0, IF(OR($K$6="Square Grid", M238=1), INT($G$7/H238), IF($G$7&lt;H238, 0, 1+INT(($G$7-H238)/(0.8660254*H238)))))</f>
        <v/>
      </c>
      <c r="O238" s="84">
        <f>IF(OR(M238=0,N238=0), 0, IF(OR($K$6="Square Grid", M238=1), M238*N238*$K$5, (INT((N238+1)/2)*M238 + INT(N238/2)*IF(($G$6-M238*H238)&gt;=0.5*H238, M238, M238-1))*$K$5))</f>
        <v/>
      </c>
      <c r="P238" s="84">
        <f>IF(L238&lt;=0, 0, INT($G$8/L238))</f>
        <v/>
      </c>
      <c r="Q238" s="95">
        <f>MIN(O238, P238)</f>
        <v/>
      </c>
      <c r="R238" s="96">
        <f>ROUND((Q238*L238)/1000, 2)</f>
        <v/>
      </c>
      <c r="S238" s="85">
        <f>IF($C$8&gt;0, R238/$C$8, 0)</f>
        <v/>
      </c>
      <c r="T238" s="85">
        <f>IF(O238&gt;0, Q238/O238, 0)</f>
        <v/>
      </c>
      <c r="U238" s="18">
        <f>IF(Q238=0, "Exceeds Limit", IF(P238&lt;=O238, "Weight Limited", "Volume Limited"))</f>
        <v/>
      </c>
      <c r="V238" s="100">
        <f>B238&amp;"|"&amp;D238&amp;"|"&amp;F238</f>
        <v/>
      </c>
    </row>
    <row r="239" ht="19" customHeight="1">
      <c r="A239" s="93" t="n">
        <v>229</v>
      </c>
      <c r="B239" s="94" t="inlineStr">
        <is>
          <t>Carbon Steel</t>
        </is>
      </c>
      <c r="C239" s="13" t="inlineStr">
        <is>
          <t>ASME B36.10M / B36.19M</t>
        </is>
      </c>
      <c r="D239" s="12" t="inlineStr">
        <is>
          <t>12''</t>
        </is>
      </c>
      <c r="E239" s="93" t="n">
        <v>300</v>
      </c>
      <c r="F239" s="12" t="inlineStr">
        <is>
          <t>40</t>
        </is>
      </c>
      <c r="G239" s="14" t="n">
        <v>12.75</v>
      </c>
      <c r="H239" s="78" t="n">
        <v>323.85</v>
      </c>
      <c r="I239" s="14" t="n">
        <v>0.406</v>
      </c>
      <c r="J239" s="78" t="n">
        <v>10.31</v>
      </c>
      <c r="K239" s="14">
        <f>ROUND((H239-J239)*J239*IF(B239="Carbon Steel",$K$7,IF(B239="Stainless Steel 304",$K$8,$L$8)), 3)</f>
        <v/>
      </c>
      <c r="L239" s="78">
        <f>ROUND(K239*$G$5, 2)</f>
        <v/>
      </c>
      <c r="M239" s="93">
        <f>INT($G$6/H239)</f>
        <v/>
      </c>
      <c r="N239" s="93">
        <f>IF(M239=0, 0, IF(OR($K$6="Square Grid", M239=1), INT($G$7/H239), IF($G$7&lt;H239, 0, 1+INT(($G$7-H239)/(0.8660254*H239)))))</f>
        <v/>
      </c>
      <c r="O239" s="59">
        <f>IF(OR(M239=0,N239=0), 0, IF(OR($K$6="Square Grid", M239=1), M239*N239*$K$5, (INT((N239+1)/2)*M239 + INT(N239/2)*IF(($G$6-M239*H239)&gt;=0.5*H239, M239, M239-1))*$K$5))</f>
        <v/>
      </c>
      <c r="P239" s="59">
        <f>IF(L239&lt;=0, 0, INT($G$8/L239))</f>
        <v/>
      </c>
      <c r="Q239" s="95">
        <f>MIN(O239, P239)</f>
        <v/>
      </c>
      <c r="R239" s="96">
        <f>ROUND((Q239*L239)/1000, 2)</f>
        <v/>
      </c>
      <c r="S239" s="79">
        <f>IF($C$8&gt;0, R239/$C$8, 0)</f>
        <v/>
      </c>
      <c r="T239" s="79">
        <f>IF(O239&gt;0, Q239/O239, 0)</f>
        <v/>
      </c>
      <c r="U239" s="12">
        <f>IF(Q239=0, "Exceeds Limit", IF(P239&lt;=O239, "Weight Limited", "Volume Limited"))</f>
        <v/>
      </c>
      <c r="V239" s="97">
        <f>B239&amp;"|"&amp;D239&amp;"|"&amp;F239</f>
        <v/>
      </c>
    </row>
    <row r="240" ht="19" customHeight="1">
      <c r="A240" s="98" t="n">
        <v>230</v>
      </c>
      <c r="B240" s="99" t="inlineStr">
        <is>
          <t>Carbon Steel</t>
        </is>
      </c>
      <c r="C240" s="19" t="inlineStr">
        <is>
          <t>ASME B36.10M / B36.19M</t>
        </is>
      </c>
      <c r="D240" s="18" t="inlineStr">
        <is>
          <t>12''</t>
        </is>
      </c>
      <c r="E240" s="98" t="n">
        <v>300</v>
      </c>
      <c r="F240" s="18" t="inlineStr">
        <is>
          <t>60</t>
        </is>
      </c>
      <c r="G240" s="20" t="n">
        <v>12.75</v>
      </c>
      <c r="H240" s="82" t="n">
        <v>323.85</v>
      </c>
      <c r="I240" s="20" t="n">
        <v>0.5620000000000001</v>
      </c>
      <c r="J240" s="82" t="n">
        <v>14.27</v>
      </c>
      <c r="K240" s="20">
        <f>ROUND((H240-J240)*J240*IF(B240="Carbon Steel",$K$7,IF(B240="Stainless Steel 304",$K$8,$L$8)), 3)</f>
        <v/>
      </c>
      <c r="L240" s="82">
        <f>ROUND(K240*$G$5, 2)</f>
        <v/>
      </c>
      <c r="M240" s="98">
        <f>INT($G$6/H240)</f>
        <v/>
      </c>
      <c r="N240" s="98">
        <f>IF(M240=0, 0, IF(OR($K$6="Square Grid", M240=1), INT($G$7/H240), IF($G$7&lt;H240, 0, 1+INT(($G$7-H240)/(0.8660254*H240)))))</f>
        <v/>
      </c>
      <c r="O240" s="84">
        <f>IF(OR(M240=0,N240=0), 0, IF(OR($K$6="Square Grid", M240=1), M240*N240*$K$5, (INT((N240+1)/2)*M240 + INT(N240/2)*IF(($G$6-M240*H240)&gt;=0.5*H240, M240, M240-1))*$K$5))</f>
        <v/>
      </c>
      <c r="P240" s="84">
        <f>IF(L240&lt;=0, 0, INT($G$8/L240))</f>
        <v/>
      </c>
      <c r="Q240" s="95">
        <f>MIN(O240, P240)</f>
        <v/>
      </c>
      <c r="R240" s="96">
        <f>ROUND((Q240*L240)/1000, 2)</f>
        <v/>
      </c>
      <c r="S240" s="85">
        <f>IF($C$8&gt;0, R240/$C$8, 0)</f>
        <v/>
      </c>
      <c r="T240" s="85">
        <f>IF(O240&gt;0, Q240/O240, 0)</f>
        <v/>
      </c>
      <c r="U240" s="18">
        <f>IF(Q240=0, "Exceeds Limit", IF(P240&lt;=O240, "Weight Limited", "Volume Limited"))</f>
        <v/>
      </c>
      <c r="V240" s="100">
        <f>B240&amp;"|"&amp;D240&amp;"|"&amp;F240</f>
        <v/>
      </c>
    </row>
    <row r="241" ht="19" customHeight="1">
      <c r="A241" s="93" t="n">
        <v>231</v>
      </c>
      <c r="B241" s="94" t="inlineStr">
        <is>
          <t>Carbon Steel</t>
        </is>
      </c>
      <c r="C241" s="13" t="inlineStr">
        <is>
          <t>ASME B36.10M / B36.19M</t>
        </is>
      </c>
      <c r="D241" s="12" t="inlineStr">
        <is>
          <t>12''</t>
        </is>
      </c>
      <c r="E241" s="93" t="n">
        <v>300</v>
      </c>
      <c r="F241" s="12" t="inlineStr">
        <is>
          <t>80S</t>
        </is>
      </c>
      <c r="G241" s="14" t="n">
        <v>12.75</v>
      </c>
      <c r="H241" s="78" t="n">
        <v>323.85</v>
      </c>
      <c r="I241" s="14" t="n">
        <v>0.5</v>
      </c>
      <c r="J241" s="78" t="n">
        <v>12.7</v>
      </c>
      <c r="K241" s="14">
        <f>ROUND((H241-J241)*J241*IF(B241="Carbon Steel",$K$7,IF(B241="Stainless Steel 304",$K$8,$L$8)), 3)</f>
        <v/>
      </c>
      <c r="L241" s="78">
        <f>ROUND(K241*$G$5, 2)</f>
        <v/>
      </c>
      <c r="M241" s="93">
        <f>INT($G$6/H241)</f>
        <v/>
      </c>
      <c r="N241" s="93">
        <f>IF(M241=0, 0, IF(OR($K$6="Square Grid", M241=1), INT($G$7/H241), IF($G$7&lt;H241, 0, 1+INT(($G$7-H241)/(0.8660254*H241)))))</f>
        <v/>
      </c>
      <c r="O241" s="59">
        <f>IF(OR(M241=0,N241=0), 0, IF(OR($K$6="Square Grid", M241=1), M241*N241*$K$5, (INT((N241+1)/2)*M241 + INT(N241/2)*IF(($G$6-M241*H241)&gt;=0.5*H241, M241, M241-1))*$K$5))</f>
        <v/>
      </c>
      <c r="P241" s="59">
        <f>IF(L241&lt;=0, 0, INT($G$8/L241))</f>
        <v/>
      </c>
      <c r="Q241" s="95">
        <f>MIN(O241, P241)</f>
        <v/>
      </c>
      <c r="R241" s="96">
        <f>ROUND((Q241*L241)/1000, 2)</f>
        <v/>
      </c>
      <c r="S241" s="79">
        <f>IF($C$8&gt;0, R241/$C$8, 0)</f>
        <v/>
      </c>
      <c r="T241" s="79">
        <f>IF(O241&gt;0, Q241/O241, 0)</f>
        <v/>
      </c>
      <c r="U241" s="12">
        <f>IF(Q241=0, "Exceeds Limit", IF(P241&lt;=O241, "Weight Limited", "Volume Limited"))</f>
        <v/>
      </c>
      <c r="V241" s="97">
        <f>B241&amp;"|"&amp;D241&amp;"|"&amp;F241</f>
        <v/>
      </c>
    </row>
    <row r="242" ht="19" customHeight="1">
      <c r="A242" s="98" t="n">
        <v>232</v>
      </c>
      <c r="B242" s="99" t="inlineStr">
        <is>
          <t>Carbon Steel</t>
        </is>
      </c>
      <c r="C242" s="19" t="inlineStr">
        <is>
          <t>ASME B36.10M / B36.19M</t>
        </is>
      </c>
      <c r="D242" s="18" t="inlineStr">
        <is>
          <t>12''</t>
        </is>
      </c>
      <c r="E242" s="98" t="n">
        <v>300</v>
      </c>
      <c r="F242" s="18" t="inlineStr">
        <is>
          <t>XS</t>
        </is>
      </c>
      <c r="G242" s="20" t="n">
        <v>12.75</v>
      </c>
      <c r="H242" s="82" t="n">
        <v>323.85</v>
      </c>
      <c r="I242" s="20" t="n">
        <v>0.5</v>
      </c>
      <c r="J242" s="82" t="n">
        <v>12.7</v>
      </c>
      <c r="K242" s="20">
        <f>ROUND((H242-J242)*J242*IF(B242="Carbon Steel",$K$7,IF(B242="Stainless Steel 304",$K$8,$L$8)), 3)</f>
        <v/>
      </c>
      <c r="L242" s="82">
        <f>ROUND(K242*$G$5, 2)</f>
        <v/>
      </c>
      <c r="M242" s="98">
        <f>INT($G$6/H242)</f>
        <v/>
      </c>
      <c r="N242" s="98">
        <f>IF(M242=0, 0, IF(OR($K$6="Square Grid", M242=1), INT($G$7/H242), IF($G$7&lt;H242, 0, 1+INT(($G$7-H242)/(0.8660254*H242)))))</f>
        <v/>
      </c>
      <c r="O242" s="84">
        <f>IF(OR(M242=0,N242=0), 0, IF(OR($K$6="Square Grid", M242=1), M242*N242*$K$5, (INT((N242+1)/2)*M242 + INT(N242/2)*IF(($G$6-M242*H242)&gt;=0.5*H242, M242, M242-1))*$K$5))</f>
        <v/>
      </c>
      <c r="P242" s="84">
        <f>IF(L242&lt;=0, 0, INT($G$8/L242))</f>
        <v/>
      </c>
      <c r="Q242" s="95">
        <f>MIN(O242, P242)</f>
        <v/>
      </c>
      <c r="R242" s="96">
        <f>ROUND((Q242*L242)/1000, 2)</f>
        <v/>
      </c>
      <c r="S242" s="85">
        <f>IF($C$8&gt;0, R242/$C$8, 0)</f>
        <v/>
      </c>
      <c r="T242" s="85">
        <f>IF(O242&gt;0, Q242/O242, 0)</f>
        <v/>
      </c>
      <c r="U242" s="18">
        <f>IF(Q242=0, "Exceeds Limit", IF(P242&lt;=O242, "Weight Limited", "Volume Limited"))</f>
        <v/>
      </c>
      <c r="V242" s="100">
        <f>B242&amp;"|"&amp;D242&amp;"|"&amp;F242</f>
        <v/>
      </c>
    </row>
    <row r="243" ht="19" customHeight="1">
      <c r="A243" s="93" t="n">
        <v>233</v>
      </c>
      <c r="B243" s="94" t="inlineStr">
        <is>
          <t>Carbon Steel</t>
        </is>
      </c>
      <c r="C243" s="13" t="inlineStr">
        <is>
          <t>ASME B36.10M / B36.19M</t>
        </is>
      </c>
      <c r="D243" s="12" t="inlineStr">
        <is>
          <t>12''</t>
        </is>
      </c>
      <c r="E243" s="93" t="n">
        <v>300</v>
      </c>
      <c r="F243" s="12" t="inlineStr">
        <is>
          <t>80</t>
        </is>
      </c>
      <c r="G243" s="14" t="n">
        <v>12.75</v>
      </c>
      <c r="H243" s="78" t="n">
        <v>323.85</v>
      </c>
      <c r="I243" s="14" t="n">
        <v>0.6879999999999999</v>
      </c>
      <c r="J243" s="78" t="n">
        <v>17.48</v>
      </c>
      <c r="K243" s="14">
        <f>ROUND((H243-J243)*J243*IF(B243="Carbon Steel",$K$7,IF(B243="Stainless Steel 304",$K$8,$L$8)), 3)</f>
        <v/>
      </c>
      <c r="L243" s="78">
        <f>ROUND(K243*$G$5, 2)</f>
        <v/>
      </c>
      <c r="M243" s="93">
        <f>INT($G$6/H243)</f>
        <v/>
      </c>
      <c r="N243" s="93">
        <f>IF(M243=0, 0, IF(OR($K$6="Square Grid", M243=1), INT($G$7/H243), IF($G$7&lt;H243, 0, 1+INT(($G$7-H243)/(0.8660254*H243)))))</f>
        <v/>
      </c>
      <c r="O243" s="59">
        <f>IF(OR(M243=0,N243=0), 0, IF(OR($K$6="Square Grid", M243=1), M243*N243*$K$5, (INT((N243+1)/2)*M243 + INT(N243/2)*IF(($G$6-M243*H243)&gt;=0.5*H243, M243, M243-1))*$K$5))</f>
        <v/>
      </c>
      <c r="P243" s="59">
        <f>IF(L243&lt;=0, 0, INT($G$8/L243))</f>
        <v/>
      </c>
      <c r="Q243" s="95">
        <f>MIN(O243, P243)</f>
        <v/>
      </c>
      <c r="R243" s="96">
        <f>ROUND((Q243*L243)/1000, 2)</f>
        <v/>
      </c>
      <c r="S243" s="79">
        <f>IF($C$8&gt;0, R243/$C$8, 0)</f>
        <v/>
      </c>
      <c r="T243" s="79">
        <f>IF(O243&gt;0, Q243/O243, 0)</f>
        <v/>
      </c>
      <c r="U243" s="12">
        <f>IF(Q243=0, "Exceeds Limit", IF(P243&lt;=O243, "Weight Limited", "Volume Limited"))</f>
        <v/>
      </c>
      <c r="V243" s="97">
        <f>B243&amp;"|"&amp;D243&amp;"|"&amp;F243</f>
        <v/>
      </c>
    </row>
    <row r="244" ht="19" customHeight="1">
      <c r="A244" s="98" t="n">
        <v>234</v>
      </c>
      <c r="B244" s="99" t="inlineStr">
        <is>
          <t>Carbon Steel</t>
        </is>
      </c>
      <c r="C244" s="19" t="inlineStr">
        <is>
          <t>ASME B36.10M / B36.19M</t>
        </is>
      </c>
      <c r="D244" s="18" t="inlineStr">
        <is>
          <t>12''</t>
        </is>
      </c>
      <c r="E244" s="98" t="n">
        <v>300</v>
      </c>
      <c r="F244" s="18" t="inlineStr">
        <is>
          <t>100</t>
        </is>
      </c>
      <c r="G244" s="20" t="n">
        <v>12.75</v>
      </c>
      <c r="H244" s="82" t="n">
        <v>323.85</v>
      </c>
      <c r="I244" s="20" t="n">
        <v>0.844</v>
      </c>
      <c r="J244" s="82" t="n">
        <v>21.44</v>
      </c>
      <c r="K244" s="20">
        <f>ROUND((H244-J244)*J244*IF(B244="Carbon Steel",$K$7,IF(B244="Stainless Steel 304",$K$8,$L$8)), 3)</f>
        <v/>
      </c>
      <c r="L244" s="82">
        <f>ROUND(K244*$G$5, 2)</f>
        <v/>
      </c>
      <c r="M244" s="98">
        <f>INT($G$6/H244)</f>
        <v/>
      </c>
      <c r="N244" s="98">
        <f>IF(M244=0, 0, IF(OR($K$6="Square Grid", M244=1), INT($G$7/H244), IF($G$7&lt;H244, 0, 1+INT(($G$7-H244)/(0.8660254*H244)))))</f>
        <v/>
      </c>
      <c r="O244" s="84">
        <f>IF(OR(M244=0,N244=0), 0, IF(OR($K$6="Square Grid", M244=1), M244*N244*$K$5, (INT((N244+1)/2)*M244 + INT(N244/2)*IF(($G$6-M244*H244)&gt;=0.5*H244, M244, M244-1))*$K$5))</f>
        <v/>
      </c>
      <c r="P244" s="84">
        <f>IF(L244&lt;=0, 0, INT($G$8/L244))</f>
        <v/>
      </c>
      <c r="Q244" s="95">
        <f>MIN(O244, P244)</f>
        <v/>
      </c>
      <c r="R244" s="96">
        <f>ROUND((Q244*L244)/1000, 2)</f>
        <v/>
      </c>
      <c r="S244" s="85">
        <f>IF($C$8&gt;0, R244/$C$8, 0)</f>
        <v/>
      </c>
      <c r="T244" s="85">
        <f>IF(O244&gt;0, Q244/O244, 0)</f>
        <v/>
      </c>
      <c r="U244" s="18">
        <f>IF(Q244=0, "Exceeds Limit", IF(P244&lt;=O244, "Weight Limited", "Volume Limited"))</f>
        <v/>
      </c>
      <c r="V244" s="100">
        <f>B244&amp;"|"&amp;D244&amp;"|"&amp;F244</f>
        <v/>
      </c>
    </row>
    <row r="245" ht="19" customHeight="1">
      <c r="A245" s="93" t="n">
        <v>235</v>
      </c>
      <c r="B245" s="94" t="inlineStr">
        <is>
          <t>Carbon Steel</t>
        </is>
      </c>
      <c r="C245" s="13" t="inlineStr">
        <is>
          <t>ASME B36.10M / B36.19M</t>
        </is>
      </c>
      <c r="D245" s="12" t="inlineStr">
        <is>
          <t>12''</t>
        </is>
      </c>
      <c r="E245" s="93" t="n">
        <v>300</v>
      </c>
      <c r="F245" s="12" t="inlineStr">
        <is>
          <t>120</t>
        </is>
      </c>
      <c r="G245" s="14" t="n">
        <v>12.75</v>
      </c>
      <c r="H245" s="78" t="n">
        <v>323.85</v>
      </c>
      <c r="I245" s="14" t="n">
        <v>1</v>
      </c>
      <c r="J245" s="78" t="n">
        <v>25.4</v>
      </c>
      <c r="K245" s="14">
        <f>ROUND((H245-J245)*J245*IF(B245="Carbon Steel",$K$7,IF(B245="Stainless Steel 304",$K$8,$L$8)), 3)</f>
        <v/>
      </c>
      <c r="L245" s="78">
        <f>ROUND(K245*$G$5, 2)</f>
        <v/>
      </c>
      <c r="M245" s="93">
        <f>INT($G$6/H245)</f>
        <v/>
      </c>
      <c r="N245" s="93">
        <f>IF(M245=0, 0, IF(OR($K$6="Square Grid", M245=1), INT($G$7/H245), IF($G$7&lt;H245, 0, 1+INT(($G$7-H245)/(0.8660254*H245)))))</f>
        <v/>
      </c>
      <c r="O245" s="59">
        <f>IF(OR(M245=0,N245=0), 0, IF(OR($K$6="Square Grid", M245=1), M245*N245*$K$5, (INT((N245+1)/2)*M245 + INT(N245/2)*IF(($G$6-M245*H245)&gt;=0.5*H245, M245, M245-1))*$K$5))</f>
        <v/>
      </c>
      <c r="P245" s="59">
        <f>IF(L245&lt;=0, 0, INT($G$8/L245))</f>
        <v/>
      </c>
      <c r="Q245" s="95">
        <f>MIN(O245, P245)</f>
        <v/>
      </c>
      <c r="R245" s="96">
        <f>ROUND((Q245*L245)/1000, 2)</f>
        <v/>
      </c>
      <c r="S245" s="79">
        <f>IF($C$8&gt;0, R245/$C$8, 0)</f>
        <v/>
      </c>
      <c r="T245" s="79">
        <f>IF(O245&gt;0, Q245/O245, 0)</f>
        <v/>
      </c>
      <c r="U245" s="12">
        <f>IF(Q245=0, "Exceeds Limit", IF(P245&lt;=O245, "Weight Limited", "Volume Limited"))</f>
        <v/>
      </c>
      <c r="V245" s="97">
        <f>B245&amp;"|"&amp;D245&amp;"|"&amp;F245</f>
        <v/>
      </c>
    </row>
    <row r="246" ht="19" customHeight="1">
      <c r="A246" s="98" t="n">
        <v>236</v>
      </c>
      <c r="B246" s="99" t="inlineStr">
        <is>
          <t>Carbon Steel</t>
        </is>
      </c>
      <c r="C246" s="19" t="inlineStr">
        <is>
          <t>ASME B36.10M / B36.19M</t>
        </is>
      </c>
      <c r="D246" s="18" t="inlineStr">
        <is>
          <t>12''</t>
        </is>
      </c>
      <c r="E246" s="98" t="n">
        <v>300</v>
      </c>
      <c r="F246" s="18" t="inlineStr">
        <is>
          <t>140</t>
        </is>
      </c>
      <c r="G246" s="20" t="n">
        <v>12.75</v>
      </c>
      <c r="H246" s="82" t="n">
        <v>323.85</v>
      </c>
      <c r="I246" s="20" t="n">
        <v>1.125</v>
      </c>
      <c r="J246" s="82" t="n">
        <v>28.57</v>
      </c>
      <c r="K246" s="20">
        <f>ROUND((H246-J246)*J246*IF(B246="Carbon Steel",$K$7,IF(B246="Stainless Steel 304",$K$8,$L$8)), 3)</f>
        <v/>
      </c>
      <c r="L246" s="82">
        <f>ROUND(K246*$G$5, 2)</f>
        <v/>
      </c>
      <c r="M246" s="98">
        <f>INT($G$6/H246)</f>
        <v/>
      </c>
      <c r="N246" s="98">
        <f>IF(M246=0, 0, IF(OR($K$6="Square Grid", M246=1), INT($G$7/H246), IF($G$7&lt;H246, 0, 1+INT(($G$7-H246)/(0.8660254*H246)))))</f>
        <v/>
      </c>
      <c r="O246" s="84">
        <f>IF(OR(M246=0,N246=0), 0, IF(OR($K$6="Square Grid", M246=1), M246*N246*$K$5, (INT((N246+1)/2)*M246 + INT(N246/2)*IF(($G$6-M246*H246)&gt;=0.5*H246, M246, M246-1))*$K$5))</f>
        <v/>
      </c>
      <c r="P246" s="84">
        <f>IF(L246&lt;=0, 0, INT($G$8/L246))</f>
        <v/>
      </c>
      <c r="Q246" s="95">
        <f>MIN(O246, P246)</f>
        <v/>
      </c>
      <c r="R246" s="96">
        <f>ROUND((Q246*L246)/1000, 2)</f>
        <v/>
      </c>
      <c r="S246" s="85">
        <f>IF($C$8&gt;0, R246/$C$8, 0)</f>
        <v/>
      </c>
      <c r="T246" s="85">
        <f>IF(O246&gt;0, Q246/O246, 0)</f>
        <v/>
      </c>
      <c r="U246" s="18">
        <f>IF(Q246=0, "Exceeds Limit", IF(P246&lt;=O246, "Weight Limited", "Volume Limited"))</f>
        <v/>
      </c>
      <c r="V246" s="100">
        <f>B246&amp;"|"&amp;D246&amp;"|"&amp;F246</f>
        <v/>
      </c>
    </row>
    <row r="247" ht="19" customHeight="1">
      <c r="A247" s="93" t="n">
        <v>237</v>
      </c>
      <c r="B247" s="94" t="inlineStr">
        <is>
          <t>Carbon Steel</t>
        </is>
      </c>
      <c r="C247" s="13" t="inlineStr">
        <is>
          <t>ASME B36.10M / B36.19M</t>
        </is>
      </c>
      <c r="D247" s="12" t="inlineStr">
        <is>
          <t>12''</t>
        </is>
      </c>
      <c r="E247" s="93" t="n">
        <v>300</v>
      </c>
      <c r="F247" s="12" t="inlineStr">
        <is>
          <t>160</t>
        </is>
      </c>
      <c r="G247" s="14" t="n">
        <v>12.75</v>
      </c>
      <c r="H247" s="78" t="n">
        <v>323.85</v>
      </c>
      <c r="I247" s="14" t="n">
        <v>1.312</v>
      </c>
      <c r="J247" s="78" t="n">
        <v>33.32</v>
      </c>
      <c r="K247" s="14">
        <f>ROUND((H247-J247)*J247*IF(B247="Carbon Steel",$K$7,IF(B247="Stainless Steel 304",$K$8,$L$8)), 3)</f>
        <v/>
      </c>
      <c r="L247" s="78">
        <f>ROUND(K247*$G$5, 2)</f>
        <v/>
      </c>
      <c r="M247" s="93">
        <f>INT($G$6/H247)</f>
        <v/>
      </c>
      <c r="N247" s="93">
        <f>IF(M247=0, 0, IF(OR($K$6="Square Grid", M247=1), INT($G$7/H247), IF($G$7&lt;H247, 0, 1+INT(($G$7-H247)/(0.8660254*H247)))))</f>
        <v/>
      </c>
      <c r="O247" s="59">
        <f>IF(OR(M247=0,N247=0), 0, IF(OR($K$6="Square Grid", M247=1), M247*N247*$K$5, (INT((N247+1)/2)*M247 + INT(N247/2)*IF(($G$6-M247*H247)&gt;=0.5*H247, M247, M247-1))*$K$5))</f>
        <v/>
      </c>
      <c r="P247" s="59">
        <f>IF(L247&lt;=0, 0, INT($G$8/L247))</f>
        <v/>
      </c>
      <c r="Q247" s="95">
        <f>MIN(O247, P247)</f>
        <v/>
      </c>
      <c r="R247" s="96">
        <f>ROUND((Q247*L247)/1000, 2)</f>
        <v/>
      </c>
      <c r="S247" s="79">
        <f>IF($C$8&gt;0, R247/$C$8, 0)</f>
        <v/>
      </c>
      <c r="T247" s="79">
        <f>IF(O247&gt;0, Q247/O247, 0)</f>
        <v/>
      </c>
      <c r="U247" s="12">
        <f>IF(Q247=0, "Exceeds Limit", IF(P247&lt;=O247, "Weight Limited", "Volume Limited"))</f>
        <v/>
      </c>
      <c r="V247" s="97">
        <f>B247&amp;"|"&amp;D247&amp;"|"&amp;F247</f>
        <v/>
      </c>
    </row>
    <row r="248" ht="19" customHeight="1">
      <c r="A248" s="98" t="n">
        <v>238</v>
      </c>
      <c r="B248" s="99" t="inlineStr">
        <is>
          <t>Carbon Steel</t>
        </is>
      </c>
      <c r="C248" s="19" t="inlineStr">
        <is>
          <t>ASME B36.10M / B36.19M</t>
        </is>
      </c>
      <c r="D248" s="18" t="inlineStr">
        <is>
          <t>12''</t>
        </is>
      </c>
      <c r="E248" s="98" t="n">
        <v>300</v>
      </c>
      <c r="F248" s="18" t="inlineStr">
        <is>
          <t>XXS</t>
        </is>
      </c>
      <c r="G248" s="20" t="n">
        <v>12.75</v>
      </c>
      <c r="H248" s="82" t="n">
        <v>323.85</v>
      </c>
      <c r="I248" s="20" t="n">
        <v>1</v>
      </c>
      <c r="J248" s="82" t="n">
        <v>25.4</v>
      </c>
      <c r="K248" s="20">
        <f>ROUND((H248-J248)*J248*IF(B248="Carbon Steel",$K$7,IF(B248="Stainless Steel 304",$K$8,$L$8)), 3)</f>
        <v/>
      </c>
      <c r="L248" s="82">
        <f>ROUND(K248*$G$5, 2)</f>
        <v/>
      </c>
      <c r="M248" s="98">
        <f>INT($G$6/H248)</f>
        <v/>
      </c>
      <c r="N248" s="98">
        <f>IF(M248=0, 0, IF(OR($K$6="Square Grid", M248=1), INT($G$7/H248), IF($G$7&lt;H248, 0, 1+INT(($G$7-H248)/(0.8660254*H248)))))</f>
        <v/>
      </c>
      <c r="O248" s="84">
        <f>IF(OR(M248=0,N248=0), 0, IF(OR($K$6="Square Grid", M248=1), M248*N248*$K$5, (INT((N248+1)/2)*M248 + INT(N248/2)*IF(($G$6-M248*H248)&gt;=0.5*H248, M248, M248-1))*$K$5))</f>
        <v/>
      </c>
      <c r="P248" s="84">
        <f>IF(L248&lt;=0, 0, INT($G$8/L248))</f>
        <v/>
      </c>
      <c r="Q248" s="95">
        <f>MIN(O248, P248)</f>
        <v/>
      </c>
      <c r="R248" s="96">
        <f>ROUND((Q248*L248)/1000, 2)</f>
        <v/>
      </c>
      <c r="S248" s="85">
        <f>IF($C$8&gt;0, R248/$C$8, 0)</f>
        <v/>
      </c>
      <c r="T248" s="85">
        <f>IF(O248&gt;0, Q248/O248, 0)</f>
        <v/>
      </c>
      <c r="U248" s="18">
        <f>IF(Q248=0, "Exceeds Limit", IF(P248&lt;=O248, "Weight Limited", "Volume Limited"))</f>
        <v/>
      </c>
      <c r="V248" s="100">
        <f>B248&amp;"|"&amp;D248&amp;"|"&amp;F248</f>
        <v/>
      </c>
    </row>
    <row r="249" ht="19" customHeight="1">
      <c r="A249" s="93" t="n">
        <v>239</v>
      </c>
      <c r="B249" s="94" t="inlineStr">
        <is>
          <t>Carbon Steel</t>
        </is>
      </c>
      <c r="C249" s="13" t="inlineStr">
        <is>
          <t>ASME B36.10M / B36.19M</t>
        </is>
      </c>
      <c r="D249" s="12" t="inlineStr">
        <is>
          <t>14''</t>
        </is>
      </c>
      <c r="E249" s="93" t="n">
        <v>350</v>
      </c>
      <c r="F249" s="12" t="inlineStr">
        <is>
          <t>5S</t>
        </is>
      </c>
      <c r="G249" s="14" t="n">
        <v>14</v>
      </c>
      <c r="H249" s="78" t="n">
        <v>355.6</v>
      </c>
      <c r="I249" s="14" t="n">
        <v>0.156</v>
      </c>
      <c r="J249" s="78" t="n">
        <v>3.96</v>
      </c>
      <c r="K249" s="14">
        <f>ROUND((H249-J249)*J249*IF(B249="Carbon Steel",$K$7,IF(B249="Stainless Steel 304",$K$8,$L$8)), 3)</f>
        <v/>
      </c>
      <c r="L249" s="78">
        <f>ROUND(K249*$G$5, 2)</f>
        <v/>
      </c>
      <c r="M249" s="93">
        <f>INT($G$6/H249)</f>
        <v/>
      </c>
      <c r="N249" s="93">
        <f>IF(M249=0, 0, IF(OR($K$6="Square Grid", M249=1), INT($G$7/H249), IF($G$7&lt;H249, 0, 1+INT(($G$7-H249)/(0.8660254*H249)))))</f>
        <v/>
      </c>
      <c r="O249" s="59">
        <f>IF(OR(M249=0,N249=0), 0, IF(OR($K$6="Square Grid", M249=1), M249*N249*$K$5, (INT((N249+1)/2)*M249 + INT(N249/2)*IF(($G$6-M249*H249)&gt;=0.5*H249, M249, M249-1))*$K$5))</f>
        <v/>
      </c>
      <c r="P249" s="59">
        <f>IF(L249&lt;=0, 0, INT($G$8/L249))</f>
        <v/>
      </c>
      <c r="Q249" s="95">
        <f>MIN(O249, P249)</f>
        <v/>
      </c>
      <c r="R249" s="96">
        <f>ROUND((Q249*L249)/1000, 2)</f>
        <v/>
      </c>
      <c r="S249" s="79">
        <f>IF($C$8&gt;0, R249/$C$8, 0)</f>
        <v/>
      </c>
      <c r="T249" s="79">
        <f>IF(O249&gt;0, Q249/O249, 0)</f>
        <v/>
      </c>
      <c r="U249" s="12">
        <f>IF(Q249=0, "Exceeds Limit", IF(P249&lt;=O249, "Weight Limited", "Volume Limited"))</f>
        <v/>
      </c>
      <c r="V249" s="97">
        <f>B249&amp;"|"&amp;D249&amp;"|"&amp;F249</f>
        <v/>
      </c>
    </row>
    <row r="250" ht="19" customHeight="1">
      <c r="A250" s="98" t="n">
        <v>240</v>
      </c>
      <c r="B250" s="99" t="inlineStr">
        <is>
          <t>Carbon Steel</t>
        </is>
      </c>
      <c r="C250" s="19" t="inlineStr">
        <is>
          <t>ASME B36.10M / B36.19M</t>
        </is>
      </c>
      <c r="D250" s="18" t="inlineStr">
        <is>
          <t>14''</t>
        </is>
      </c>
      <c r="E250" s="98" t="n">
        <v>350</v>
      </c>
      <c r="F250" s="18" t="inlineStr">
        <is>
          <t>5</t>
        </is>
      </c>
      <c r="G250" s="20" t="n">
        <v>14</v>
      </c>
      <c r="H250" s="82" t="n">
        <v>355.6</v>
      </c>
      <c r="I250" s="20" t="n">
        <v>0.156</v>
      </c>
      <c r="J250" s="82" t="n">
        <v>3.96</v>
      </c>
      <c r="K250" s="20">
        <f>ROUND((H250-J250)*J250*IF(B250="Carbon Steel",$K$7,IF(B250="Stainless Steel 304",$K$8,$L$8)), 3)</f>
        <v/>
      </c>
      <c r="L250" s="82">
        <f>ROUND(K250*$G$5, 2)</f>
        <v/>
      </c>
      <c r="M250" s="98">
        <f>INT($G$6/H250)</f>
        <v/>
      </c>
      <c r="N250" s="98">
        <f>IF(M250=0, 0, IF(OR($K$6="Square Grid", M250=1), INT($G$7/H250), IF($G$7&lt;H250, 0, 1+INT(($G$7-H250)/(0.8660254*H250)))))</f>
        <v/>
      </c>
      <c r="O250" s="84">
        <f>IF(OR(M250=0,N250=0), 0, IF(OR($K$6="Square Grid", M250=1), M250*N250*$K$5, (INT((N250+1)/2)*M250 + INT(N250/2)*IF(($G$6-M250*H250)&gt;=0.5*H250, M250, M250-1))*$K$5))</f>
        <v/>
      </c>
      <c r="P250" s="84">
        <f>IF(L250&lt;=0, 0, INT($G$8/L250))</f>
        <v/>
      </c>
      <c r="Q250" s="95">
        <f>MIN(O250, P250)</f>
        <v/>
      </c>
      <c r="R250" s="96">
        <f>ROUND((Q250*L250)/1000, 2)</f>
        <v/>
      </c>
      <c r="S250" s="85">
        <f>IF($C$8&gt;0, R250/$C$8, 0)</f>
        <v/>
      </c>
      <c r="T250" s="85">
        <f>IF(O250&gt;0, Q250/O250, 0)</f>
        <v/>
      </c>
      <c r="U250" s="18">
        <f>IF(Q250=0, "Exceeds Limit", IF(P250&lt;=O250, "Weight Limited", "Volume Limited"))</f>
        <v/>
      </c>
      <c r="V250" s="100">
        <f>B250&amp;"|"&amp;D250&amp;"|"&amp;F250</f>
        <v/>
      </c>
    </row>
    <row r="251" ht="19" customHeight="1">
      <c r="A251" s="93" t="n">
        <v>241</v>
      </c>
      <c r="B251" s="94" t="inlineStr">
        <is>
          <t>Carbon Steel</t>
        </is>
      </c>
      <c r="C251" s="13" t="inlineStr">
        <is>
          <t>ASME B36.10M / B36.19M</t>
        </is>
      </c>
      <c r="D251" s="12" t="inlineStr">
        <is>
          <t>14''</t>
        </is>
      </c>
      <c r="E251" s="93" t="n">
        <v>350</v>
      </c>
      <c r="F251" s="12" t="inlineStr">
        <is>
          <t>10S</t>
        </is>
      </c>
      <c r="G251" s="14" t="n">
        <v>14</v>
      </c>
      <c r="H251" s="78" t="n">
        <v>355.6</v>
      </c>
      <c r="I251" s="14" t="n">
        <v>0.188</v>
      </c>
      <c r="J251" s="78" t="n">
        <v>4.78</v>
      </c>
      <c r="K251" s="14">
        <f>ROUND((H251-J251)*J251*IF(B251="Carbon Steel",$K$7,IF(B251="Stainless Steel 304",$K$8,$L$8)), 3)</f>
        <v/>
      </c>
      <c r="L251" s="78">
        <f>ROUND(K251*$G$5, 2)</f>
        <v/>
      </c>
      <c r="M251" s="93">
        <f>INT($G$6/H251)</f>
        <v/>
      </c>
      <c r="N251" s="93">
        <f>IF(M251=0, 0, IF(OR($K$6="Square Grid", M251=1), INT($G$7/H251), IF($G$7&lt;H251, 0, 1+INT(($G$7-H251)/(0.8660254*H251)))))</f>
        <v/>
      </c>
      <c r="O251" s="59">
        <f>IF(OR(M251=0,N251=0), 0, IF(OR($K$6="Square Grid", M251=1), M251*N251*$K$5, (INT((N251+1)/2)*M251 + INT(N251/2)*IF(($G$6-M251*H251)&gt;=0.5*H251, M251, M251-1))*$K$5))</f>
        <v/>
      </c>
      <c r="P251" s="59">
        <f>IF(L251&lt;=0, 0, INT($G$8/L251))</f>
        <v/>
      </c>
      <c r="Q251" s="95">
        <f>MIN(O251, P251)</f>
        <v/>
      </c>
      <c r="R251" s="96">
        <f>ROUND((Q251*L251)/1000, 2)</f>
        <v/>
      </c>
      <c r="S251" s="79">
        <f>IF($C$8&gt;0, R251/$C$8, 0)</f>
        <v/>
      </c>
      <c r="T251" s="79">
        <f>IF(O251&gt;0, Q251/O251, 0)</f>
        <v/>
      </c>
      <c r="U251" s="12">
        <f>IF(Q251=0, "Exceeds Limit", IF(P251&lt;=O251, "Weight Limited", "Volume Limited"))</f>
        <v/>
      </c>
      <c r="V251" s="97">
        <f>B251&amp;"|"&amp;D251&amp;"|"&amp;F251</f>
        <v/>
      </c>
    </row>
    <row r="252" ht="19" customHeight="1">
      <c r="A252" s="98" t="n">
        <v>242</v>
      </c>
      <c r="B252" s="99" t="inlineStr">
        <is>
          <t>Carbon Steel</t>
        </is>
      </c>
      <c r="C252" s="19" t="inlineStr">
        <is>
          <t>ASME B36.10M / B36.19M</t>
        </is>
      </c>
      <c r="D252" s="18" t="inlineStr">
        <is>
          <t>14''</t>
        </is>
      </c>
      <c r="E252" s="98" t="n">
        <v>350</v>
      </c>
      <c r="F252" s="18" t="inlineStr">
        <is>
          <t>10</t>
        </is>
      </c>
      <c r="G252" s="20" t="n">
        <v>14</v>
      </c>
      <c r="H252" s="82" t="n">
        <v>355.6</v>
      </c>
      <c r="I252" s="20" t="n">
        <v>0.25</v>
      </c>
      <c r="J252" s="82" t="n">
        <v>6.35</v>
      </c>
      <c r="K252" s="20">
        <f>ROUND((H252-J252)*J252*IF(B252="Carbon Steel",$K$7,IF(B252="Stainless Steel 304",$K$8,$L$8)), 3)</f>
        <v/>
      </c>
      <c r="L252" s="82">
        <f>ROUND(K252*$G$5, 2)</f>
        <v/>
      </c>
      <c r="M252" s="98">
        <f>INT($G$6/H252)</f>
        <v/>
      </c>
      <c r="N252" s="98">
        <f>IF(M252=0, 0, IF(OR($K$6="Square Grid", M252=1), INT($G$7/H252), IF($G$7&lt;H252, 0, 1+INT(($G$7-H252)/(0.8660254*H252)))))</f>
        <v/>
      </c>
      <c r="O252" s="84">
        <f>IF(OR(M252=0,N252=0), 0, IF(OR($K$6="Square Grid", M252=1), M252*N252*$K$5, (INT((N252+1)/2)*M252 + INT(N252/2)*IF(($G$6-M252*H252)&gt;=0.5*H252, M252, M252-1))*$K$5))</f>
        <v/>
      </c>
      <c r="P252" s="84">
        <f>IF(L252&lt;=0, 0, INT($G$8/L252))</f>
        <v/>
      </c>
      <c r="Q252" s="95">
        <f>MIN(O252, P252)</f>
        <v/>
      </c>
      <c r="R252" s="96">
        <f>ROUND((Q252*L252)/1000, 2)</f>
        <v/>
      </c>
      <c r="S252" s="85">
        <f>IF($C$8&gt;0, R252/$C$8, 0)</f>
        <v/>
      </c>
      <c r="T252" s="85">
        <f>IF(O252&gt;0, Q252/O252, 0)</f>
        <v/>
      </c>
      <c r="U252" s="18">
        <f>IF(Q252=0, "Exceeds Limit", IF(P252&lt;=O252, "Weight Limited", "Volume Limited"))</f>
        <v/>
      </c>
      <c r="V252" s="100">
        <f>B252&amp;"|"&amp;D252&amp;"|"&amp;F252</f>
        <v/>
      </c>
    </row>
    <row r="253" ht="19" customHeight="1">
      <c r="A253" s="93" t="n">
        <v>243</v>
      </c>
      <c r="B253" s="94" t="inlineStr">
        <is>
          <t>Carbon Steel</t>
        </is>
      </c>
      <c r="C253" s="13" t="inlineStr">
        <is>
          <t>ASME B36.10M / B36.19M</t>
        </is>
      </c>
      <c r="D253" s="12" t="inlineStr">
        <is>
          <t>14''</t>
        </is>
      </c>
      <c r="E253" s="93" t="n">
        <v>350</v>
      </c>
      <c r="F253" s="12" t="inlineStr">
        <is>
          <t>20</t>
        </is>
      </c>
      <c r="G253" s="14" t="n">
        <v>14</v>
      </c>
      <c r="H253" s="78" t="n">
        <v>355.6</v>
      </c>
      <c r="I253" s="14" t="n">
        <v>0.312</v>
      </c>
      <c r="J253" s="78" t="n">
        <v>7.92</v>
      </c>
      <c r="K253" s="14">
        <f>ROUND((H253-J253)*J253*IF(B253="Carbon Steel",$K$7,IF(B253="Stainless Steel 304",$K$8,$L$8)), 3)</f>
        <v/>
      </c>
      <c r="L253" s="78">
        <f>ROUND(K253*$G$5, 2)</f>
        <v/>
      </c>
      <c r="M253" s="93">
        <f>INT($G$6/H253)</f>
        <v/>
      </c>
      <c r="N253" s="93">
        <f>IF(M253=0, 0, IF(OR($K$6="Square Grid", M253=1), INT($G$7/H253), IF($G$7&lt;H253, 0, 1+INT(($G$7-H253)/(0.8660254*H253)))))</f>
        <v/>
      </c>
      <c r="O253" s="59">
        <f>IF(OR(M253=0,N253=0), 0, IF(OR($K$6="Square Grid", M253=1), M253*N253*$K$5, (INT((N253+1)/2)*M253 + INT(N253/2)*IF(($G$6-M253*H253)&gt;=0.5*H253, M253, M253-1))*$K$5))</f>
        <v/>
      </c>
      <c r="P253" s="59">
        <f>IF(L253&lt;=0, 0, INT($G$8/L253))</f>
        <v/>
      </c>
      <c r="Q253" s="95">
        <f>MIN(O253, P253)</f>
        <v/>
      </c>
      <c r="R253" s="96">
        <f>ROUND((Q253*L253)/1000, 2)</f>
        <v/>
      </c>
      <c r="S253" s="79">
        <f>IF($C$8&gt;0, R253/$C$8, 0)</f>
        <v/>
      </c>
      <c r="T253" s="79">
        <f>IF(O253&gt;0, Q253/O253, 0)</f>
        <v/>
      </c>
      <c r="U253" s="12">
        <f>IF(Q253=0, "Exceeds Limit", IF(P253&lt;=O253, "Weight Limited", "Volume Limited"))</f>
        <v/>
      </c>
      <c r="V253" s="97">
        <f>B253&amp;"|"&amp;D253&amp;"|"&amp;F253</f>
        <v/>
      </c>
    </row>
    <row r="254" ht="19" customHeight="1">
      <c r="A254" s="98" t="n">
        <v>244</v>
      </c>
      <c r="B254" s="99" t="inlineStr">
        <is>
          <t>Carbon Steel</t>
        </is>
      </c>
      <c r="C254" s="19" t="inlineStr">
        <is>
          <t>ASME B36.10M / B36.19M</t>
        </is>
      </c>
      <c r="D254" s="18" t="inlineStr">
        <is>
          <t>14''</t>
        </is>
      </c>
      <c r="E254" s="98" t="n">
        <v>350</v>
      </c>
      <c r="F254" s="18" t="inlineStr">
        <is>
          <t>30</t>
        </is>
      </c>
      <c r="G254" s="20" t="n">
        <v>14</v>
      </c>
      <c r="H254" s="82" t="n">
        <v>355.6</v>
      </c>
      <c r="I254" s="20" t="n">
        <v>0.375</v>
      </c>
      <c r="J254" s="82" t="n">
        <v>9.52</v>
      </c>
      <c r="K254" s="20">
        <f>ROUND((H254-J254)*J254*IF(B254="Carbon Steel",$K$7,IF(B254="Stainless Steel 304",$K$8,$L$8)), 3)</f>
        <v/>
      </c>
      <c r="L254" s="82">
        <f>ROUND(K254*$G$5, 2)</f>
        <v/>
      </c>
      <c r="M254" s="98">
        <f>INT($G$6/H254)</f>
        <v/>
      </c>
      <c r="N254" s="98">
        <f>IF(M254=0, 0, IF(OR($K$6="Square Grid", M254=1), INT($G$7/H254), IF($G$7&lt;H254, 0, 1+INT(($G$7-H254)/(0.8660254*H254)))))</f>
        <v/>
      </c>
      <c r="O254" s="84">
        <f>IF(OR(M254=0,N254=0), 0, IF(OR($K$6="Square Grid", M254=1), M254*N254*$K$5, (INT((N254+1)/2)*M254 + INT(N254/2)*IF(($G$6-M254*H254)&gt;=0.5*H254, M254, M254-1))*$K$5))</f>
        <v/>
      </c>
      <c r="P254" s="84">
        <f>IF(L254&lt;=0, 0, INT($G$8/L254))</f>
        <v/>
      </c>
      <c r="Q254" s="95">
        <f>MIN(O254, P254)</f>
        <v/>
      </c>
      <c r="R254" s="96">
        <f>ROUND((Q254*L254)/1000, 2)</f>
        <v/>
      </c>
      <c r="S254" s="85">
        <f>IF($C$8&gt;0, R254/$C$8, 0)</f>
        <v/>
      </c>
      <c r="T254" s="85">
        <f>IF(O254&gt;0, Q254/O254, 0)</f>
        <v/>
      </c>
      <c r="U254" s="18">
        <f>IF(Q254=0, "Exceeds Limit", IF(P254&lt;=O254, "Weight Limited", "Volume Limited"))</f>
        <v/>
      </c>
      <c r="V254" s="100">
        <f>B254&amp;"|"&amp;D254&amp;"|"&amp;F254</f>
        <v/>
      </c>
    </row>
    <row r="255" ht="19" customHeight="1">
      <c r="A255" s="93" t="n">
        <v>245</v>
      </c>
      <c r="B255" s="94" t="inlineStr">
        <is>
          <t>Carbon Steel</t>
        </is>
      </c>
      <c r="C255" s="13" t="inlineStr">
        <is>
          <t>ASME B36.10M / B36.19M</t>
        </is>
      </c>
      <c r="D255" s="12" t="inlineStr">
        <is>
          <t>14''</t>
        </is>
      </c>
      <c r="E255" s="93" t="n">
        <v>350</v>
      </c>
      <c r="F255" s="12" t="inlineStr">
        <is>
          <t>40S</t>
        </is>
      </c>
      <c r="G255" s="14" t="n">
        <v>14</v>
      </c>
      <c r="H255" s="78" t="n">
        <v>355.6</v>
      </c>
      <c r="I255" s="14" t="n">
        <v>0.375</v>
      </c>
      <c r="J255" s="78" t="n">
        <v>9.52</v>
      </c>
      <c r="K255" s="14">
        <f>ROUND((H255-J255)*J255*IF(B255="Carbon Steel",$K$7,IF(B255="Stainless Steel 304",$K$8,$L$8)), 3)</f>
        <v/>
      </c>
      <c r="L255" s="78">
        <f>ROUND(K255*$G$5, 2)</f>
        <v/>
      </c>
      <c r="M255" s="93">
        <f>INT($G$6/H255)</f>
        <v/>
      </c>
      <c r="N255" s="93">
        <f>IF(M255=0, 0, IF(OR($K$6="Square Grid", M255=1), INT($G$7/H255), IF($G$7&lt;H255, 0, 1+INT(($G$7-H255)/(0.8660254*H255)))))</f>
        <v/>
      </c>
      <c r="O255" s="59">
        <f>IF(OR(M255=0,N255=0), 0, IF(OR($K$6="Square Grid", M255=1), M255*N255*$K$5, (INT((N255+1)/2)*M255 + INT(N255/2)*IF(($G$6-M255*H255)&gt;=0.5*H255, M255, M255-1))*$K$5))</f>
        <v/>
      </c>
      <c r="P255" s="59">
        <f>IF(L255&lt;=0, 0, INT($G$8/L255))</f>
        <v/>
      </c>
      <c r="Q255" s="95">
        <f>MIN(O255, P255)</f>
        <v/>
      </c>
      <c r="R255" s="96">
        <f>ROUND((Q255*L255)/1000, 2)</f>
        <v/>
      </c>
      <c r="S255" s="79">
        <f>IF($C$8&gt;0, R255/$C$8, 0)</f>
        <v/>
      </c>
      <c r="T255" s="79">
        <f>IF(O255&gt;0, Q255/O255, 0)</f>
        <v/>
      </c>
      <c r="U255" s="12">
        <f>IF(Q255=0, "Exceeds Limit", IF(P255&lt;=O255, "Weight Limited", "Volume Limited"))</f>
        <v/>
      </c>
      <c r="V255" s="97">
        <f>B255&amp;"|"&amp;D255&amp;"|"&amp;F255</f>
        <v/>
      </c>
    </row>
    <row r="256" ht="19" customHeight="1">
      <c r="A256" s="98" t="n">
        <v>246</v>
      </c>
      <c r="B256" s="99" t="inlineStr">
        <is>
          <t>Carbon Steel</t>
        </is>
      </c>
      <c r="C256" s="19" t="inlineStr">
        <is>
          <t>ASME B36.10M / B36.19M</t>
        </is>
      </c>
      <c r="D256" s="18" t="inlineStr">
        <is>
          <t>14''</t>
        </is>
      </c>
      <c r="E256" s="98" t="n">
        <v>350</v>
      </c>
      <c r="F256" s="18" t="inlineStr">
        <is>
          <t>STD</t>
        </is>
      </c>
      <c r="G256" s="20" t="n">
        <v>14</v>
      </c>
      <c r="H256" s="82" t="n">
        <v>355.6</v>
      </c>
      <c r="I256" s="20" t="n">
        <v>0.375</v>
      </c>
      <c r="J256" s="82" t="n">
        <v>9.52</v>
      </c>
      <c r="K256" s="20">
        <f>ROUND((H256-J256)*J256*IF(B256="Carbon Steel",$K$7,IF(B256="Stainless Steel 304",$K$8,$L$8)), 3)</f>
        <v/>
      </c>
      <c r="L256" s="82">
        <f>ROUND(K256*$G$5, 2)</f>
        <v/>
      </c>
      <c r="M256" s="98">
        <f>INT($G$6/H256)</f>
        <v/>
      </c>
      <c r="N256" s="98">
        <f>IF(M256=0, 0, IF(OR($K$6="Square Grid", M256=1), INT($G$7/H256), IF($G$7&lt;H256, 0, 1+INT(($G$7-H256)/(0.8660254*H256)))))</f>
        <v/>
      </c>
      <c r="O256" s="84">
        <f>IF(OR(M256=0,N256=0), 0, IF(OR($K$6="Square Grid", M256=1), M256*N256*$K$5, (INT((N256+1)/2)*M256 + INT(N256/2)*IF(($G$6-M256*H256)&gt;=0.5*H256, M256, M256-1))*$K$5))</f>
        <v/>
      </c>
      <c r="P256" s="84">
        <f>IF(L256&lt;=0, 0, INT($G$8/L256))</f>
        <v/>
      </c>
      <c r="Q256" s="95">
        <f>MIN(O256, P256)</f>
        <v/>
      </c>
      <c r="R256" s="96">
        <f>ROUND((Q256*L256)/1000, 2)</f>
        <v/>
      </c>
      <c r="S256" s="85">
        <f>IF($C$8&gt;0, R256/$C$8, 0)</f>
        <v/>
      </c>
      <c r="T256" s="85">
        <f>IF(O256&gt;0, Q256/O256, 0)</f>
        <v/>
      </c>
      <c r="U256" s="18">
        <f>IF(Q256=0, "Exceeds Limit", IF(P256&lt;=O256, "Weight Limited", "Volume Limited"))</f>
        <v/>
      </c>
      <c r="V256" s="100">
        <f>B256&amp;"|"&amp;D256&amp;"|"&amp;F256</f>
        <v/>
      </c>
    </row>
    <row r="257" ht="19" customHeight="1">
      <c r="A257" s="93" t="n">
        <v>247</v>
      </c>
      <c r="B257" s="94" t="inlineStr">
        <is>
          <t>Carbon Steel</t>
        </is>
      </c>
      <c r="C257" s="13" t="inlineStr">
        <is>
          <t>ASME B36.10M / B36.19M</t>
        </is>
      </c>
      <c r="D257" s="12" t="inlineStr">
        <is>
          <t>14''</t>
        </is>
      </c>
      <c r="E257" s="93" t="n">
        <v>350</v>
      </c>
      <c r="F257" s="12" t="inlineStr">
        <is>
          <t>40</t>
        </is>
      </c>
      <c r="G257" s="14" t="n">
        <v>14</v>
      </c>
      <c r="H257" s="78" t="n">
        <v>355.6</v>
      </c>
      <c r="I257" s="14" t="n">
        <v>0.438</v>
      </c>
      <c r="J257" s="78" t="n">
        <v>11.13</v>
      </c>
      <c r="K257" s="14">
        <f>ROUND((H257-J257)*J257*IF(B257="Carbon Steel",$K$7,IF(B257="Stainless Steel 304",$K$8,$L$8)), 3)</f>
        <v/>
      </c>
      <c r="L257" s="78">
        <f>ROUND(K257*$G$5, 2)</f>
        <v/>
      </c>
      <c r="M257" s="93">
        <f>INT($G$6/H257)</f>
        <v/>
      </c>
      <c r="N257" s="93">
        <f>IF(M257=0, 0, IF(OR($K$6="Square Grid", M257=1), INT($G$7/H257), IF($G$7&lt;H257, 0, 1+INT(($G$7-H257)/(0.8660254*H257)))))</f>
        <v/>
      </c>
      <c r="O257" s="59">
        <f>IF(OR(M257=0,N257=0), 0, IF(OR($K$6="Square Grid", M257=1), M257*N257*$K$5, (INT((N257+1)/2)*M257 + INT(N257/2)*IF(($G$6-M257*H257)&gt;=0.5*H257, M257, M257-1))*$K$5))</f>
        <v/>
      </c>
      <c r="P257" s="59">
        <f>IF(L257&lt;=0, 0, INT($G$8/L257))</f>
        <v/>
      </c>
      <c r="Q257" s="95">
        <f>MIN(O257, P257)</f>
        <v/>
      </c>
      <c r="R257" s="96">
        <f>ROUND((Q257*L257)/1000, 2)</f>
        <v/>
      </c>
      <c r="S257" s="79">
        <f>IF($C$8&gt;0, R257/$C$8, 0)</f>
        <v/>
      </c>
      <c r="T257" s="79">
        <f>IF(O257&gt;0, Q257/O257, 0)</f>
        <v/>
      </c>
      <c r="U257" s="12">
        <f>IF(Q257=0, "Exceeds Limit", IF(P257&lt;=O257, "Weight Limited", "Volume Limited"))</f>
        <v/>
      </c>
      <c r="V257" s="97">
        <f>B257&amp;"|"&amp;D257&amp;"|"&amp;F257</f>
        <v/>
      </c>
    </row>
    <row r="258" ht="19" customHeight="1">
      <c r="A258" s="98" t="n">
        <v>248</v>
      </c>
      <c r="B258" s="99" t="inlineStr">
        <is>
          <t>Carbon Steel</t>
        </is>
      </c>
      <c r="C258" s="19" t="inlineStr">
        <is>
          <t>ASME B36.10M / B36.19M</t>
        </is>
      </c>
      <c r="D258" s="18" t="inlineStr">
        <is>
          <t>14''</t>
        </is>
      </c>
      <c r="E258" s="98" t="n">
        <v>350</v>
      </c>
      <c r="F258" s="18" t="inlineStr">
        <is>
          <t>60</t>
        </is>
      </c>
      <c r="G258" s="20" t="n">
        <v>14</v>
      </c>
      <c r="H258" s="82" t="n">
        <v>355.6</v>
      </c>
      <c r="I258" s="20" t="n">
        <v>0.594</v>
      </c>
      <c r="J258" s="82" t="n">
        <v>15.09</v>
      </c>
      <c r="K258" s="20">
        <f>ROUND((H258-J258)*J258*IF(B258="Carbon Steel",$K$7,IF(B258="Stainless Steel 304",$K$8,$L$8)), 3)</f>
        <v/>
      </c>
      <c r="L258" s="82">
        <f>ROUND(K258*$G$5, 2)</f>
        <v/>
      </c>
      <c r="M258" s="98">
        <f>INT($G$6/H258)</f>
        <v/>
      </c>
      <c r="N258" s="98">
        <f>IF(M258=0, 0, IF(OR($K$6="Square Grid", M258=1), INT($G$7/H258), IF($G$7&lt;H258, 0, 1+INT(($G$7-H258)/(0.8660254*H258)))))</f>
        <v/>
      </c>
      <c r="O258" s="84">
        <f>IF(OR(M258=0,N258=0), 0, IF(OR($K$6="Square Grid", M258=1), M258*N258*$K$5, (INT((N258+1)/2)*M258 + INT(N258/2)*IF(($G$6-M258*H258)&gt;=0.5*H258, M258, M258-1))*$K$5))</f>
        <v/>
      </c>
      <c r="P258" s="84">
        <f>IF(L258&lt;=0, 0, INT($G$8/L258))</f>
        <v/>
      </c>
      <c r="Q258" s="95">
        <f>MIN(O258, P258)</f>
        <v/>
      </c>
      <c r="R258" s="96">
        <f>ROUND((Q258*L258)/1000, 2)</f>
        <v/>
      </c>
      <c r="S258" s="85">
        <f>IF($C$8&gt;0, R258/$C$8, 0)</f>
        <v/>
      </c>
      <c r="T258" s="85">
        <f>IF(O258&gt;0, Q258/O258, 0)</f>
        <v/>
      </c>
      <c r="U258" s="18">
        <f>IF(Q258=0, "Exceeds Limit", IF(P258&lt;=O258, "Weight Limited", "Volume Limited"))</f>
        <v/>
      </c>
      <c r="V258" s="100">
        <f>B258&amp;"|"&amp;D258&amp;"|"&amp;F258</f>
        <v/>
      </c>
    </row>
    <row r="259" ht="19" customHeight="1">
      <c r="A259" s="93" t="n">
        <v>249</v>
      </c>
      <c r="B259" s="94" t="inlineStr">
        <is>
          <t>Carbon Steel</t>
        </is>
      </c>
      <c r="C259" s="13" t="inlineStr">
        <is>
          <t>ASME B36.10M / B36.19M</t>
        </is>
      </c>
      <c r="D259" s="12" t="inlineStr">
        <is>
          <t>14''</t>
        </is>
      </c>
      <c r="E259" s="93" t="n">
        <v>350</v>
      </c>
      <c r="F259" s="12" t="inlineStr">
        <is>
          <t>80S</t>
        </is>
      </c>
      <c r="G259" s="14" t="n">
        <v>14</v>
      </c>
      <c r="H259" s="78" t="n">
        <v>355.6</v>
      </c>
      <c r="I259" s="14" t="n">
        <v>0.5</v>
      </c>
      <c r="J259" s="78" t="n">
        <v>12.7</v>
      </c>
      <c r="K259" s="14">
        <f>ROUND((H259-J259)*J259*IF(B259="Carbon Steel",$K$7,IF(B259="Stainless Steel 304",$K$8,$L$8)), 3)</f>
        <v/>
      </c>
      <c r="L259" s="78">
        <f>ROUND(K259*$G$5, 2)</f>
        <v/>
      </c>
      <c r="M259" s="93">
        <f>INT($G$6/H259)</f>
        <v/>
      </c>
      <c r="N259" s="93">
        <f>IF(M259=0, 0, IF(OR($K$6="Square Grid", M259=1), INT($G$7/H259), IF($G$7&lt;H259, 0, 1+INT(($G$7-H259)/(0.8660254*H259)))))</f>
        <v/>
      </c>
      <c r="O259" s="59">
        <f>IF(OR(M259=0,N259=0), 0, IF(OR($K$6="Square Grid", M259=1), M259*N259*$K$5, (INT((N259+1)/2)*M259 + INT(N259/2)*IF(($G$6-M259*H259)&gt;=0.5*H259, M259, M259-1))*$K$5))</f>
        <v/>
      </c>
      <c r="P259" s="59">
        <f>IF(L259&lt;=0, 0, INT($G$8/L259))</f>
        <v/>
      </c>
      <c r="Q259" s="95">
        <f>MIN(O259, P259)</f>
        <v/>
      </c>
      <c r="R259" s="96">
        <f>ROUND((Q259*L259)/1000, 2)</f>
        <v/>
      </c>
      <c r="S259" s="79">
        <f>IF($C$8&gt;0, R259/$C$8, 0)</f>
        <v/>
      </c>
      <c r="T259" s="79">
        <f>IF(O259&gt;0, Q259/O259, 0)</f>
        <v/>
      </c>
      <c r="U259" s="12">
        <f>IF(Q259=0, "Exceeds Limit", IF(P259&lt;=O259, "Weight Limited", "Volume Limited"))</f>
        <v/>
      </c>
      <c r="V259" s="97">
        <f>B259&amp;"|"&amp;D259&amp;"|"&amp;F259</f>
        <v/>
      </c>
    </row>
    <row r="260" ht="19" customHeight="1">
      <c r="A260" s="98" t="n">
        <v>250</v>
      </c>
      <c r="B260" s="99" t="inlineStr">
        <is>
          <t>Carbon Steel</t>
        </is>
      </c>
      <c r="C260" s="19" t="inlineStr">
        <is>
          <t>ASME B36.10M / B36.19M</t>
        </is>
      </c>
      <c r="D260" s="18" t="inlineStr">
        <is>
          <t>14''</t>
        </is>
      </c>
      <c r="E260" s="98" t="n">
        <v>350</v>
      </c>
      <c r="F260" s="18" t="inlineStr">
        <is>
          <t>XS</t>
        </is>
      </c>
      <c r="G260" s="20" t="n">
        <v>14</v>
      </c>
      <c r="H260" s="82" t="n">
        <v>355.6</v>
      </c>
      <c r="I260" s="20" t="n">
        <v>0.5</v>
      </c>
      <c r="J260" s="82" t="n">
        <v>12.7</v>
      </c>
      <c r="K260" s="20">
        <f>ROUND((H260-J260)*J260*IF(B260="Carbon Steel",$K$7,IF(B260="Stainless Steel 304",$K$8,$L$8)), 3)</f>
        <v/>
      </c>
      <c r="L260" s="82">
        <f>ROUND(K260*$G$5, 2)</f>
        <v/>
      </c>
      <c r="M260" s="98">
        <f>INT($G$6/H260)</f>
        <v/>
      </c>
      <c r="N260" s="98">
        <f>IF(M260=0, 0, IF(OR($K$6="Square Grid", M260=1), INT($G$7/H260), IF($G$7&lt;H260, 0, 1+INT(($G$7-H260)/(0.8660254*H260)))))</f>
        <v/>
      </c>
      <c r="O260" s="84">
        <f>IF(OR(M260=0,N260=0), 0, IF(OR($K$6="Square Grid", M260=1), M260*N260*$K$5, (INT((N260+1)/2)*M260 + INT(N260/2)*IF(($G$6-M260*H260)&gt;=0.5*H260, M260, M260-1))*$K$5))</f>
        <v/>
      </c>
      <c r="P260" s="84">
        <f>IF(L260&lt;=0, 0, INT($G$8/L260))</f>
        <v/>
      </c>
      <c r="Q260" s="95">
        <f>MIN(O260, P260)</f>
        <v/>
      </c>
      <c r="R260" s="96">
        <f>ROUND((Q260*L260)/1000, 2)</f>
        <v/>
      </c>
      <c r="S260" s="85">
        <f>IF($C$8&gt;0, R260/$C$8, 0)</f>
        <v/>
      </c>
      <c r="T260" s="85">
        <f>IF(O260&gt;0, Q260/O260, 0)</f>
        <v/>
      </c>
      <c r="U260" s="18">
        <f>IF(Q260=0, "Exceeds Limit", IF(P260&lt;=O260, "Weight Limited", "Volume Limited"))</f>
        <v/>
      </c>
      <c r="V260" s="100">
        <f>B260&amp;"|"&amp;D260&amp;"|"&amp;F260</f>
        <v/>
      </c>
    </row>
    <row r="261" ht="19" customHeight="1">
      <c r="A261" s="93" t="n">
        <v>251</v>
      </c>
      <c r="B261" s="94" t="inlineStr">
        <is>
          <t>Carbon Steel</t>
        </is>
      </c>
      <c r="C261" s="13" t="inlineStr">
        <is>
          <t>ASME B36.10M / B36.19M</t>
        </is>
      </c>
      <c r="D261" s="12" t="inlineStr">
        <is>
          <t>14''</t>
        </is>
      </c>
      <c r="E261" s="93" t="n">
        <v>350</v>
      </c>
      <c r="F261" s="12" t="inlineStr">
        <is>
          <t>80</t>
        </is>
      </c>
      <c r="G261" s="14" t="n">
        <v>14</v>
      </c>
      <c r="H261" s="78" t="n">
        <v>355.6</v>
      </c>
      <c r="I261" s="14" t="n">
        <v>0.75</v>
      </c>
      <c r="J261" s="78" t="n">
        <v>19.05</v>
      </c>
      <c r="K261" s="14">
        <f>ROUND((H261-J261)*J261*IF(B261="Carbon Steel",$K$7,IF(B261="Stainless Steel 304",$K$8,$L$8)), 3)</f>
        <v/>
      </c>
      <c r="L261" s="78">
        <f>ROUND(K261*$G$5, 2)</f>
        <v/>
      </c>
      <c r="M261" s="93">
        <f>INT($G$6/H261)</f>
        <v/>
      </c>
      <c r="N261" s="93">
        <f>IF(M261=0, 0, IF(OR($K$6="Square Grid", M261=1), INT($G$7/H261), IF($G$7&lt;H261, 0, 1+INT(($G$7-H261)/(0.8660254*H261)))))</f>
        <v/>
      </c>
      <c r="O261" s="59">
        <f>IF(OR(M261=0,N261=0), 0, IF(OR($K$6="Square Grid", M261=1), M261*N261*$K$5, (INT((N261+1)/2)*M261 + INT(N261/2)*IF(($G$6-M261*H261)&gt;=0.5*H261, M261, M261-1))*$K$5))</f>
        <v/>
      </c>
      <c r="P261" s="59">
        <f>IF(L261&lt;=0, 0, INT($G$8/L261))</f>
        <v/>
      </c>
      <c r="Q261" s="95">
        <f>MIN(O261, P261)</f>
        <v/>
      </c>
      <c r="R261" s="96">
        <f>ROUND((Q261*L261)/1000, 2)</f>
        <v/>
      </c>
      <c r="S261" s="79">
        <f>IF($C$8&gt;0, R261/$C$8, 0)</f>
        <v/>
      </c>
      <c r="T261" s="79">
        <f>IF(O261&gt;0, Q261/O261, 0)</f>
        <v/>
      </c>
      <c r="U261" s="12">
        <f>IF(Q261=0, "Exceeds Limit", IF(P261&lt;=O261, "Weight Limited", "Volume Limited"))</f>
        <v/>
      </c>
      <c r="V261" s="97">
        <f>B261&amp;"|"&amp;D261&amp;"|"&amp;F261</f>
        <v/>
      </c>
    </row>
    <row r="262" ht="19" customHeight="1">
      <c r="A262" s="98" t="n">
        <v>252</v>
      </c>
      <c r="B262" s="99" t="inlineStr">
        <is>
          <t>Carbon Steel</t>
        </is>
      </c>
      <c r="C262" s="19" t="inlineStr">
        <is>
          <t>ASME B36.10M / B36.19M</t>
        </is>
      </c>
      <c r="D262" s="18" t="inlineStr">
        <is>
          <t>14''</t>
        </is>
      </c>
      <c r="E262" s="98" t="n">
        <v>350</v>
      </c>
      <c r="F262" s="18" t="inlineStr">
        <is>
          <t>100</t>
        </is>
      </c>
      <c r="G262" s="20" t="n">
        <v>14</v>
      </c>
      <c r="H262" s="82" t="n">
        <v>355.6</v>
      </c>
      <c r="I262" s="20" t="n">
        <v>0.9379999999999999</v>
      </c>
      <c r="J262" s="82" t="n">
        <v>23.83</v>
      </c>
      <c r="K262" s="20">
        <f>ROUND((H262-J262)*J262*IF(B262="Carbon Steel",$K$7,IF(B262="Stainless Steel 304",$K$8,$L$8)), 3)</f>
        <v/>
      </c>
      <c r="L262" s="82">
        <f>ROUND(K262*$G$5, 2)</f>
        <v/>
      </c>
      <c r="M262" s="98">
        <f>INT($G$6/H262)</f>
        <v/>
      </c>
      <c r="N262" s="98">
        <f>IF(M262=0, 0, IF(OR($K$6="Square Grid", M262=1), INT($G$7/H262), IF($G$7&lt;H262, 0, 1+INT(($G$7-H262)/(0.8660254*H262)))))</f>
        <v/>
      </c>
      <c r="O262" s="84">
        <f>IF(OR(M262=0,N262=0), 0, IF(OR($K$6="Square Grid", M262=1), M262*N262*$K$5, (INT((N262+1)/2)*M262 + INT(N262/2)*IF(($G$6-M262*H262)&gt;=0.5*H262, M262, M262-1))*$K$5))</f>
        <v/>
      </c>
      <c r="P262" s="84">
        <f>IF(L262&lt;=0, 0, INT($G$8/L262))</f>
        <v/>
      </c>
      <c r="Q262" s="95">
        <f>MIN(O262, P262)</f>
        <v/>
      </c>
      <c r="R262" s="96">
        <f>ROUND((Q262*L262)/1000, 2)</f>
        <v/>
      </c>
      <c r="S262" s="85">
        <f>IF($C$8&gt;0, R262/$C$8, 0)</f>
        <v/>
      </c>
      <c r="T262" s="85">
        <f>IF(O262&gt;0, Q262/O262, 0)</f>
        <v/>
      </c>
      <c r="U262" s="18">
        <f>IF(Q262=0, "Exceeds Limit", IF(P262&lt;=O262, "Weight Limited", "Volume Limited"))</f>
        <v/>
      </c>
      <c r="V262" s="100">
        <f>B262&amp;"|"&amp;D262&amp;"|"&amp;F262</f>
        <v/>
      </c>
    </row>
    <row r="263" ht="19" customHeight="1">
      <c r="A263" s="93" t="n">
        <v>253</v>
      </c>
      <c r="B263" s="94" t="inlineStr">
        <is>
          <t>Carbon Steel</t>
        </is>
      </c>
      <c r="C263" s="13" t="inlineStr">
        <is>
          <t>ASME B36.10M / B36.19M</t>
        </is>
      </c>
      <c r="D263" s="12" t="inlineStr">
        <is>
          <t>14''</t>
        </is>
      </c>
      <c r="E263" s="93" t="n">
        <v>350</v>
      </c>
      <c r="F263" s="12" t="inlineStr">
        <is>
          <t>120</t>
        </is>
      </c>
      <c r="G263" s="14" t="n">
        <v>14</v>
      </c>
      <c r="H263" s="78" t="n">
        <v>355.6</v>
      </c>
      <c r="I263" s="14" t="n">
        <v>1.094</v>
      </c>
      <c r="J263" s="78" t="n">
        <v>27.79</v>
      </c>
      <c r="K263" s="14">
        <f>ROUND((H263-J263)*J263*IF(B263="Carbon Steel",$K$7,IF(B263="Stainless Steel 304",$K$8,$L$8)), 3)</f>
        <v/>
      </c>
      <c r="L263" s="78">
        <f>ROUND(K263*$G$5, 2)</f>
        <v/>
      </c>
      <c r="M263" s="93">
        <f>INT($G$6/H263)</f>
        <v/>
      </c>
      <c r="N263" s="93">
        <f>IF(M263=0, 0, IF(OR($K$6="Square Grid", M263=1), INT($G$7/H263), IF($G$7&lt;H263, 0, 1+INT(($G$7-H263)/(0.8660254*H263)))))</f>
        <v/>
      </c>
      <c r="O263" s="59">
        <f>IF(OR(M263=0,N263=0), 0, IF(OR($K$6="Square Grid", M263=1), M263*N263*$K$5, (INT((N263+1)/2)*M263 + INT(N263/2)*IF(($G$6-M263*H263)&gt;=0.5*H263, M263, M263-1))*$K$5))</f>
        <v/>
      </c>
      <c r="P263" s="59">
        <f>IF(L263&lt;=0, 0, INT($G$8/L263))</f>
        <v/>
      </c>
      <c r="Q263" s="95">
        <f>MIN(O263, P263)</f>
        <v/>
      </c>
      <c r="R263" s="96">
        <f>ROUND((Q263*L263)/1000, 2)</f>
        <v/>
      </c>
      <c r="S263" s="79">
        <f>IF($C$8&gt;0, R263/$C$8, 0)</f>
        <v/>
      </c>
      <c r="T263" s="79">
        <f>IF(O263&gt;0, Q263/O263, 0)</f>
        <v/>
      </c>
      <c r="U263" s="12">
        <f>IF(Q263=0, "Exceeds Limit", IF(P263&lt;=O263, "Weight Limited", "Volume Limited"))</f>
        <v/>
      </c>
      <c r="V263" s="97">
        <f>B263&amp;"|"&amp;D263&amp;"|"&amp;F263</f>
        <v/>
      </c>
    </row>
    <row r="264" ht="19" customHeight="1">
      <c r="A264" s="98" t="n">
        <v>254</v>
      </c>
      <c r="B264" s="99" t="inlineStr">
        <is>
          <t>Carbon Steel</t>
        </is>
      </c>
      <c r="C264" s="19" t="inlineStr">
        <is>
          <t>ASME B36.10M / B36.19M</t>
        </is>
      </c>
      <c r="D264" s="18" t="inlineStr">
        <is>
          <t>14''</t>
        </is>
      </c>
      <c r="E264" s="98" t="n">
        <v>350</v>
      </c>
      <c r="F264" s="18" t="inlineStr">
        <is>
          <t>140</t>
        </is>
      </c>
      <c r="G264" s="20" t="n">
        <v>14</v>
      </c>
      <c r="H264" s="82" t="n">
        <v>355.6</v>
      </c>
      <c r="I264" s="20" t="n">
        <v>1.25</v>
      </c>
      <c r="J264" s="82" t="n">
        <v>31.75</v>
      </c>
      <c r="K264" s="20">
        <f>ROUND((H264-J264)*J264*IF(B264="Carbon Steel",$K$7,IF(B264="Stainless Steel 304",$K$8,$L$8)), 3)</f>
        <v/>
      </c>
      <c r="L264" s="82">
        <f>ROUND(K264*$G$5, 2)</f>
        <v/>
      </c>
      <c r="M264" s="98">
        <f>INT($G$6/H264)</f>
        <v/>
      </c>
      <c r="N264" s="98">
        <f>IF(M264=0, 0, IF(OR($K$6="Square Grid", M264=1), INT($G$7/H264), IF($G$7&lt;H264, 0, 1+INT(($G$7-H264)/(0.8660254*H264)))))</f>
        <v/>
      </c>
      <c r="O264" s="84">
        <f>IF(OR(M264=0,N264=0), 0, IF(OR($K$6="Square Grid", M264=1), M264*N264*$K$5, (INT((N264+1)/2)*M264 + INT(N264/2)*IF(($G$6-M264*H264)&gt;=0.5*H264, M264, M264-1))*$K$5))</f>
        <v/>
      </c>
      <c r="P264" s="84">
        <f>IF(L264&lt;=0, 0, INT($G$8/L264))</f>
        <v/>
      </c>
      <c r="Q264" s="95">
        <f>MIN(O264, P264)</f>
        <v/>
      </c>
      <c r="R264" s="96">
        <f>ROUND((Q264*L264)/1000, 2)</f>
        <v/>
      </c>
      <c r="S264" s="85">
        <f>IF($C$8&gt;0, R264/$C$8, 0)</f>
        <v/>
      </c>
      <c r="T264" s="85">
        <f>IF(O264&gt;0, Q264/O264, 0)</f>
        <v/>
      </c>
      <c r="U264" s="18">
        <f>IF(Q264=0, "Exceeds Limit", IF(P264&lt;=O264, "Weight Limited", "Volume Limited"))</f>
        <v/>
      </c>
      <c r="V264" s="100">
        <f>B264&amp;"|"&amp;D264&amp;"|"&amp;F264</f>
        <v/>
      </c>
    </row>
    <row r="265" ht="19" customHeight="1">
      <c r="A265" s="93" t="n">
        <v>255</v>
      </c>
      <c r="B265" s="94" t="inlineStr">
        <is>
          <t>Carbon Steel</t>
        </is>
      </c>
      <c r="C265" s="13" t="inlineStr">
        <is>
          <t>ASME B36.10M / B36.19M</t>
        </is>
      </c>
      <c r="D265" s="12" t="inlineStr">
        <is>
          <t>14''</t>
        </is>
      </c>
      <c r="E265" s="93" t="n">
        <v>350</v>
      </c>
      <c r="F265" s="12" t="inlineStr">
        <is>
          <t>160</t>
        </is>
      </c>
      <c r="G265" s="14" t="n">
        <v>14</v>
      </c>
      <c r="H265" s="78" t="n">
        <v>355.6</v>
      </c>
      <c r="I265" s="14" t="n">
        <v>1.406</v>
      </c>
      <c r="J265" s="78" t="n">
        <v>35.71</v>
      </c>
      <c r="K265" s="14">
        <f>ROUND((H265-J265)*J265*IF(B265="Carbon Steel",$K$7,IF(B265="Stainless Steel 304",$K$8,$L$8)), 3)</f>
        <v/>
      </c>
      <c r="L265" s="78">
        <f>ROUND(K265*$G$5, 2)</f>
        <v/>
      </c>
      <c r="M265" s="93">
        <f>INT($G$6/H265)</f>
        <v/>
      </c>
      <c r="N265" s="93">
        <f>IF(M265=0, 0, IF(OR($K$6="Square Grid", M265=1), INT($G$7/H265), IF($G$7&lt;H265, 0, 1+INT(($G$7-H265)/(0.8660254*H265)))))</f>
        <v/>
      </c>
      <c r="O265" s="59">
        <f>IF(OR(M265=0,N265=0), 0, IF(OR($K$6="Square Grid", M265=1), M265*N265*$K$5, (INT((N265+1)/2)*M265 + INT(N265/2)*IF(($G$6-M265*H265)&gt;=0.5*H265, M265, M265-1))*$K$5))</f>
        <v/>
      </c>
      <c r="P265" s="59">
        <f>IF(L265&lt;=0, 0, INT($G$8/L265))</f>
        <v/>
      </c>
      <c r="Q265" s="95">
        <f>MIN(O265, P265)</f>
        <v/>
      </c>
      <c r="R265" s="96">
        <f>ROUND((Q265*L265)/1000, 2)</f>
        <v/>
      </c>
      <c r="S265" s="79">
        <f>IF($C$8&gt;0, R265/$C$8, 0)</f>
        <v/>
      </c>
      <c r="T265" s="79">
        <f>IF(O265&gt;0, Q265/O265, 0)</f>
        <v/>
      </c>
      <c r="U265" s="12">
        <f>IF(Q265=0, "Exceeds Limit", IF(P265&lt;=O265, "Weight Limited", "Volume Limited"))</f>
        <v/>
      </c>
      <c r="V265" s="97">
        <f>B265&amp;"|"&amp;D265&amp;"|"&amp;F265</f>
        <v/>
      </c>
    </row>
    <row r="266" ht="19" customHeight="1">
      <c r="A266" s="98" t="n">
        <v>256</v>
      </c>
      <c r="B266" s="99" t="inlineStr">
        <is>
          <t>Carbon Steel</t>
        </is>
      </c>
      <c r="C266" s="19" t="inlineStr">
        <is>
          <t>ASME B36.10M / B36.19M</t>
        </is>
      </c>
      <c r="D266" s="18" t="inlineStr">
        <is>
          <t>16''</t>
        </is>
      </c>
      <c r="E266" s="98" t="n">
        <v>400</v>
      </c>
      <c r="F266" s="18" t="inlineStr">
        <is>
          <t>5S</t>
        </is>
      </c>
      <c r="G266" s="20" t="n">
        <v>16</v>
      </c>
      <c r="H266" s="82" t="n">
        <v>406.4</v>
      </c>
      <c r="I266" s="20" t="n">
        <v>0.165</v>
      </c>
      <c r="J266" s="82" t="n">
        <v>4.19</v>
      </c>
      <c r="K266" s="20">
        <f>ROUND((H266-J266)*J266*IF(B266="Carbon Steel",$K$7,IF(B266="Stainless Steel 304",$K$8,$L$8)), 3)</f>
        <v/>
      </c>
      <c r="L266" s="82">
        <f>ROUND(K266*$G$5, 2)</f>
        <v/>
      </c>
      <c r="M266" s="98">
        <f>INT($G$6/H266)</f>
        <v/>
      </c>
      <c r="N266" s="98">
        <f>IF(M266=0, 0, IF(OR($K$6="Square Grid", M266=1), INT($G$7/H266), IF($G$7&lt;H266, 0, 1+INT(($G$7-H266)/(0.8660254*H266)))))</f>
        <v/>
      </c>
      <c r="O266" s="84">
        <f>IF(OR(M266=0,N266=0), 0, IF(OR($K$6="Square Grid", M266=1), M266*N266*$K$5, (INT((N266+1)/2)*M266 + INT(N266/2)*IF(($G$6-M266*H266)&gt;=0.5*H266, M266, M266-1))*$K$5))</f>
        <v/>
      </c>
      <c r="P266" s="84">
        <f>IF(L266&lt;=0, 0, INT($G$8/L266))</f>
        <v/>
      </c>
      <c r="Q266" s="95">
        <f>MIN(O266, P266)</f>
        <v/>
      </c>
      <c r="R266" s="96">
        <f>ROUND((Q266*L266)/1000, 2)</f>
        <v/>
      </c>
      <c r="S266" s="85">
        <f>IF($C$8&gt;0, R266/$C$8, 0)</f>
        <v/>
      </c>
      <c r="T266" s="85">
        <f>IF(O266&gt;0, Q266/O266, 0)</f>
        <v/>
      </c>
      <c r="U266" s="18">
        <f>IF(Q266=0, "Exceeds Limit", IF(P266&lt;=O266, "Weight Limited", "Volume Limited"))</f>
        <v/>
      </c>
      <c r="V266" s="100">
        <f>B266&amp;"|"&amp;D266&amp;"|"&amp;F266</f>
        <v/>
      </c>
    </row>
    <row r="267" ht="19" customHeight="1">
      <c r="A267" s="93" t="n">
        <v>257</v>
      </c>
      <c r="B267" s="94" t="inlineStr">
        <is>
          <t>Carbon Steel</t>
        </is>
      </c>
      <c r="C267" s="13" t="inlineStr">
        <is>
          <t>ASME B36.10M / B36.19M</t>
        </is>
      </c>
      <c r="D267" s="12" t="inlineStr">
        <is>
          <t>16''</t>
        </is>
      </c>
      <c r="E267" s="93" t="n">
        <v>400</v>
      </c>
      <c r="F267" s="12" t="inlineStr">
        <is>
          <t>5</t>
        </is>
      </c>
      <c r="G267" s="14" t="n">
        <v>16</v>
      </c>
      <c r="H267" s="78" t="n">
        <v>406.4</v>
      </c>
      <c r="I267" s="14" t="n">
        <v>0.165</v>
      </c>
      <c r="J267" s="78" t="n">
        <v>4.19</v>
      </c>
      <c r="K267" s="14">
        <f>ROUND((H267-J267)*J267*IF(B267="Carbon Steel",$K$7,IF(B267="Stainless Steel 304",$K$8,$L$8)), 3)</f>
        <v/>
      </c>
      <c r="L267" s="78">
        <f>ROUND(K267*$G$5, 2)</f>
        <v/>
      </c>
      <c r="M267" s="93">
        <f>INT($G$6/H267)</f>
        <v/>
      </c>
      <c r="N267" s="93">
        <f>IF(M267=0, 0, IF(OR($K$6="Square Grid", M267=1), INT($G$7/H267), IF($G$7&lt;H267, 0, 1+INT(($G$7-H267)/(0.8660254*H267)))))</f>
        <v/>
      </c>
      <c r="O267" s="59">
        <f>IF(OR(M267=0,N267=0), 0, IF(OR($K$6="Square Grid", M267=1), M267*N267*$K$5, (INT((N267+1)/2)*M267 + INT(N267/2)*IF(($G$6-M267*H267)&gt;=0.5*H267, M267, M267-1))*$K$5))</f>
        <v/>
      </c>
      <c r="P267" s="59">
        <f>IF(L267&lt;=0, 0, INT($G$8/L267))</f>
        <v/>
      </c>
      <c r="Q267" s="95">
        <f>MIN(O267, P267)</f>
        <v/>
      </c>
      <c r="R267" s="96">
        <f>ROUND((Q267*L267)/1000, 2)</f>
        <v/>
      </c>
      <c r="S267" s="79">
        <f>IF($C$8&gt;0, R267/$C$8, 0)</f>
        <v/>
      </c>
      <c r="T267" s="79">
        <f>IF(O267&gt;0, Q267/O267, 0)</f>
        <v/>
      </c>
      <c r="U267" s="12">
        <f>IF(Q267=0, "Exceeds Limit", IF(P267&lt;=O267, "Weight Limited", "Volume Limited"))</f>
        <v/>
      </c>
      <c r="V267" s="97">
        <f>B267&amp;"|"&amp;D267&amp;"|"&amp;F267</f>
        <v/>
      </c>
    </row>
    <row r="268" ht="19" customHeight="1">
      <c r="A268" s="98" t="n">
        <v>258</v>
      </c>
      <c r="B268" s="99" t="inlineStr">
        <is>
          <t>Carbon Steel</t>
        </is>
      </c>
      <c r="C268" s="19" t="inlineStr">
        <is>
          <t>ASME B36.10M / B36.19M</t>
        </is>
      </c>
      <c r="D268" s="18" t="inlineStr">
        <is>
          <t>16''</t>
        </is>
      </c>
      <c r="E268" s="98" t="n">
        <v>400</v>
      </c>
      <c r="F268" s="18" t="inlineStr">
        <is>
          <t>10S</t>
        </is>
      </c>
      <c r="G268" s="20" t="n">
        <v>16</v>
      </c>
      <c r="H268" s="82" t="n">
        <v>406.4</v>
      </c>
      <c r="I268" s="20" t="n">
        <v>0.188</v>
      </c>
      <c r="J268" s="82" t="n">
        <v>4.78</v>
      </c>
      <c r="K268" s="20">
        <f>ROUND((H268-J268)*J268*IF(B268="Carbon Steel",$K$7,IF(B268="Stainless Steel 304",$K$8,$L$8)), 3)</f>
        <v/>
      </c>
      <c r="L268" s="82">
        <f>ROUND(K268*$G$5, 2)</f>
        <v/>
      </c>
      <c r="M268" s="98">
        <f>INT($G$6/H268)</f>
        <v/>
      </c>
      <c r="N268" s="98">
        <f>IF(M268=0, 0, IF(OR($K$6="Square Grid", M268=1), INT($G$7/H268), IF($G$7&lt;H268, 0, 1+INT(($G$7-H268)/(0.8660254*H268)))))</f>
        <v/>
      </c>
      <c r="O268" s="84">
        <f>IF(OR(M268=0,N268=0), 0, IF(OR($K$6="Square Grid", M268=1), M268*N268*$K$5, (INT((N268+1)/2)*M268 + INT(N268/2)*IF(($G$6-M268*H268)&gt;=0.5*H268, M268, M268-1))*$K$5))</f>
        <v/>
      </c>
      <c r="P268" s="84">
        <f>IF(L268&lt;=0, 0, INT($G$8/L268))</f>
        <v/>
      </c>
      <c r="Q268" s="95">
        <f>MIN(O268, P268)</f>
        <v/>
      </c>
      <c r="R268" s="96">
        <f>ROUND((Q268*L268)/1000, 2)</f>
        <v/>
      </c>
      <c r="S268" s="85">
        <f>IF($C$8&gt;0, R268/$C$8, 0)</f>
        <v/>
      </c>
      <c r="T268" s="85">
        <f>IF(O268&gt;0, Q268/O268, 0)</f>
        <v/>
      </c>
      <c r="U268" s="18">
        <f>IF(Q268=0, "Exceeds Limit", IF(P268&lt;=O268, "Weight Limited", "Volume Limited"))</f>
        <v/>
      </c>
      <c r="V268" s="100">
        <f>B268&amp;"|"&amp;D268&amp;"|"&amp;F268</f>
        <v/>
      </c>
    </row>
    <row r="269" ht="19" customHeight="1">
      <c r="A269" s="93" t="n">
        <v>259</v>
      </c>
      <c r="B269" s="94" t="inlineStr">
        <is>
          <t>Carbon Steel</t>
        </is>
      </c>
      <c r="C269" s="13" t="inlineStr">
        <is>
          <t>ASME B36.10M / B36.19M</t>
        </is>
      </c>
      <c r="D269" s="12" t="inlineStr">
        <is>
          <t>16''</t>
        </is>
      </c>
      <c r="E269" s="93" t="n">
        <v>400</v>
      </c>
      <c r="F269" s="12" t="inlineStr">
        <is>
          <t>10</t>
        </is>
      </c>
      <c r="G269" s="14" t="n">
        <v>16</v>
      </c>
      <c r="H269" s="78" t="n">
        <v>406.4</v>
      </c>
      <c r="I269" s="14" t="n">
        <v>0.25</v>
      </c>
      <c r="J269" s="78" t="n">
        <v>6.35</v>
      </c>
      <c r="K269" s="14">
        <f>ROUND((H269-J269)*J269*IF(B269="Carbon Steel",$K$7,IF(B269="Stainless Steel 304",$K$8,$L$8)), 3)</f>
        <v/>
      </c>
      <c r="L269" s="78">
        <f>ROUND(K269*$G$5, 2)</f>
        <v/>
      </c>
      <c r="M269" s="93">
        <f>INT($G$6/H269)</f>
        <v/>
      </c>
      <c r="N269" s="93">
        <f>IF(M269=0, 0, IF(OR($K$6="Square Grid", M269=1), INT($G$7/H269), IF($G$7&lt;H269, 0, 1+INT(($G$7-H269)/(0.8660254*H269)))))</f>
        <v/>
      </c>
      <c r="O269" s="59">
        <f>IF(OR(M269=0,N269=0), 0, IF(OR($K$6="Square Grid", M269=1), M269*N269*$K$5, (INT((N269+1)/2)*M269 + INT(N269/2)*IF(($G$6-M269*H269)&gt;=0.5*H269, M269, M269-1))*$K$5))</f>
        <v/>
      </c>
      <c r="P269" s="59">
        <f>IF(L269&lt;=0, 0, INT($G$8/L269))</f>
        <v/>
      </c>
      <c r="Q269" s="95">
        <f>MIN(O269, P269)</f>
        <v/>
      </c>
      <c r="R269" s="96">
        <f>ROUND((Q269*L269)/1000, 2)</f>
        <v/>
      </c>
      <c r="S269" s="79">
        <f>IF($C$8&gt;0, R269/$C$8, 0)</f>
        <v/>
      </c>
      <c r="T269" s="79">
        <f>IF(O269&gt;0, Q269/O269, 0)</f>
        <v/>
      </c>
      <c r="U269" s="12">
        <f>IF(Q269=0, "Exceeds Limit", IF(P269&lt;=O269, "Weight Limited", "Volume Limited"))</f>
        <v/>
      </c>
      <c r="V269" s="97">
        <f>B269&amp;"|"&amp;D269&amp;"|"&amp;F269</f>
        <v/>
      </c>
    </row>
    <row r="270" ht="19" customHeight="1">
      <c r="A270" s="98" t="n">
        <v>260</v>
      </c>
      <c r="B270" s="99" t="inlineStr">
        <is>
          <t>Carbon Steel</t>
        </is>
      </c>
      <c r="C270" s="19" t="inlineStr">
        <is>
          <t>ASME B36.10M / B36.19M</t>
        </is>
      </c>
      <c r="D270" s="18" t="inlineStr">
        <is>
          <t>16''</t>
        </is>
      </c>
      <c r="E270" s="98" t="n">
        <v>400</v>
      </c>
      <c r="F270" s="18" t="inlineStr">
        <is>
          <t>20</t>
        </is>
      </c>
      <c r="G270" s="20" t="n">
        <v>16</v>
      </c>
      <c r="H270" s="82" t="n">
        <v>406.4</v>
      </c>
      <c r="I270" s="20" t="n">
        <v>0.312</v>
      </c>
      <c r="J270" s="82" t="n">
        <v>7.92</v>
      </c>
      <c r="K270" s="20">
        <f>ROUND((H270-J270)*J270*IF(B270="Carbon Steel",$K$7,IF(B270="Stainless Steel 304",$K$8,$L$8)), 3)</f>
        <v/>
      </c>
      <c r="L270" s="82">
        <f>ROUND(K270*$G$5, 2)</f>
        <v/>
      </c>
      <c r="M270" s="98">
        <f>INT($G$6/H270)</f>
        <v/>
      </c>
      <c r="N270" s="98">
        <f>IF(M270=0, 0, IF(OR($K$6="Square Grid", M270=1), INT($G$7/H270), IF($G$7&lt;H270, 0, 1+INT(($G$7-H270)/(0.8660254*H270)))))</f>
        <v/>
      </c>
      <c r="O270" s="84">
        <f>IF(OR(M270=0,N270=0), 0, IF(OR($K$6="Square Grid", M270=1), M270*N270*$K$5, (INT((N270+1)/2)*M270 + INT(N270/2)*IF(($G$6-M270*H270)&gt;=0.5*H270, M270, M270-1))*$K$5))</f>
        <v/>
      </c>
      <c r="P270" s="84">
        <f>IF(L270&lt;=0, 0, INT($G$8/L270))</f>
        <v/>
      </c>
      <c r="Q270" s="95">
        <f>MIN(O270, P270)</f>
        <v/>
      </c>
      <c r="R270" s="96">
        <f>ROUND((Q270*L270)/1000, 2)</f>
        <v/>
      </c>
      <c r="S270" s="85">
        <f>IF($C$8&gt;0, R270/$C$8, 0)</f>
        <v/>
      </c>
      <c r="T270" s="85">
        <f>IF(O270&gt;0, Q270/O270, 0)</f>
        <v/>
      </c>
      <c r="U270" s="18">
        <f>IF(Q270=0, "Exceeds Limit", IF(P270&lt;=O270, "Weight Limited", "Volume Limited"))</f>
        <v/>
      </c>
      <c r="V270" s="100">
        <f>B270&amp;"|"&amp;D270&amp;"|"&amp;F270</f>
        <v/>
      </c>
    </row>
    <row r="271" ht="19" customHeight="1">
      <c r="A271" s="93" t="n">
        <v>261</v>
      </c>
      <c r="B271" s="94" t="inlineStr">
        <is>
          <t>Carbon Steel</t>
        </is>
      </c>
      <c r="C271" s="13" t="inlineStr">
        <is>
          <t>ASME B36.10M / B36.19M</t>
        </is>
      </c>
      <c r="D271" s="12" t="inlineStr">
        <is>
          <t>16''</t>
        </is>
      </c>
      <c r="E271" s="93" t="n">
        <v>400</v>
      </c>
      <c r="F271" s="12" t="inlineStr">
        <is>
          <t>30</t>
        </is>
      </c>
      <c r="G271" s="14" t="n">
        <v>16</v>
      </c>
      <c r="H271" s="78" t="n">
        <v>406.4</v>
      </c>
      <c r="I271" s="14" t="n">
        <v>0.375</v>
      </c>
      <c r="J271" s="78" t="n">
        <v>9.52</v>
      </c>
      <c r="K271" s="14">
        <f>ROUND((H271-J271)*J271*IF(B271="Carbon Steel",$K$7,IF(B271="Stainless Steel 304",$K$8,$L$8)), 3)</f>
        <v/>
      </c>
      <c r="L271" s="78">
        <f>ROUND(K271*$G$5, 2)</f>
        <v/>
      </c>
      <c r="M271" s="93">
        <f>INT($G$6/H271)</f>
        <v/>
      </c>
      <c r="N271" s="93">
        <f>IF(M271=0, 0, IF(OR($K$6="Square Grid", M271=1), INT($G$7/H271), IF($G$7&lt;H271, 0, 1+INT(($G$7-H271)/(0.8660254*H271)))))</f>
        <v/>
      </c>
      <c r="O271" s="59">
        <f>IF(OR(M271=0,N271=0), 0, IF(OR($K$6="Square Grid", M271=1), M271*N271*$K$5, (INT((N271+1)/2)*M271 + INT(N271/2)*IF(($G$6-M271*H271)&gt;=0.5*H271, M271, M271-1))*$K$5))</f>
        <v/>
      </c>
      <c r="P271" s="59">
        <f>IF(L271&lt;=0, 0, INT($G$8/L271))</f>
        <v/>
      </c>
      <c r="Q271" s="95">
        <f>MIN(O271, P271)</f>
        <v/>
      </c>
      <c r="R271" s="96">
        <f>ROUND((Q271*L271)/1000, 2)</f>
        <v/>
      </c>
      <c r="S271" s="79">
        <f>IF($C$8&gt;0, R271/$C$8, 0)</f>
        <v/>
      </c>
      <c r="T271" s="79">
        <f>IF(O271&gt;0, Q271/O271, 0)</f>
        <v/>
      </c>
      <c r="U271" s="12">
        <f>IF(Q271=0, "Exceeds Limit", IF(P271&lt;=O271, "Weight Limited", "Volume Limited"))</f>
        <v/>
      </c>
      <c r="V271" s="97">
        <f>B271&amp;"|"&amp;D271&amp;"|"&amp;F271</f>
        <v/>
      </c>
    </row>
    <row r="272" ht="19" customHeight="1">
      <c r="A272" s="98" t="n">
        <v>262</v>
      </c>
      <c r="B272" s="99" t="inlineStr">
        <is>
          <t>Carbon Steel</t>
        </is>
      </c>
      <c r="C272" s="19" t="inlineStr">
        <is>
          <t>ASME B36.10M / B36.19M</t>
        </is>
      </c>
      <c r="D272" s="18" t="inlineStr">
        <is>
          <t>16''</t>
        </is>
      </c>
      <c r="E272" s="98" t="n">
        <v>400</v>
      </c>
      <c r="F272" s="18" t="inlineStr">
        <is>
          <t>40S</t>
        </is>
      </c>
      <c r="G272" s="20" t="n">
        <v>16</v>
      </c>
      <c r="H272" s="82" t="n">
        <v>406.4</v>
      </c>
      <c r="I272" s="20" t="n">
        <v>0.375</v>
      </c>
      <c r="J272" s="82" t="n">
        <v>9.52</v>
      </c>
      <c r="K272" s="20">
        <f>ROUND((H272-J272)*J272*IF(B272="Carbon Steel",$K$7,IF(B272="Stainless Steel 304",$K$8,$L$8)), 3)</f>
        <v/>
      </c>
      <c r="L272" s="82">
        <f>ROUND(K272*$G$5, 2)</f>
        <v/>
      </c>
      <c r="M272" s="98">
        <f>INT($G$6/H272)</f>
        <v/>
      </c>
      <c r="N272" s="98">
        <f>IF(M272=0, 0, IF(OR($K$6="Square Grid", M272=1), INT($G$7/H272), IF($G$7&lt;H272, 0, 1+INT(($G$7-H272)/(0.8660254*H272)))))</f>
        <v/>
      </c>
      <c r="O272" s="84">
        <f>IF(OR(M272=0,N272=0), 0, IF(OR($K$6="Square Grid", M272=1), M272*N272*$K$5, (INT((N272+1)/2)*M272 + INT(N272/2)*IF(($G$6-M272*H272)&gt;=0.5*H272, M272, M272-1))*$K$5))</f>
        <v/>
      </c>
      <c r="P272" s="84">
        <f>IF(L272&lt;=0, 0, INT($G$8/L272))</f>
        <v/>
      </c>
      <c r="Q272" s="95">
        <f>MIN(O272, P272)</f>
        <v/>
      </c>
      <c r="R272" s="96">
        <f>ROUND((Q272*L272)/1000, 2)</f>
        <v/>
      </c>
      <c r="S272" s="85">
        <f>IF($C$8&gt;0, R272/$C$8, 0)</f>
        <v/>
      </c>
      <c r="T272" s="85">
        <f>IF(O272&gt;0, Q272/O272, 0)</f>
        <v/>
      </c>
      <c r="U272" s="18">
        <f>IF(Q272=0, "Exceeds Limit", IF(P272&lt;=O272, "Weight Limited", "Volume Limited"))</f>
        <v/>
      </c>
      <c r="V272" s="100">
        <f>B272&amp;"|"&amp;D272&amp;"|"&amp;F272</f>
        <v/>
      </c>
    </row>
    <row r="273" ht="19" customHeight="1">
      <c r="A273" s="93" t="n">
        <v>263</v>
      </c>
      <c r="B273" s="94" t="inlineStr">
        <is>
          <t>Carbon Steel</t>
        </is>
      </c>
      <c r="C273" s="13" t="inlineStr">
        <is>
          <t>ASME B36.10M / B36.19M</t>
        </is>
      </c>
      <c r="D273" s="12" t="inlineStr">
        <is>
          <t>16''</t>
        </is>
      </c>
      <c r="E273" s="93" t="n">
        <v>400</v>
      </c>
      <c r="F273" s="12" t="inlineStr">
        <is>
          <t>STD</t>
        </is>
      </c>
      <c r="G273" s="14" t="n">
        <v>16</v>
      </c>
      <c r="H273" s="78" t="n">
        <v>406.4</v>
      </c>
      <c r="I273" s="14" t="n">
        <v>0.375</v>
      </c>
      <c r="J273" s="78" t="n">
        <v>9.52</v>
      </c>
      <c r="K273" s="14">
        <f>ROUND((H273-J273)*J273*IF(B273="Carbon Steel",$K$7,IF(B273="Stainless Steel 304",$K$8,$L$8)), 3)</f>
        <v/>
      </c>
      <c r="L273" s="78">
        <f>ROUND(K273*$G$5, 2)</f>
        <v/>
      </c>
      <c r="M273" s="93">
        <f>INT($G$6/H273)</f>
        <v/>
      </c>
      <c r="N273" s="93">
        <f>IF(M273=0, 0, IF(OR($K$6="Square Grid", M273=1), INT($G$7/H273), IF($G$7&lt;H273, 0, 1+INT(($G$7-H273)/(0.8660254*H273)))))</f>
        <v/>
      </c>
      <c r="O273" s="59">
        <f>IF(OR(M273=0,N273=0), 0, IF(OR($K$6="Square Grid", M273=1), M273*N273*$K$5, (INT((N273+1)/2)*M273 + INT(N273/2)*IF(($G$6-M273*H273)&gt;=0.5*H273, M273, M273-1))*$K$5))</f>
        <v/>
      </c>
      <c r="P273" s="59">
        <f>IF(L273&lt;=0, 0, INT($G$8/L273))</f>
        <v/>
      </c>
      <c r="Q273" s="95">
        <f>MIN(O273, P273)</f>
        <v/>
      </c>
      <c r="R273" s="96">
        <f>ROUND((Q273*L273)/1000, 2)</f>
        <v/>
      </c>
      <c r="S273" s="79">
        <f>IF($C$8&gt;0, R273/$C$8, 0)</f>
        <v/>
      </c>
      <c r="T273" s="79">
        <f>IF(O273&gt;0, Q273/O273, 0)</f>
        <v/>
      </c>
      <c r="U273" s="12">
        <f>IF(Q273=0, "Exceeds Limit", IF(P273&lt;=O273, "Weight Limited", "Volume Limited"))</f>
        <v/>
      </c>
      <c r="V273" s="97">
        <f>B273&amp;"|"&amp;D273&amp;"|"&amp;F273</f>
        <v/>
      </c>
    </row>
    <row r="274" ht="19" customHeight="1">
      <c r="A274" s="98" t="n">
        <v>264</v>
      </c>
      <c r="B274" s="99" t="inlineStr">
        <is>
          <t>Carbon Steel</t>
        </is>
      </c>
      <c r="C274" s="19" t="inlineStr">
        <is>
          <t>ASME B36.10M / B36.19M</t>
        </is>
      </c>
      <c r="D274" s="18" t="inlineStr">
        <is>
          <t>16''</t>
        </is>
      </c>
      <c r="E274" s="98" t="n">
        <v>400</v>
      </c>
      <c r="F274" s="18" t="inlineStr">
        <is>
          <t>40</t>
        </is>
      </c>
      <c r="G274" s="20" t="n">
        <v>16</v>
      </c>
      <c r="H274" s="82" t="n">
        <v>406.4</v>
      </c>
      <c r="I274" s="20" t="n">
        <v>0.5</v>
      </c>
      <c r="J274" s="82" t="n">
        <v>12.7</v>
      </c>
      <c r="K274" s="20">
        <f>ROUND((H274-J274)*J274*IF(B274="Carbon Steel",$K$7,IF(B274="Stainless Steel 304",$K$8,$L$8)), 3)</f>
        <v/>
      </c>
      <c r="L274" s="82">
        <f>ROUND(K274*$G$5, 2)</f>
        <v/>
      </c>
      <c r="M274" s="98">
        <f>INT($G$6/H274)</f>
        <v/>
      </c>
      <c r="N274" s="98">
        <f>IF(M274=0, 0, IF(OR($K$6="Square Grid", M274=1), INT($G$7/H274), IF($G$7&lt;H274, 0, 1+INT(($G$7-H274)/(0.8660254*H274)))))</f>
        <v/>
      </c>
      <c r="O274" s="84">
        <f>IF(OR(M274=0,N274=0), 0, IF(OR($K$6="Square Grid", M274=1), M274*N274*$K$5, (INT((N274+1)/2)*M274 + INT(N274/2)*IF(($G$6-M274*H274)&gt;=0.5*H274, M274, M274-1))*$K$5))</f>
        <v/>
      </c>
      <c r="P274" s="84">
        <f>IF(L274&lt;=0, 0, INT($G$8/L274))</f>
        <v/>
      </c>
      <c r="Q274" s="95">
        <f>MIN(O274, P274)</f>
        <v/>
      </c>
      <c r="R274" s="96">
        <f>ROUND((Q274*L274)/1000, 2)</f>
        <v/>
      </c>
      <c r="S274" s="85">
        <f>IF($C$8&gt;0, R274/$C$8, 0)</f>
        <v/>
      </c>
      <c r="T274" s="85">
        <f>IF(O274&gt;0, Q274/O274, 0)</f>
        <v/>
      </c>
      <c r="U274" s="18">
        <f>IF(Q274=0, "Exceeds Limit", IF(P274&lt;=O274, "Weight Limited", "Volume Limited"))</f>
        <v/>
      </c>
      <c r="V274" s="100">
        <f>B274&amp;"|"&amp;D274&amp;"|"&amp;F274</f>
        <v/>
      </c>
    </row>
    <row r="275" ht="19" customHeight="1">
      <c r="A275" s="93" t="n">
        <v>265</v>
      </c>
      <c r="B275" s="94" t="inlineStr">
        <is>
          <t>Carbon Steel</t>
        </is>
      </c>
      <c r="C275" s="13" t="inlineStr">
        <is>
          <t>ASME B36.10M / B36.19M</t>
        </is>
      </c>
      <c r="D275" s="12" t="inlineStr">
        <is>
          <t>16''</t>
        </is>
      </c>
      <c r="E275" s="93" t="n">
        <v>400</v>
      </c>
      <c r="F275" s="12" t="inlineStr">
        <is>
          <t>60</t>
        </is>
      </c>
      <c r="G275" s="14" t="n">
        <v>16</v>
      </c>
      <c r="H275" s="78" t="n">
        <v>406.4</v>
      </c>
      <c r="I275" s="14" t="n">
        <v>0.656</v>
      </c>
      <c r="J275" s="78" t="n">
        <v>16.66</v>
      </c>
      <c r="K275" s="14">
        <f>ROUND((H275-J275)*J275*IF(B275="Carbon Steel",$K$7,IF(B275="Stainless Steel 304",$K$8,$L$8)), 3)</f>
        <v/>
      </c>
      <c r="L275" s="78">
        <f>ROUND(K275*$G$5, 2)</f>
        <v/>
      </c>
      <c r="M275" s="93">
        <f>INT($G$6/H275)</f>
        <v/>
      </c>
      <c r="N275" s="93">
        <f>IF(M275=0, 0, IF(OR($K$6="Square Grid", M275=1), INT($G$7/H275), IF($G$7&lt;H275, 0, 1+INT(($G$7-H275)/(0.8660254*H275)))))</f>
        <v/>
      </c>
      <c r="O275" s="59">
        <f>IF(OR(M275=0,N275=0), 0, IF(OR($K$6="Square Grid", M275=1), M275*N275*$K$5, (INT((N275+1)/2)*M275 + INT(N275/2)*IF(($G$6-M275*H275)&gt;=0.5*H275, M275, M275-1))*$K$5))</f>
        <v/>
      </c>
      <c r="P275" s="59">
        <f>IF(L275&lt;=0, 0, INT($G$8/L275))</f>
        <v/>
      </c>
      <c r="Q275" s="95">
        <f>MIN(O275, P275)</f>
        <v/>
      </c>
      <c r="R275" s="96">
        <f>ROUND((Q275*L275)/1000, 2)</f>
        <v/>
      </c>
      <c r="S275" s="79">
        <f>IF($C$8&gt;0, R275/$C$8, 0)</f>
        <v/>
      </c>
      <c r="T275" s="79">
        <f>IF(O275&gt;0, Q275/O275, 0)</f>
        <v/>
      </c>
      <c r="U275" s="12">
        <f>IF(Q275=0, "Exceeds Limit", IF(P275&lt;=O275, "Weight Limited", "Volume Limited"))</f>
        <v/>
      </c>
      <c r="V275" s="97">
        <f>B275&amp;"|"&amp;D275&amp;"|"&amp;F275</f>
        <v/>
      </c>
    </row>
    <row r="276" ht="19" customHeight="1">
      <c r="A276" s="98" t="n">
        <v>266</v>
      </c>
      <c r="B276" s="99" t="inlineStr">
        <is>
          <t>Carbon Steel</t>
        </is>
      </c>
      <c r="C276" s="19" t="inlineStr">
        <is>
          <t>ASME B36.10M / B36.19M</t>
        </is>
      </c>
      <c r="D276" s="18" t="inlineStr">
        <is>
          <t>16''</t>
        </is>
      </c>
      <c r="E276" s="98" t="n">
        <v>400</v>
      </c>
      <c r="F276" s="18" t="inlineStr">
        <is>
          <t>80S</t>
        </is>
      </c>
      <c r="G276" s="20" t="n">
        <v>16</v>
      </c>
      <c r="H276" s="82" t="n">
        <v>406.4</v>
      </c>
      <c r="I276" s="20" t="n">
        <v>0.5</v>
      </c>
      <c r="J276" s="82" t="n">
        <v>12.7</v>
      </c>
      <c r="K276" s="20">
        <f>ROUND((H276-J276)*J276*IF(B276="Carbon Steel",$K$7,IF(B276="Stainless Steel 304",$K$8,$L$8)), 3)</f>
        <v/>
      </c>
      <c r="L276" s="82">
        <f>ROUND(K276*$G$5, 2)</f>
        <v/>
      </c>
      <c r="M276" s="98">
        <f>INT($G$6/H276)</f>
        <v/>
      </c>
      <c r="N276" s="98">
        <f>IF(M276=0, 0, IF(OR($K$6="Square Grid", M276=1), INT($G$7/H276), IF($G$7&lt;H276, 0, 1+INT(($G$7-H276)/(0.8660254*H276)))))</f>
        <v/>
      </c>
      <c r="O276" s="84">
        <f>IF(OR(M276=0,N276=0), 0, IF(OR($K$6="Square Grid", M276=1), M276*N276*$K$5, (INT((N276+1)/2)*M276 + INT(N276/2)*IF(($G$6-M276*H276)&gt;=0.5*H276, M276, M276-1))*$K$5))</f>
        <v/>
      </c>
      <c r="P276" s="84">
        <f>IF(L276&lt;=0, 0, INT($G$8/L276))</f>
        <v/>
      </c>
      <c r="Q276" s="95">
        <f>MIN(O276, P276)</f>
        <v/>
      </c>
      <c r="R276" s="96">
        <f>ROUND((Q276*L276)/1000, 2)</f>
        <v/>
      </c>
      <c r="S276" s="85">
        <f>IF($C$8&gt;0, R276/$C$8, 0)</f>
        <v/>
      </c>
      <c r="T276" s="85">
        <f>IF(O276&gt;0, Q276/O276, 0)</f>
        <v/>
      </c>
      <c r="U276" s="18">
        <f>IF(Q276=0, "Exceeds Limit", IF(P276&lt;=O276, "Weight Limited", "Volume Limited"))</f>
        <v/>
      </c>
      <c r="V276" s="100">
        <f>B276&amp;"|"&amp;D276&amp;"|"&amp;F276</f>
        <v/>
      </c>
    </row>
    <row r="277" ht="19" customHeight="1">
      <c r="A277" s="93" t="n">
        <v>267</v>
      </c>
      <c r="B277" s="94" t="inlineStr">
        <is>
          <t>Carbon Steel</t>
        </is>
      </c>
      <c r="C277" s="13" t="inlineStr">
        <is>
          <t>ASME B36.10M / B36.19M</t>
        </is>
      </c>
      <c r="D277" s="12" t="inlineStr">
        <is>
          <t>16''</t>
        </is>
      </c>
      <c r="E277" s="93" t="n">
        <v>400</v>
      </c>
      <c r="F277" s="12" t="inlineStr">
        <is>
          <t>XS</t>
        </is>
      </c>
      <c r="G277" s="14" t="n">
        <v>16</v>
      </c>
      <c r="H277" s="78" t="n">
        <v>406.4</v>
      </c>
      <c r="I277" s="14" t="n">
        <v>0.5</v>
      </c>
      <c r="J277" s="78" t="n">
        <v>12.7</v>
      </c>
      <c r="K277" s="14">
        <f>ROUND((H277-J277)*J277*IF(B277="Carbon Steel",$K$7,IF(B277="Stainless Steel 304",$K$8,$L$8)), 3)</f>
        <v/>
      </c>
      <c r="L277" s="78">
        <f>ROUND(K277*$G$5, 2)</f>
        <v/>
      </c>
      <c r="M277" s="93">
        <f>INT($G$6/H277)</f>
        <v/>
      </c>
      <c r="N277" s="93">
        <f>IF(M277=0, 0, IF(OR($K$6="Square Grid", M277=1), INT($G$7/H277), IF($G$7&lt;H277, 0, 1+INT(($G$7-H277)/(0.8660254*H277)))))</f>
        <v/>
      </c>
      <c r="O277" s="59">
        <f>IF(OR(M277=0,N277=0), 0, IF(OR($K$6="Square Grid", M277=1), M277*N277*$K$5, (INT((N277+1)/2)*M277 + INT(N277/2)*IF(($G$6-M277*H277)&gt;=0.5*H277, M277, M277-1))*$K$5))</f>
        <v/>
      </c>
      <c r="P277" s="59">
        <f>IF(L277&lt;=0, 0, INT($G$8/L277))</f>
        <v/>
      </c>
      <c r="Q277" s="95">
        <f>MIN(O277, P277)</f>
        <v/>
      </c>
      <c r="R277" s="96">
        <f>ROUND((Q277*L277)/1000, 2)</f>
        <v/>
      </c>
      <c r="S277" s="79">
        <f>IF($C$8&gt;0, R277/$C$8, 0)</f>
        <v/>
      </c>
      <c r="T277" s="79">
        <f>IF(O277&gt;0, Q277/O277, 0)</f>
        <v/>
      </c>
      <c r="U277" s="12">
        <f>IF(Q277=0, "Exceeds Limit", IF(P277&lt;=O277, "Weight Limited", "Volume Limited"))</f>
        <v/>
      </c>
      <c r="V277" s="97">
        <f>B277&amp;"|"&amp;D277&amp;"|"&amp;F277</f>
        <v/>
      </c>
    </row>
    <row r="278" ht="19" customHeight="1">
      <c r="A278" s="98" t="n">
        <v>268</v>
      </c>
      <c r="B278" s="99" t="inlineStr">
        <is>
          <t>Carbon Steel</t>
        </is>
      </c>
      <c r="C278" s="19" t="inlineStr">
        <is>
          <t>ASME B36.10M / B36.19M</t>
        </is>
      </c>
      <c r="D278" s="18" t="inlineStr">
        <is>
          <t>16''</t>
        </is>
      </c>
      <c r="E278" s="98" t="n">
        <v>400</v>
      </c>
      <c r="F278" s="18" t="inlineStr">
        <is>
          <t>80</t>
        </is>
      </c>
      <c r="G278" s="20" t="n">
        <v>16</v>
      </c>
      <c r="H278" s="82" t="n">
        <v>406.4</v>
      </c>
      <c r="I278" s="20" t="n">
        <v>0.844</v>
      </c>
      <c r="J278" s="82" t="n">
        <v>21.44</v>
      </c>
      <c r="K278" s="20">
        <f>ROUND((H278-J278)*J278*IF(B278="Carbon Steel",$K$7,IF(B278="Stainless Steel 304",$K$8,$L$8)), 3)</f>
        <v/>
      </c>
      <c r="L278" s="82">
        <f>ROUND(K278*$G$5, 2)</f>
        <v/>
      </c>
      <c r="M278" s="98">
        <f>INT($G$6/H278)</f>
        <v/>
      </c>
      <c r="N278" s="98">
        <f>IF(M278=0, 0, IF(OR($K$6="Square Grid", M278=1), INT($G$7/H278), IF($G$7&lt;H278, 0, 1+INT(($G$7-H278)/(0.8660254*H278)))))</f>
        <v/>
      </c>
      <c r="O278" s="84">
        <f>IF(OR(M278=0,N278=0), 0, IF(OR($K$6="Square Grid", M278=1), M278*N278*$K$5, (INT((N278+1)/2)*M278 + INT(N278/2)*IF(($G$6-M278*H278)&gt;=0.5*H278, M278, M278-1))*$K$5))</f>
        <v/>
      </c>
      <c r="P278" s="84">
        <f>IF(L278&lt;=0, 0, INT($G$8/L278))</f>
        <v/>
      </c>
      <c r="Q278" s="95">
        <f>MIN(O278, P278)</f>
        <v/>
      </c>
      <c r="R278" s="96">
        <f>ROUND((Q278*L278)/1000, 2)</f>
        <v/>
      </c>
      <c r="S278" s="85">
        <f>IF($C$8&gt;0, R278/$C$8, 0)</f>
        <v/>
      </c>
      <c r="T278" s="85">
        <f>IF(O278&gt;0, Q278/O278, 0)</f>
        <v/>
      </c>
      <c r="U278" s="18">
        <f>IF(Q278=0, "Exceeds Limit", IF(P278&lt;=O278, "Weight Limited", "Volume Limited"))</f>
        <v/>
      </c>
      <c r="V278" s="100">
        <f>B278&amp;"|"&amp;D278&amp;"|"&amp;F278</f>
        <v/>
      </c>
    </row>
    <row r="279" ht="19" customHeight="1">
      <c r="A279" s="93" t="n">
        <v>269</v>
      </c>
      <c r="B279" s="94" t="inlineStr">
        <is>
          <t>Carbon Steel</t>
        </is>
      </c>
      <c r="C279" s="13" t="inlineStr">
        <is>
          <t>ASME B36.10M / B36.19M</t>
        </is>
      </c>
      <c r="D279" s="12" t="inlineStr">
        <is>
          <t>16''</t>
        </is>
      </c>
      <c r="E279" s="93" t="n">
        <v>400</v>
      </c>
      <c r="F279" s="12" t="inlineStr">
        <is>
          <t>100</t>
        </is>
      </c>
      <c r="G279" s="14" t="n">
        <v>16</v>
      </c>
      <c r="H279" s="78" t="n">
        <v>406.4</v>
      </c>
      <c r="I279" s="14" t="n">
        <v>1.031</v>
      </c>
      <c r="J279" s="78" t="n">
        <v>26.19</v>
      </c>
      <c r="K279" s="14">
        <f>ROUND((H279-J279)*J279*IF(B279="Carbon Steel",$K$7,IF(B279="Stainless Steel 304",$K$8,$L$8)), 3)</f>
        <v/>
      </c>
      <c r="L279" s="78">
        <f>ROUND(K279*$G$5, 2)</f>
        <v/>
      </c>
      <c r="M279" s="93">
        <f>INT($G$6/H279)</f>
        <v/>
      </c>
      <c r="N279" s="93">
        <f>IF(M279=0, 0, IF(OR($K$6="Square Grid", M279=1), INT($G$7/H279), IF($G$7&lt;H279, 0, 1+INT(($G$7-H279)/(0.8660254*H279)))))</f>
        <v/>
      </c>
      <c r="O279" s="59">
        <f>IF(OR(M279=0,N279=0), 0, IF(OR($K$6="Square Grid", M279=1), M279*N279*$K$5, (INT((N279+1)/2)*M279 + INT(N279/2)*IF(($G$6-M279*H279)&gt;=0.5*H279, M279, M279-1))*$K$5))</f>
        <v/>
      </c>
      <c r="P279" s="59">
        <f>IF(L279&lt;=0, 0, INT($G$8/L279))</f>
        <v/>
      </c>
      <c r="Q279" s="95">
        <f>MIN(O279, P279)</f>
        <v/>
      </c>
      <c r="R279" s="96">
        <f>ROUND((Q279*L279)/1000, 2)</f>
        <v/>
      </c>
      <c r="S279" s="79">
        <f>IF($C$8&gt;0, R279/$C$8, 0)</f>
        <v/>
      </c>
      <c r="T279" s="79">
        <f>IF(O279&gt;0, Q279/O279, 0)</f>
        <v/>
      </c>
      <c r="U279" s="12">
        <f>IF(Q279=0, "Exceeds Limit", IF(P279&lt;=O279, "Weight Limited", "Volume Limited"))</f>
        <v/>
      </c>
      <c r="V279" s="97">
        <f>B279&amp;"|"&amp;D279&amp;"|"&amp;F279</f>
        <v/>
      </c>
    </row>
    <row r="280" ht="19" customHeight="1">
      <c r="A280" s="98" t="n">
        <v>270</v>
      </c>
      <c r="B280" s="99" t="inlineStr">
        <is>
          <t>Carbon Steel</t>
        </is>
      </c>
      <c r="C280" s="19" t="inlineStr">
        <is>
          <t>ASME B36.10M / B36.19M</t>
        </is>
      </c>
      <c r="D280" s="18" t="inlineStr">
        <is>
          <t>16''</t>
        </is>
      </c>
      <c r="E280" s="98" t="n">
        <v>400</v>
      </c>
      <c r="F280" s="18" t="inlineStr">
        <is>
          <t>120</t>
        </is>
      </c>
      <c r="G280" s="20" t="n">
        <v>16</v>
      </c>
      <c r="H280" s="82" t="n">
        <v>406.4</v>
      </c>
      <c r="I280" s="20" t="n">
        <v>1.219</v>
      </c>
      <c r="J280" s="82" t="n">
        <v>30.96</v>
      </c>
      <c r="K280" s="20">
        <f>ROUND((H280-J280)*J280*IF(B280="Carbon Steel",$K$7,IF(B280="Stainless Steel 304",$K$8,$L$8)), 3)</f>
        <v/>
      </c>
      <c r="L280" s="82">
        <f>ROUND(K280*$G$5, 2)</f>
        <v/>
      </c>
      <c r="M280" s="98">
        <f>INT($G$6/H280)</f>
        <v/>
      </c>
      <c r="N280" s="98">
        <f>IF(M280=0, 0, IF(OR($K$6="Square Grid", M280=1), INT($G$7/H280), IF($G$7&lt;H280, 0, 1+INT(($G$7-H280)/(0.8660254*H280)))))</f>
        <v/>
      </c>
      <c r="O280" s="84">
        <f>IF(OR(M280=0,N280=0), 0, IF(OR($K$6="Square Grid", M280=1), M280*N280*$K$5, (INT((N280+1)/2)*M280 + INT(N280/2)*IF(($G$6-M280*H280)&gt;=0.5*H280, M280, M280-1))*$K$5))</f>
        <v/>
      </c>
      <c r="P280" s="84">
        <f>IF(L280&lt;=0, 0, INT($G$8/L280))</f>
        <v/>
      </c>
      <c r="Q280" s="95">
        <f>MIN(O280, P280)</f>
        <v/>
      </c>
      <c r="R280" s="96">
        <f>ROUND((Q280*L280)/1000, 2)</f>
        <v/>
      </c>
      <c r="S280" s="85">
        <f>IF($C$8&gt;0, R280/$C$8, 0)</f>
        <v/>
      </c>
      <c r="T280" s="85">
        <f>IF(O280&gt;0, Q280/O280, 0)</f>
        <v/>
      </c>
      <c r="U280" s="18">
        <f>IF(Q280=0, "Exceeds Limit", IF(P280&lt;=O280, "Weight Limited", "Volume Limited"))</f>
        <v/>
      </c>
      <c r="V280" s="100">
        <f>B280&amp;"|"&amp;D280&amp;"|"&amp;F280</f>
        <v/>
      </c>
    </row>
    <row r="281" ht="19" customHeight="1">
      <c r="A281" s="93" t="n">
        <v>271</v>
      </c>
      <c r="B281" s="94" t="inlineStr">
        <is>
          <t>Carbon Steel</t>
        </is>
      </c>
      <c r="C281" s="13" t="inlineStr">
        <is>
          <t>ASME B36.10M / B36.19M</t>
        </is>
      </c>
      <c r="D281" s="12" t="inlineStr">
        <is>
          <t>16''</t>
        </is>
      </c>
      <c r="E281" s="93" t="n">
        <v>400</v>
      </c>
      <c r="F281" s="12" t="inlineStr">
        <is>
          <t>140</t>
        </is>
      </c>
      <c r="G281" s="14" t="n">
        <v>16</v>
      </c>
      <c r="H281" s="78" t="n">
        <v>406.4</v>
      </c>
      <c r="I281" s="14" t="n">
        <v>1.438</v>
      </c>
      <c r="J281" s="78" t="n">
        <v>36.53</v>
      </c>
      <c r="K281" s="14">
        <f>ROUND((H281-J281)*J281*IF(B281="Carbon Steel",$K$7,IF(B281="Stainless Steel 304",$K$8,$L$8)), 3)</f>
        <v/>
      </c>
      <c r="L281" s="78">
        <f>ROUND(K281*$G$5, 2)</f>
        <v/>
      </c>
      <c r="M281" s="93">
        <f>INT($G$6/H281)</f>
        <v/>
      </c>
      <c r="N281" s="93">
        <f>IF(M281=0, 0, IF(OR($K$6="Square Grid", M281=1), INT($G$7/H281), IF($G$7&lt;H281, 0, 1+INT(($G$7-H281)/(0.8660254*H281)))))</f>
        <v/>
      </c>
      <c r="O281" s="59">
        <f>IF(OR(M281=0,N281=0), 0, IF(OR($K$6="Square Grid", M281=1), M281*N281*$K$5, (INT((N281+1)/2)*M281 + INT(N281/2)*IF(($G$6-M281*H281)&gt;=0.5*H281, M281, M281-1))*$K$5))</f>
        <v/>
      </c>
      <c r="P281" s="59">
        <f>IF(L281&lt;=0, 0, INT($G$8/L281))</f>
        <v/>
      </c>
      <c r="Q281" s="95">
        <f>MIN(O281, P281)</f>
        <v/>
      </c>
      <c r="R281" s="96">
        <f>ROUND((Q281*L281)/1000, 2)</f>
        <v/>
      </c>
      <c r="S281" s="79">
        <f>IF($C$8&gt;0, R281/$C$8, 0)</f>
        <v/>
      </c>
      <c r="T281" s="79">
        <f>IF(O281&gt;0, Q281/O281, 0)</f>
        <v/>
      </c>
      <c r="U281" s="12">
        <f>IF(Q281=0, "Exceeds Limit", IF(P281&lt;=O281, "Weight Limited", "Volume Limited"))</f>
        <v/>
      </c>
      <c r="V281" s="97">
        <f>B281&amp;"|"&amp;D281&amp;"|"&amp;F281</f>
        <v/>
      </c>
    </row>
    <row r="282" ht="19" customHeight="1">
      <c r="A282" s="98" t="n">
        <v>272</v>
      </c>
      <c r="B282" s="99" t="inlineStr">
        <is>
          <t>Carbon Steel</t>
        </is>
      </c>
      <c r="C282" s="19" t="inlineStr">
        <is>
          <t>ASME B36.10M / B36.19M</t>
        </is>
      </c>
      <c r="D282" s="18" t="inlineStr">
        <is>
          <t>16''</t>
        </is>
      </c>
      <c r="E282" s="98" t="n">
        <v>400</v>
      </c>
      <c r="F282" s="18" t="inlineStr">
        <is>
          <t>160</t>
        </is>
      </c>
      <c r="G282" s="20" t="n">
        <v>16</v>
      </c>
      <c r="H282" s="82" t="n">
        <v>406.4</v>
      </c>
      <c r="I282" s="20" t="n">
        <v>1.594</v>
      </c>
      <c r="J282" s="82" t="n">
        <v>40.49</v>
      </c>
      <c r="K282" s="20">
        <f>ROUND((H282-J282)*J282*IF(B282="Carbon Steel",$K$7,IF(B282="Stainless Steel 304",$K$8,$L$8)), 3)</f>
        <v/>
      </c>
      <c r="L282" s="82">
        <f>ROUND(K282*$G$5, 2)</f>
        <v/>
      </c>
      <c r="M282" s="98">
        <f>INT($G$6/H282)</f>
        <v/>
      </c>
      <c r="N282" s="98">
        <f>IF(M282=0, 0, IF(OR($K$6="Square Grid", M282=1), INT($G$7/H282), IF($G$7&lt;H282, 0, 1+INT(($G$7-H282)/(0.8660254*H282)))))</f>
        <v/>
      </c>
      <c r="O282" s="84">
        <f>IF(OR(M282=0,N282=0), 0, IF(OR($K$6="Square Grid", M282=1), M282*N282*$K$5, (INT((N282+1)/2)*M282 + INT(N282/2)*IF(($G$6-M282*H282)&gt;=0.5*H282, M282, M282-1))*$K$5))</f>
        <v/>
      </c>
      <c r="P282" s="84">
        <f>IF(L282&lt;=0, 0, INT($G$8/L282))</f>
        <v/>
      </c>
      <c r="Q282" s="95">
        <f>MIN(O282, P282)</f>
        <v/>
      </c>
      <c r="R282" s="96">
        <f>ROUND((Q282*L282)/1000, 2)</f>
        <v/>
      </c>
      <c r="S282" s="85">
        <f>IF($C$8&gt;0, R282/$C$8, 0)</f>
        <v/>
      </c>
      <c r="T282" s="85">
        <f>IF(O282&gt;0, Q282/O282, 0)</f>
        <v/>
      </c>
      <c r="U282" s="18">
        <f>IF(Q282=0, "Exceeds Limit", IF(P282&lt;=O282, "Weight Limited", "Volume Limited"))</f>
        <v/>
      </c>
      <c r="V282" s="100">
        <f>B282&amp;"|"&amp;D282&amp;"|"&amp;F282</f>
        <v/>
      </c>
    </row>
    <row r="283" ht="19" customHeight="1">
      <c r="A283" s="93" t="n">
        <v>273</v>
      </c>
      <c r="B283" s="94" t="inlineStr">
        <is>
          <t>Carbon Steel</t>
        </is>
      </c>
      <c r="C283" s="13" t="inlineStr">
        <is>
          <t>ASME B36.10M / B36.19M</t>
        </is>
      </c>
      <c r="D283" s="12" t="inlineStr">
        <is>
          <t>18''</t>
        </is>
      </c>
      <c r="E283" s="93" t="n">
        <v>450</v>
      </c>
      <c r="F283" s="12" t="inlineStr">
        <is>
          <t>5S</t>
        </is>
      </c>
      <c r="G283" s="14" t="n">
        <v>18</v>
      </c>
      <c r="H283" s="78" t="n">
        <v>457.2</v>
      </c>
      <c r="I283" s="14" t="n">
        <v>0.165</v>
      </c>
      <c r="J283" s="78" t="n">
        <v>4.19</v>
      </c>
      <c r="K283" s="14">
        <f>ROUND((H283-J283)*J283*IF(B283="Carbon Steel",$K$7,IF(B283="Stainless Steel 304",$K$8,$L$8)), 3)</f>
        <v/>
      </c>
      <c r="L283" s="78">
        <f>ROUND(K283*$G$5, 2)</f>
        <v/>
      </c>
      <c r="M283" s="93">
        <f>INT($G$6/H283)</f>
        <v/>
      </c>
      <c r="N283" s="93">
        <f>IF(M283=0, 0, IF(OR($K$6="Square Grid", M283=1), INT($G$7/H283), IF($G$7&lt;H283, 0, 1+INT(($G$7-H283)/(0.8660254*H283)))))</f>
        <v/>
      </c>
      <c r="O283" s="59">
        <f>IF(OR(M283=0,N283=0), 0, IF(OR($K$6="Square Grid", M283=1), M283*N283*$K$5, (INT((N283+1)/2)*M283 + INT(N283/2)*IF(($G$6-M283*H283)&gt;=0.5*H283, M283, M283-1))*$K$5))</f>
        <v/>
      </c>
      <c r="P283" s="59">
        <f>IF(L283&lt;=0, 0, INT($G$8/L283))</f>
        <v/>
      </c>
      <c r="Q283" s="95">
        <f>MIN(O283, P283)</f>
        <v/>
      </c>
      <c r="R283" s="96">
        <f>ROUND((Q283*L283)/1000, 2)</f>
        <v/>
      </c>
      <c r="S283" s="79">
        <f>IF($C$8&gt;0, R283/$C$8, 0)</f>
        <v/>
      </c>
      <c r="T283" s="79">
        <f>IF(O283&gt;0, Q283/O283, 0)</f>
        <v/>
      </c>
      <c r="U283" s="12">
        <f>IF(Q283=0, "Exceeds Limit", IF(P283&lt;=O283, "Weight Limited", "Volume Limited"))</f>
        <v/>
      </c>
      <c r="V283" s="97">
        <f>B283&amp;"|"&amp;D283&amp;"|"&amp;F283</f>
        <v/>
      </c>
    </row>
    <row r="284" ht="19" customHeight="1">
      <c r="A284" s="98" t="n">
        <v>274</v>
      </c>
      <c r="B284" s="99" t="inlineStr">
        <is>
          <t>Carbon Steel</t>
        </is>
      </c>
      <c r="C284" s="19" t="inlineStr">
        <is>
          <t>ASME B36.10M / B36.19M</t>
        </is>
      </c>
      <c r="D284" s="18" t="inlineStr">
        <is>
          <t>18''</t>
        </is>
      </c>
      <c r="E284" s="98" t="n">
        <v>450</v>
      </c>
      <c r="F284" s="18" t="inlineStr">
        <is>
          <t>5</t>
        </is>
      </c>
      <c r="G284" s="20" t="n">
        <v>18</v>
      </c>
      <c r="H284" s="82" t="n">
        <v>457.2</v>
      </c>
      <c r="I284" s="20" t="n">
        <v>0.165</v>
      </c>
      <c r="J284" s="82" t="n">
        <v>4.19</v>
      </c>
      <c r="K284" s="20">
        <f>ROUND((H284-J284)*J284*IF(B284="Carbon Steel",$K$7,IF(B284="Stainless Steel 304",$K$8,$L$8)), 3)</f>
        <v/>
      </c>
      <c r="L284" s="82">
        <f>ROUND(K284*$G$5, 2)</f>
        <v/>
      </c>
      <c r="M284" s="98">
        <f>INT($G$6/H284)</f>
        <v/>
      </c>
      <c r="N284" s="98">
        <f>IF(M284=0, 0, IF(OR($K$6="Square Grid", M284=1), INT($G$7/H284), IF($G$7&lt;H284, 0, 1+INT(($G$7-H284)/(0.8660254*H284)))))</f>
        <v/>
      </c>
      <c r="O284" s="84">
        <f>IF(OR(M284=0,N284=0), 0, IF(OR($K$6="Square Grid", M284=1), M284*N284*$K$5, (INT((N284+1)/2)*M284 + INT(N284/2)*IF(($G$6-M284*H284)&gt;=0.5*H284, M284, M284-1))*$K$5))</f>
        <v/>
      </c>
      <c r="P284" s="84">
        <f>IF(L284&lt;=0, 0, INT($G$8/L284))</f>
        <v/>
      </c>
      <c r="Q284" s="95">
        <f>MIN(O284, P284)</f>
        <v/>
      </c>
      <c r="R284" s="96">
        <f>ROUND((Q284*L284)/1000, 2)</f>
        <v/>
      </c>
      <c r="S284" s="85">
        <f>IF($C$8&gt;0, R284/$C$8, 0)</f>
        <v/>
      </c>
      <c r="T284" s="85">
        <f>IF(O284&gt;0, Q284/O284, 0)</f>
        <v/>
      </c>
      <c r="U284" s="18">
        <f>IF(Q284=0, "Exceeds Limit", IF(P284&lt;=O284, "Weight Limited", "Volume Limited"))</f>
        <v/>
      </c>
      <c r="V284" s="100">
        <f>B284&amp;"|"&amp;D284&amp;"|"&amp;F284</f>
        <v/>
      </c>
    </row>
    <row r="285" ht="19" customHeight="1">
      <c r="A285" s="93" t="n">
        <v>275</v>
      </c>
      <c r="B285" s="94" t="inlineStr">
        <is>
          <t>Carbon Steel</t>
        </is>
      </c>
      <c r="C285" s="13" t="inlineStr">
        <is>
          <t>ASME B36.10M / B36.19M</t>
        </is>
      </c>
      <c r="D285" s="12" t="inlineStr">
        <is>
          <t>18''</t>
        </is>
      </c>
      <c r="E285" s="93" t="n">
        <v>450</v>
      </c>
      <c r="F285" s="12" t="inlineStr">
        <is>
          <t>10S</t>
        </is>
      </c>
      <c r="G285" s="14" t="n">
        <v>18</v>
      </c>
      <c r="H285" s="78" t="n">
        <v>457.2</v>
      </c>
      <c r="I285" s="14" t="n">
        <v>0.188</v>
      </c>
      <c r="J285" s="78" t="n">
        <v>4.78</v>
      </c>
      <c r="K285" s="14">
        <f>ROUND((H285-J285)*J285*IF(B285="Carbon Steel",$K$7,IF(B285="Stainless Steel 304",$K$8,$L$8)), 3)</f>
        <v/>
      </c>
      <c r="L285" s="78">
        <f>ROUND(K285*$G$5, 2)</f>
        <v/>
      </c>
      <c r="M285" s="93">
        <f>INT($G$6/H285)</f>
        <v/>
      </c>
      <c r="N285" s="93">
        <f>IF(M285=0, 0, IF(OR($K$6="Square Grid", M285=1), INT($G$7/H285), IF($G$7&lt;H285, 0, 1+INT(($G$7-H285)/(0.8660254*H285)))))</f>
        <v/>
      </c>
      <c r="O285" s="59">
        <f>IF(OR(M285=0,N285=0), 0, IF(OR($K$6="Square Grid", M285=1), M285*N285*$K$5, (INT((N285+1)/2)*M285 + INT(N285/2)*IF(($G$6-M285*H285)&gt;=0.5*H285, M285, M285-1))*$K$5))</f>
        <v/>
      </c>
      <c r="P285" s="59">
        <f>IF(L285&lt;=0, 0, INT($G$8/L285))</f>
        <v/>
      </c>
      <c r="Q285" s="95">
        <f>MIN(O285, P285)</f>
        <v/>
      </c>
      <c r="R285" s="96">
        <f>ROUND((Q285*L285)/1000, 2)</f>
        <v/>
      </c>
      <c r="S285" s="79">
        <f>IF($C$8&gt;0, R285/$C$8, 0)</f>
        <v/>
      </c>
      <c r="T285" s="79">
        <f>IF(O285&gt;0, Q285/O285, 0)</f>
        <v/>
      </c>
      <c r="U285" s="12">
        <f>IF(Q285=0, "Exceeds Limit", IF(P285&lt;=O285, "Weight Limited", "Volume Limited"))</f>
        <v/>
      </c>
      <c r="V285" s="97">
        <f>B285&amp;"|"&amp;D285&amp;"|"&amp;F285</f>
        <v/>
      </c>
    </row>
    <row r="286" ht="19" customHeight="1">
      <c r="A286" s="98" t="n">
        <v>276</v>
      </c>
      <c r="B286" s="99" t="inlineStr">
        <is>
          <t>Carbon Steel</t>
        </is>
      </c>
      <c r="C286" s="19" t="inlineStr">
        <is>
          <t>ASME B36.10M / B36.19M</t>
        </is>
      </c>
      <c r="D286" s="18" t="inlineStr">
        <is>
          <t>18''</t>
        </is>
      </c>
      <c r="E286" s="98" t="n">
        <v>450</v>
      </c>
      <c r="F286" s="18" t="inlineStr">
        <is>
          <t>10</t>
        </is>
      </c>
      <c r="G286" s="20" t="n">
        <v>18</v>
      </c>
      <c r="H286" s="82" t="n">
        <v>457.2</v>
      </c>
      <c r="I286" s="20" t="n">
        <v>0.25</v>
      </c>
      <c r="J286" s="82" t="n">
        <v>6.35</v>
      </c>
      <c r="K286" s="20">
        <f>ROUND((H286-J286)*J286*IF(B286="Carbon Steel",$K$7,IF(B286="Stainless Steel 304",$K$8,$L$8)), 3)</f>
        <v/>
      </c>
      <c r="L286" s="82">
        <f>ROUND(K286*$G$5, 2)</f>
        <v/>
      </c>
      <c r="M286" s="98">
        <f>INT($G$6/H286)</f>
        <v/>
      </c>
      <c r="N286" s="98">
        <f>IF(M286=0, 0, IF(OR($K$6="Square Grid", M286=1), INT($G$7/H286), IF($G$7&lt;H286, 0, 1+INT(($G$7-H286)/(0.8660254*H286)))))</f>
        <v/>
      </c>
      <c r="O286" s="84">
        <f>IF(OR(M286=0,N286=0), 0, IF(OR($K$6="Square Grid", M286=1), M286*N286*$K$5, (INT((N286+1)/2)*M286 + INT(N286/2)*IF(($G$6-M286*H286)&gt;=0.5*H286, M286, M286-1))*$K$5))</f>
        <v/>
      </c>
      <c r="P286" s="84">
        <f>IF(L286&lt;=0, 0, INT($G$8/L286))</f>
        <v/>
      </c>
      <c r="Q286" s="95">
        <f>MIN(O286, P286)</f>
        <v/>
      </c>
      <c r="R286" s="96">
        <f>ROUND((Q286*L286)/1000, 2)</f>
        <v/>
      </c>
      <c r="S286" s="85">
        <f>IF($C$8&gt;0, R286/$C$8, 0)</f>
        <v/>
      </c>
      <c r="T286" s="85">
        <f>IF(O286&gt;0, Q286/O286, 0)</f>
        <v/>
      </c>
      <c r="U286" s="18">
        <f>IF(Q286=0, "Exceeds Limit", IF(P286&lt;=O286, "Weight Limited", "Volume Limited"))</f>
        <v/>
      </c>
      <c r="V286" s="100">
        <f>B286&amp;"|"&amp;D286&amp;"|"&amp;F286</f>
        <v/>
      </c>
    </row>
    <row r="287" ht="19" customHeight="1">
      <c r="A287" s="93" t="n">
        <v>277</v>
      </c>
      <c r="B287" s="94" t="inlineStr">
        <is>
          <t>Carbon Steel</t>
        </is>
      </c>
      <c r="C287" s="13" t="inlineStr">
        <is>
          <t>ASME B36.10M / B36.19M</t>
        </is>
      </c>
      <c r="D287" s="12" t="inlineStr">
        <is>
          <t>18''</t>
        </is>
      </c>
      <c r="E287" s="93" t="n">
        <v>450</v>
      </c>
      <c r="F287" s="12" t="inlineStr">
        <is>
          <t>20</t>
        </is>
      </c>
      <c r="G287" s="14" t="n">
        <v>18</v>
      </c>
      <c r="H287" s="78" t="n">
        <v>457.2</v>
      </c>
      <c r="I287" s="14" t="n">
        <v>0.312</v>
      </c>
      <c r="J287" s="78" t="n">
        <v>7.92</v>
      </c>
      <c r="K287" s="14">
        <f>ROUND((H287-J287)*J287*IF(B287="Carbon Steel",$K$7,IF(B287="Stainless Steel 304",$K$8,$L$8)), 3)</f>
        <v/>
      </c>
      <c r="L287" s="78">
        <f>ROUND(K287*$G$5, 2)</f>
        <v/>
      </c>
      <c r="M287" s="93">
        <f>INT($G$6/H287)</f>
        <v/>
      </c>
      <c r="N287" s="93">
        <f>IF(M287=0, 0, IF(OR($K$6="Square Grid", M287=1), INT($G$7/H287), IF($G$7&lt;H287, 0, 1+INT(($G$7-H287)/(0.8660254*H287)))))</f>
        <v/>
      </c>
      <c r="O287" s="59">
        <f>IF(OR(M287=0,N287=0), 0, IF(OR($K$6="Square Grid", M287=1), M287*N287*$K$5, (INT((N287+1)/2)*M287 + INT(N287/2)*IF(($G$6-M287*H287)&gt;=0.5*H287, M287, M287-1))*$K$5))</f>
        <v/>
      </c>
      <c r="P287" s="59">
        <f>IF(L287&lt;=0, 0, INT($G$8/L287))</f>
        <v/>
      </c>
      <c r="Q287" s="95">
        <f>MIN(O287, P287)</f>
        <v/>
      </c>
      <c r="R287" s="96">
        <f>ROUND((Q287*L287)/1000, 2)</f>
        <v/>
      </c>
      <c r="S287" s="79">
        <f>IF($C$8&gt;0, R287/$C$8, 0)</f>
        <v/>
      </c>
      <c r="T287" s="79">
        <f>IF(O287&gt;0, Q287/O287, 0)</f>
        <v/>
      </c>
      <c r="U287" s="12">
        <f>IF(Q287=0, "Exceeds Limit", IF(P287&lt;=O287, "Weight Limited", "Volume Limited"))</f>
        <v/>
      </c>
      <c r="V287" s="97">
        <f>B287&amp;"|"&amp;D287&amp;"|"&amp;F287</f>
        <v/>
      </c>
    </row>
    <row r="288" ht="19" customHeight="1">
      <c r="A288" s="98" t="n">
        <v>278</v>
      </c>
      <c r="B288" s="99" t="inlineStr">
        <is>
          <t>Carbon Steel</t>
        </is>
      </c>
      <c r="C288" s="19" t="inlineStr">
        <is>
          <t>ASME B36.10M / B36.19M</t>
        </is>
      </c>
      <c r="D288" s="18" t="inlineStr">
        <is>
          <t>18''</t>
        </is>
      </c>
      <c r="E288" s="98" t="n">
        <v>450</v>
      </c>
      <c r="F288" s="18" t="inlineStr">
        <is>
          <t>30</t>
        </is>
      </c>
      <c r="G288" s="20" t="n">
        <v>18</v>
      </c>
      <c r="H288" s="82" t="n">
        <v>457.2</v>
      </c>
      <c r="I288" s="20" t="n">
        <v>0.438</v>
      </c>
      <c r="J288" s="82" t="n">
        <v>11.13</v>
      </c>
      <c r="K288" s="20">
        <f>ROUND((H288-J288)*J288*IF(B288="Carbon Steel",$K$7,IF(B288="Stainless Steel 304",$K$8,$L$8)), 3)</f>
        <v/>
      </c>
      <c r="L288" s="82">
        <f>ROUND(K288*$G$5, 2)</f>
        <v/>
      </c>
      <c r="M288" s="98">
        <f>INT($G$6/H288)</f>
        <v/>
      </c>
      <c r="N288" s="98">
        <f>IF(M288=0, 0, IF(OR($K$6="Square Grid", M288=1), INT($G$7/H288), IF($G$7&lt;H288, 0, 1+INT(($G$7-H288)/(0.8660254*H288)))))</f>
        <v/>
      </c>
      <c r="O288" s="84">
        <f>IF(OR(M288=0,N288=0), 0, IF(OR($K$6="Square Grid", M288=1), M288*N288*$K$5, (INT((N288+1)/2)*M288 + INT(N288/2)*IF(($G$6-M288*H288)&gt;=0.5*H288, M288, M288-1))*$K$5))</f>
        <v/>
      </c>
      <c r="P288" s="84">
        <f>IF(L288&lt;=0, 0, INT($G$8/L288))</f>
        <v/>
      </c>
      <c r="Q288" s="95">
        <f>MIN(O288, P288)</f>
        <v/>
      </c>
      <c r="R288" s="96">
        <f>ROUND((Q288*L288)/1000, 2)</f>
        <v/>
      </c>
      <c r="S288" s="85">
        <f>IF($C$8&gt;0, R288/$C$8, 0)</f>
        <v/>
      </c>
      <c r="T288" s="85">
        <f>IF(O288&gt;0, Q288/O288, 0)</f>
        <v/>
      </c>
      <c r="U288" s="18">
        <f>IF(Q288=0, "Exceeds Limit", IF(P288&lt;=O288, "Weight Limited", "Volume Limited"))</f>
        <v/>
      </c>
      <c r="V288" s="100">
        <f>B288&amp;"|"&amp;D288&amp;"|"&amp;F288</f>
        <v/>
      </c>
    </row>
    <row r="289" ht="19" customHeight="1">
      <c r="A289" s="93" t="n">
        <v>279</v>
      </c>
      <c r="B289" s="94" t="inlineStr">
        <is>
          <t>Carbon Steel</t>
        </is>
      </c>
      <c r="C289" s="13" t="inlineStr">
        <is>
          <t>ASME B36.10M / B36.19M</t>
        </is>
      </c>
      <c r="D289" s="12" t="inlineStr">
        <is>
          <t>18''</t>
        </is>
      </c>
      <c r="E289" s="93" t="n">
        <v>450</v>
      </c>
      <c r="F289" s="12" t="inlineStr">
        <is>
          <t>40S</t>
        </is>
      </c>
      <c r="G289" s="14" t="n">
        <v>18</v>
      </c>
      <c r="H289" s="78" t="n">
        <v>457.2</v>
      </c>
      <c r="I289" s="14" t="n">
        <v>0.375</v>
      </c>
      <c r="J289" s="78" t="n">
        <v>9.52</v>
      </c>
      <c r="K289" s="14">
        <f>ROUND((H289-J289)*J289*IF(B289="Carbon Steel",$K$7,IF(B289="Stainless Steel 304",$K$8,$L$8)), 3)</f>
        <v/>
      </c>
      <c r="L289" s="78">
        <f>ROUND(K289*$G$5, 2)</f>
        <v/>
      </c>
      <c r="M289" s="93">
        <f>INT($G$6/H289)</f>
        <v/>
      </c>
      <c r="N289" s="93">
        <f>IF(M289=0, 0, IF(OR($K$6="Square Grid", M289=1), INT($G$7/H289), IF($G$7&lt;H289, 0, 1+INT(($G$7-H289)/(0.8660254*H289)))))</f>
        <v/>
      </c>
      <c r="O289" s="59">
        <f>IF(OR(M289=0,N289=0), 0, IF(OR($K$6="Square Grid", M289=1), M289*N289*$K$5, (INT((N289+1)/2)*M289 + INT(N289/2)*IF(($G$6-M289*H289)&gt;=0.5*H289, M289, M289-1))*$K$5))</f>
        <v/>
      </c>
      <c r="P289" s="59">
        <f>IF(L289&lt;=0, 0, INT($G$8/L289))</f>
        <v/>
      </c>
      <c r="Q289" s="95">
        <f>MIN(O289, P289)</f>
        <v/>
      </c>
      <c r="R289" s="96">
        <f>ROUND((Q289*L289)/1000, 2)</f>
        <v/>
      </c>
      <c r="S289" s="79">
        <f>IF($C$8&gt;0, R289/$C$8, 0)</f>
        <v/>
      </c>
      <c r="T289" s="79">
        <f>IF(O289&gt;0, Q289/O289, 0)</f>
        <v/>
      </c>
      <c r="U289" s="12">
        <f>IF(Q289=0, "Exceeds Limit", IF(P289&lt;=O289, "Weight Limited", "Volume Limited"))</f>
        <v/>
      </c>
      <c r="V289" s="97">
        <f>B289&amp;"|"&amp;D289&amp;"|"&amp;F289</f>
        <v/>
      </c>
    </row>
    <row r="290" ht="19" customHeight="1">
      <c r="A290" s="98" t="n">
        <v>280</v>
      </c>
      <c r="B290" s="99" t="inlineStr">
        <is>
          <t>Carbon Steel</t>
        </is>
      </c>
      <c r="C290" s="19" t="inlineStr">
        <is>
          <t>ASME B36.10M / B36.19M</t>
        </is>
      </c>
      <c r="D290" s="18" t="inlineStr">
        <is>
          <t>18''</t>
        </is>
      </c>
      <c r="E290" s="98" t="n">
        <v>450</v>
      </c>
      <c r="F290" s="18" t="inlineStr">
        <is>
          <t>STD</t>
        </is>
      </c>
      <c r="G290" s="20" t="n">
        <v>18</v>
      </c>
      <c r="H290" s="82" t="n">
        <v>457.2</v>
      </c>
      <c r="I290" s="20" t="n">
        <v>0.375</v>
      </c>
      <c r="J290" s="82" t="n">
        <v>9.52</v>
      </c>
      <c r="K290" s="20">
        <f>ROUND((H290-J290)*J290*IF(B290="Carbon Steel",$K$7,IF(B290="Stainless Steel 304",$K$8,$L$8)), 3)</f>
        <v/>
      </c>
      <c r="L290" s="82">
        <f>ROUND(K290*$G$5, 2)</f>
        <v/>
      </c>
      <c r="M290" s="98">
        <f>INT($G$6/H290)</f>
        <v/>
      </c>
      <c r="N290" s="98">
        <f>IF(M290=0, 0, IF(OR($K$6="Square Grid", M290=1), INT($G$7/H290), IF($G$7&lt;H290, 0, 1+INT(($G$7-H290)/(0.8660254*H290)))))</f>
        <v/>
      </c>
      <c r="O290" s="84">
        <f>IF(OR(M290=0,N290=0), 0, IF(OR($K$6="Square Grid", M290=1), M290*N290*$K$5, (INT((N290+1)/2)*M290 + INT(N290/2)*IF(($G$6-M290*H290)&gt;=0.5*H290, M290, M290-1))*$K$5))</f>
        <v/>
      </c>
      <c r="P290" s="84">
        <f>IF(L290&lt;=0, 0, INT($G$8/L290))</f>
        <v/>
      </c>
      <c r="Q290" s="95">
        <f>MIN(O290, P290)</f>
        <v/>
      </c>
      <c r="R290" s="96">
        <f>ROUND((Q290*L290)/1000, 2)</f>
        <v/>
      </c>
      <c r="S290" s="85">
        <f>IF($C$8&gt;0, R290/$C$8, 0)</f>
        <v/>
      </c>
      <c r="T290" s="85">
        <f>IF(O290&gt;0, Q290/O290, 0)</f>
        <v/>
      </c>
      <c r="U290" s="18">
        <f>IF(Q290=0, "Exceeds Limit", IF(P290&lt;=O290, "Weight Limited", "Volume Limited"))</f>
        <v/>
      </c>
      <c r="V290" s="100">
        <f>B290&amp;"|"&amp;D290&amp;"|"&amp;F290</f>
        <v/>
      </c>
    </row>
    <row r="291" ht="19" customHeight="1">
      <c r="A291" s="93" t="n">
        <v>281</v>
      </c>
      <c r="B291" s="94" t="inlineStr">
        <is>
          <t>Carbon Steel</t>
        </is>
      </c>
      <c r="C291" s="13" t="inlineStr">
        <is>
          <t>ASME B36.10M / B36.19M</t>
        </is>
      </c>
      <c r="D291" s="12" t="inlineStr">
        <is>
          <t>18''</t>
        </is>
      </c>
      <c r="E291" s="93" t="n">
        <v>450</v>
      </c>
      <c r="F291" s="12" t="inlineStr">
        <is>
          <t>40</t>
        </is>
      </c>
      <c r="G291" s="14" t="n">
        <v>18</v>
      </c>
      <c r="H291" s="78" t="n">
        <v>457.2</v>
      </c>
      <c r="I291" s="14" t="n">
        <v>0.5620000000000001</v>
      </c>
      <c r="J291" s="78" t="n">
        <v>14.27</v>
      </c>
      <c r="K291" s="14">
        <f>ROUND((H291-J291)*J291*IF(B291="Carbon Steel",$K$7,IF(B291="Stainless Steel 304",$K$8,$L$8)), 3)</f>
        <v/>
      </c>
      <c r="L291" s="78">
        <f>ROUND(K291*$G$5, 2)</f>
        <v/>
      </c>
      <c r="M291" s="93">
        <f>INT($G$6/H291)</f>
        <v/>
      </c>
      <c r="N291" s="93">
        <f>IF(M291=0, 0, IF(OR($K$6="Square Grid", M291=1), INT($G$7/H291), IF($G$7&lt;H291, 0, 1+INT(($G$7-H291)/(0.8660254*H291)))))</f>
        <v/>
      </c>
      <c r="O291" s="59">
        <f>IF(OR(M291=0,N291=0), 0, IF(OR($K$6="Square Grid", M291=1), M291*N291*$K$5, (INT((N291+1)/2)*M291 + INT(N291/2)*IF(($G$6-M291*H291)&gt;=0.5*H291, M291, M291-1))*$K$5))</f>
        <v/>
      </c>
      <c r="P291" s="59">
        <f>IF(L291&lt;=0, 0, INT($G$8/L291))</f>
        <v/>
      </c>
      <c r="Q291" s="95">
        <f>MIN(O291, P291)</f>
        <v/>
      </c>
      <c r="R291" s="96">
        <f>ROUND((Q291*L291)/1000, 2)</f>
        <v/>
      </c>
      <c r="S291" s="79">
        <f>IF($C$8&gt;0, R291/$C$8, 0)</f>
        <v/>
      </c>
      <c r="T291" s="79">
        <f>IF(O291&gt;0, Q291/O291, 0)</f>
        <v/>
      </c>
      <c r="U291" s="12">
        <f>IF(Q291=0, "Exceeds Limit", IF(P291&lt;=O291, "Weight Limited", "Volume Limited"))</f>
        <v/>
      </c>
      <c r="V291" s="97">
        <f>B291&amp;"|"&amp;D291&amp;"|"&amp;F291</f>
        <v/>
      </c>
    </row>
    <row r="292" ht="19" customHeight="1">
      <c r="A292" s="98" t="n">
        <v>282</v>
      </c>
      <c r="B292" s="99" t="inlineStr">
        <is>
          <t>Carbon Steel</t>
        </is>
      </c>
      <c r="C292" s="19" t="inlineStr">
        <is>
          <t>ASME B36.10M / B36.19M</t>
        </is>
      </c>
      <c r="D292" s="18" t="inlineStr">
        <is>
          <t>18''</t>
        </is>
      </c>
      <c r="E292" s="98" t="n">
        <v>450</v>
      </c>
      <c r="F292" s="18" t="inlineStr">
        <is>
          <t>60</t>
        </is>
      </c>
      <c r="G292" s="20" t="n">
        <v>18</v>
      </c>
      <c r="H292" s="82" t="n">
        <v>457.2</v>
      </c>
      <c r="I292" s="20" t="n">
        <v>0.75</v>
      </c>
      <c r="J292" s="82" t="n">
        <v>19.05</v>
      </c>
      <c r="K292" s="20">
        <f>ROUND((H292-J292)*J292*IF(B292="Carbon Steel",$K$7,IF(B292="Stainless Steel 304",$K$8,$L$8)), 3)</f>
        <v/>
      </c>
      <c r="L292" s="82">
        <f>ROUND(K292*$G$5, 2)</f>
        <v/>
      </c>
      <c r="M292" s="98">
        <f>INT($G$6/H292)</f>
        <v/>
      </c>
      <c r="N292" s="98">
        <f>IF(M292=0, 0, IF(OR($K$6="Square Grid", M292=1), INT($G$7/H292), IF($G$7&lt;H292, 0, 1+INT(($G$7-H292)/(0.8660254*H292)))))</f>
        <v/>
      </c>
      <c r="O292" s="84">
        <f>IF(OR(M292=0,N292=0), 0, IF(OR($K$6="Square Grid", M292=1), M292*N292*$K$5, (INT((N292+1)/2)*M292 + INT(N292/2)*IF(($G$6-M292*H292)&gt;=0.5*H292, M292, M292-1))*$K$5))</f>
        <v/>
      </c>
      <c r="P292" s="84">
        <f>IF(L292&lt;=0, 0, INT($G$8/L292))</f>
        <v/>
      </c>
      <c r="Q292" s="95">
        <f>MIN(O292, P292)</f>
        <v/>
      </c>
      <c r="R292" s="96">
        <f>ROUND((Q292*L292)/1000, 2)</f>
        <v/>
      </c>
      <c r="S292" s="85">
        <f>IF($C$8&gt;0, R292/$C$8, 0)</f>
        <v/>
      </c>
      <c r="T292" s="85">
        <f>IF(O292&gt;0, Q292/O292, 0)</f>
        <v/>
      </c>
      <c r="U292" s="18">
        <f>IF(Q292=0, "Exceeds Limit", IF(P292&lt;=O292, "Weight Limited", "Volume Limited"))</f>
        <v/>
      </c>
      <c r="V292" s="100">
        <f>B292&amp;"|"&amp;D292&amp;"|"&amp;F292</f>
        <v/>
      </c>
    </row>
    <row r="293" ht="19" customHeight="1">
      <c r="A293" s="93" t="n">
        <v>283</v>
      </c>
      <c r="B293" s="94" t="inlineStr">
        <is>
          <t>Carbon Steel</t>
        </is>
      </c>
      <c r="C293" s="13" t="inlineStr">
        <is>
          <t>ASME B36.10M / B36.19M</t>
        </is>
      </c>
      <c r="D293" s="12" t="inlineStr">
        <is>
          <t>18''</t>
        </is>
      </c>
      <c r="E293" s="93" t="n">
        <v>450</v>
      </c>
      <c r="F293" s="12" t="inlineStr">
        <is>
          <t>80S</t>
        </is>
      </c>
      <c r="G293" s="14" t="n">
        <v>18</v>
      </c>
      <c r="H293" s="78" t="n">
        <v>457.2</v>
      </c>
      <c r="I293" s="14" t="n">
        <v>0.5</v>
      </c>
      <c r="J293" s="78" t="n">
        <v>12.7</v>
      </c>
      <c r="K293" s="14">
        <f>ROUND((H293-J293)*J293*IF(B293="Carbon Steel",$K$7,IF(B293="Stainless Steel 304",$K$8,$L$8)), 3)</f>
        <v/>
      </c>
      <c r="L293" s="78">
        <f>ROUND(K293*$G$5, 2)</f>
        <v/>
      </c>
      <c r="M293" s="93">
        <f>INT($G$6/H293)</f>
        <v/>
      </c>
      <c r="N293" s="93">
        <f>IF(M293=0, 0, IF(OR($K$6="Square Grid", M293=1), INT($G$7/H293), IF($G$7&lt;H293, 0, 1+INT(($G$7-H293)/(0.8660254*H293)))))</f>
        <v/>
      </c>
      <c r="O293" s="59">
        <f>IF(OR(M293=0,N293=0), 0, IF(OR($K$6="Square Grid", M293=1), M293*N293*$K$5, (INT((N293+1)/2)*M293 + INT(N293/2)*IF(($G$6-M293*H293)&gt;=0.5*H293, M293, M293-1))*$K$5))</f>
        <v/>
      </c>
      <c r="P293" s="59">
        <f>IF(L293&lt;=0, 0, INT($G$8/L293))</f>
        <v/>
      </c>
      <c r="Q293" s="95">
        <f>MIN(O293, P293)</f>
        <v/>
      </c>
      <c r="R293" s="96">
        <f>ROUND((Q293*L293)/1000, 2)</f>
        <v/>
      </c>
      <c r="S293" s="79">
        <f>IF($C$8&gt;0, R293/$C$8, 0)</f>
        <v/>
      </c>
      <c r="T293" s="79">
        <f>IF(O293&gt;0, Q293/O293, 0)</f>
        <v/>
      </c>
      <c r="U293" s="12">
        <f>IF(Q293=0, "Exceeds Limit", IF(P293&lt;=O293, "Weight Limited", "Volume Limited"))</f>
        <v/>
      </c>
      <c r="V293" s="97">
        <f>B293&amp;"|"&amp;D293&amp;"|"&amp;F293</f>
        <v/>
      </c>
    </row>
    <row r="294" ht="19" customHeight="1">
      <c r="A294" s="98" t="n">
        <v>284</v>
      </c>
      <c r="B294" s="99" t="inlineStr">
        <is>
          <t>Carbon Steel</t>
        </is>
      </c>
      <c r="C294" s="19" t="inlineStr">
        <is>
          <t>ASME B36.10M / B36.19M</t>
        </is>
      </c>
      <c r="D294" s="18" t="inlineStr">
        <is>
          <t>18''</t>
        </is>
      </c>
      <c r="E294" s="98" t="n">
        <v>450</v>
      </c>
      <c r="F294" s="18" t="inlineStr">
        <is>
          <t>XS</t>
        </is>
      </c>
      <c r="G294" s="20" t="n">
        <v>18</v>
      </c>
      <c r="H294" s="82" t="n">
        <v>457.2</v>
      </c>
      <c r="I294" s="20" t="n">
        <v>0.5</v>
      </c>
      <c r="J294" s="82" t="n">
        <v>12.7</v>
      </c>
      <c r="K294" s="20">
        <f>ROUND((H294-J294)*J294*IF(B294="Carbon Steel",$K$7,IF(B294="Stainless Steel 304",$K$8,$L$8)), 3)</f>
        <v/>
      </c>
      <c r="L294" s="82">
        <f>ROUND(K294*$G$5, 2)</f>
        <v/>
      </c>
      <c r="M294" s="98">
        <f>INT($G$6/H294)</f>
        <v/>
      </c>
      <c r="N294" s="98">
        <f>IF(M294=0, 0, IF(OR($K$6="Square Grid", M294=1), INT($G$7/H294), IF($G$7&lt;H294, 0, 1+INT(($G$7-H294)/(0.8660254*H294)))))</f>
        <v/>
      </c>
      <c r="O294" s="84">
        <f>IF(OR(M294=0,N294=0), 0, IF(OR($K$6="Square Grid", M294=1), M294*N294*$K$5, (INT((N294+1)/2)*M294 + INT(N294/2)*IF(($G$6-M294*H294)&gt;=0.5*H294, M294, M294-1))*$K$5))</f>
        <v/>
      </c>
      <c r="P294" s="84">
        <f>IF(L294&lt;=0, 0, INT($G$8/L294))</f>
        <v/>
      </c>
      <c r="Q294" s="95">
        <f>MIN(O294, P294)</f>
        <v/>
      </c>
      <c r="R294" s="96">
        <f>ROUND((Q294*L294)/1000, 2)</f>
        <v/>
      </c>
      <c r="S294" s="85">
        <f>IF($C$8&gt;0, R294/$C$8, 0)</f>
        <v/>
      </c>
      <c r="T294" s="85">
        <f>IF(O294&gt;0, Q294/O294, 0)</f>
        <v/>
      </c>
      <c r="U294" s="18">
        <f>IF(Q294=0, "Exceeds Limit", IF(P294&lt;=O294, "Weight Limited", "Volume Limited"))</f>
        <v/>
      </c>
      <c r="V294" s="100">
        <f>B294&amp;"|"&amp;D294&amp;"|"&amp;F294</f>
        <v/>
      </c>
    </row>
    <row r="295" ht="19" customHeight="1">
      <c r="A295" s="93" t="n">
        <v>285</v>
      </c>
      <c r="B295" s="94" t="inlineStr">
        <is>
          <t>Carbon Steel</t>
        </is>
      </c>
      <c r="C295" s="13" t="inlineStr">
        <is>
          <t>ASME B36.10M / B36.19M</t>
        </is>
      </c>
      <c r="D295" s="12" t="inlineStr">
        <is>
          <t>18''</t>
        </is>
      </c>
      <c r="E295" s="93" t="n">
        <v>450</v>
      </c>
      <c r="F295" s="12" t="inlineStr">
        <is>
          <t>80</t>
        </is>
      </c>
      <c r="G295" s="14" t="n">
        <v>18</v>
      </c>
      <c r="H295" s="78" t="n">
        <v>457.2</v>
      </c>
      <c r="I295" s="14" t="n">
        <v>0.9379999999999999</v>
      </c>
      <c r="J295" s="78" t="n">
        <v>23.83</v>
      </c>
      <c r="K295" s="14">
        <f>ROUND((H295-J295)*J295*IF(B295="Carbon Steel",$K$7,IF(B295="Stainless Steel 304",$K$8,$L$8)), 3)</f>
        <v/>
      </c>
      <c r="L295" s="78">
        <f>ROUND(K295*$G$5, 2)</f>
        <v/>
      </c>
      <c r="M295" s="93">
        <f>INT($G$6/H295)</f>
        <v/>
      </c>
      <c r="N295" s="93">
        <f>IF(M295=0, 0, IF(OR($K$6="Square Grid", M295=1), INT($G$7/H295), IF($G$7&lt;H295, 0, 1+INT(($G$7-H295)/(0.8660254*H295)))))</f>
        <v/>
      </c>
      <c r="O295" s="59">
        <f>IF(OR(M295=0,N295=0), 0, IF(OR($K$6="Square Grid", M295=1), M295*N295*$K$5, (INT((N295+1)/2)*M295 + INT(N295/2)*IF(($G$6-M295*H295)&gt;=0.5*H295, M295, M295-1))*$K$5))</f>
        <v/>
      </c>
      <c r="P295" s="59">
        <f>IF(L295&lt;=0, 0, INT($G$8/L295))</f>
        <v/>
      </c>
      <c r="Q295" s="95">
        <f>MIN(O295, P295)</f>
        <v/>
      </c>
      <c r="R295" s="96">
        <f>ROUND((Q295*L295)/1000, 2)</f>
        <v/>
      </c>
      <c r="S295" s="79">
        <f>IF($C$8&gt;0, R295/$C$8, 0)</f>
        <v/>
      </c>
      <c r="T295" s="79">
        <f>IF(O295&gt;0, Q295/O295, 0)</f>
        <v/>
      </c>
      <c r="U295" s="12">
        <f>IF(Q295=0, "Exceeds Limit", IF(P295&lt;=O295, "Weight Limited", "Volume Limited"))</f>
        <v/>
      </c>
      <c r="V295" s="97">
        <f>B295&amp;"|"&amp;D295&amp;"|"&amp;F295</f>
        <v/>
      </c>
    </row>
    <row r="296" ht="19" customHeight="1">
      <c r="A296" s="98" t="n">
        <v>286</v>
      </c>
      <c r="B296" s="99" t="inlineStr">
        <is>
          <t>Carbon Steel</t>
        </is>
      </c>
      <c r="C296" s="19" t="inlineStr">
        <is>
          <t>ASME B36.10M / B36.19M</t>
        </is>
      </c>
      <c r="D296" s="18" t="inlineStr">
        <is>
          <t>18''</t>
        </is>
      </c>
      <c r="E296" s="98" t="n">
        <v>450</v>
      </c>
      <c r="F296" s="18" t="inlineStr">
        <is>
          <t>100</t>
        </is>
      </c>
      <c r="G296" s="20" t="n">
        <v>18</v>
      </c>
      <c r="H296" s="82" t="n">
        <v>457.2</v>
      </c>
      <c r="I296" s="20" t="n">
        <v>1.156</v>
      </c>
      <c r="J296" s="82" t="n">
        <v>29.36</v>
      </c>
      <c r="K296" s="20">
        <f>ROUND((H296-J296)*J296*IF(B296="Carbon Steel",$K$7,IF(B296="Stainless Steel 304",$K$8,$L$8)), 3)</f>
        <v/>
      </c>
      <c r="L296" s="82">
        <f>ROUND(K296*$G$5, 2)</f>
        <v/>
      </c>
      <c r="M296" s="98">
        <f>INT($G$6/H296)</f>
        <v/>
      </c>
      <c r="N296" s="98">
        <f>IF(M296=0, 0, IF(OR($K$6="Square Grid", M296=1), INT($G$7/H296), IF($G$7&lt;H296, 0, 1+INT(($G$7-H296)/(0.8660254*H296)))))</f>
        <v/>
      </c>
      <c r="O296" s="84">
        <f>IF(OR(M296=0,N296=0), 0, IF(OR($K$6="Square Grid", M296=1), M296*N296*$K$5, (INT((N296+1)/2)*M296 + INT(N296/2)*IF(($G$6-M296*H296)&gt;=0.5*H296, M296, M296-1))*$K$5))</f>
        <v/>
      </c>
      <c r="P296" s="84">
        <f>IF(L296&lt;=0, 0, INT($G$8/L296))</f>
        <v/>
      </c>
      <c r="Q296" s="95">
        <f>MIN(O296, P296)</f>
        <v/>
      </c>
      <c r="R296" s="96">
        <f>ROUND((Q296*L296)/1000, 2)</f>
        <v/>
      </c>
      <c r="S296" s="85">
        <f>IF($C$8&gt;0, R296/$C$8, 0)</f>
        <v/>
      </c>
      <c r="T296" s="85">
        <f>IF(O296&gt;0, Q296/O296, 0)</f>
        <v/>
      </c>
      <c r="U296" s="18">
        <f>IF(Q296=0, "Exceeds Limit", IF(P296&lt;=O296, "Weight Limited", "Volume Limited"))</f>
        <v/>
      </c>
      <c r="V296" s="100">
        <f>B296&amp;"|"&amp;D296&amp;"|"&amp;F296</f>
        <v/>
      </c>
    </row>
    <row r="297" ht="19" customHeight="1">
      <c r="A297" s="93" t="n">
        <v>287</v>
      </c>
      <c r="B297" s="94" t="inlineStr">
        <is>
          <t>Carbon Steel</t>
        </is>
      </c>
      <c r="C297" s="13" t="inlineStr">
        <is>
          <t>ASME B36.10M / B36.19M</t>
        </is>
      </c>
      <c r="D297" s="12" t="inlineStr">
        <is>
          <t>18''</t>
        </is>
      </c>
      <c r="E297" s="93" t="n">
        <v>450</v>
      </c>
      <c r="F297" s="12" t="inlineStr">
        <is>
          <t>120</t>
        </is>
      </c>
      <c r="G297" s="14" t="n">
        <v>18</v>
      </c>
      <c r="H297" s="78" t="n">
        <v>457.2</v>
      </c>
      <c r="I297" s="14" t="n">
        <v>1.375</v>
      </c>
      <c r="J297" s="78" t="n">
        <v>34.92</v>
      </c>
      <c r="K297" s="14">
        <f>ROUND((H297-J297)*J297*IF(B297="Carbon Steel",$K$7,IF(B297="Stainless Steel 304",$K$8,$L$8)), 3)</f>
        <v/>
      </c>
      <c r="L297" s="78">
        <f>ROUND(K297*$G$5, 2)</f>
        <v/>
      </c>
      <c r="M297" s="93">
        <f>INT($G$6/H297)</f>
        <v/>
      </c>
      <c r="N297" s="93">
        <f>IF(M297=0, 0, IF(OR($K$6="Square Grid", M297=1), INT($G$7/H297), IF($G$7&lt;H297, 0, 1+INT(($G$7-H297)/(0.8660254*H297)))))</f>
        <v/>
      </c>
      <c r="O297" s="59">
        <f>IF(OR(M297=0,N297=0), 0, IF(OR($K$6="Square Grid", M297=1), M297*N297*$K$5, (INT((N297+1)/2)*M297 + INT(N297/2)*IF(($G$6-M297*H297)&gt;=0.5*H297, M297, M297-1))*$K$5))</f>
        <v/>
      </c>
      <c r="P297" s="59">
        <f>IF(L297&lt;=0, 0, INT($G$8/L297))</f>
        <v/>
      </c>
      <c r="Q297" s="95">
        <f>MIN(O297, P297)</f>
        <v/>
      </c>
      <c r="R297" s="96">
        <f>ROUND((Q297*L297)/1000, 2)</f>
        <v/>
      </c>
      <c r="S297" s="79">
        <f>IF($C$8&gt;0, R297/$C$8, 0)</f>
        <v/>
      </c>
      <c r="T297" s="79">
        <f>IF(O297&gt;0, Q297/O297, 0)</f>
        <v/>
      </c>
      <c r="U297" s="12">
        <f>IF(Q297=0, "Exceeds Limit", IF(P297&lt;=O297, "Weight Limited", "Volume Limited"))</f>
        <v/>
      </c>
      <c r="V297" s="97">
        <f>B297&amp;"|"&amp;D297&amp;"|"&amp;F297</f>
        <v/>
      </c>
    </row>
    <row r="298" ht="19" customHeight="1">
      <c r="A298" s="98" t="n">
        <v>288</v>
      </c>
      <c r="B298" s="99" t="inlineStr">
        <is>
          <t>Carbon Steel</t>
        </is>
      </c>
      <c r="C298" s="19" t="inlineStr">
        <is>
          <t>ASME B36.10M / B36.19M</t>
        </is>
      </c>
      <c r="D298" s="18" t="inlineStr">
        <is>
          <t>18''</t>
        </is>
      </c>
      <c r="E298" s="98" t="n">
        <v>450</v>
      </c>
      <c r="F298" s="18" t="inlineStr">
        <is>
          <t>140</t>
        </is>
      </c>
      <c r="G298" s="20" t="n">
        <v>18</v>
      </c>
      <c r="H298" s="82" t="n">
        <v>457.2</v>
      </c>
      <c r="I298" s="20" t="n">
        <v>1.562</v>
      </c>
      <c r="J298" s="82" t="n">
        <v>39.67</v>
      </c>
      <c r="K298" s="20">
        <f>ROUND((H298-J298)*J298*IF(B298="Carbon Steel",$K$7,IF(B298="Stainless Steel 304",$K$8,$L$8)), 3)</f>
        <v/>
      </c>
      <c r="L298" s="82">
        <f>ROUND(K298*$G$5, 2)</f>
        <v/>
      </c>
      <c r="M298" s="98">
        <f>INT($G$6/H298)</f>
        <v/>
      </c>
      <c r="N298" s="98">
        <f>IF(M298=0, 0, IF(OR($K$6="Square Grid", M298=1), INT($G$7/H298), IF($G$7&lt;H298, 0, 1+INT(($G$7-H298)/(0.8660254*H298)))))</f>
        <v/>
      </c>
      <c r="O298" s="84">
        <f>IF(OR(M298=0,N298=0), 0, IF(OR($K$6="Square Grid", M298=1), M298*N298*$K$5, (INT((N298+1)/2)*M298 + INT(N298/2)*IF(($G$6-M298*H298)&gt;=0.5*H298, M298, M298-1))*$K$5))</f>
        <v/>
      </c>
      <c r="P298" s="84">
        <f>IF(L298&lt;=0, 0, INT($G$8/L298))</f>
        <v/>
      </c>
      <c r="Q298" s="95">
        <f>MIN(O298, P298)</f>
        <v/>
      </c>
      <c r="R298" s="96">
        <f>ROUND((Q298*L298)/1000, 2)</f>
        <v/>
      </c>
      <c r="S298" s="85">
        <f>IF($C$8&gt;0, R298/$C$8, 0)</f>
        <v/>
      </c>
      <c r="T298" s="85">
        <f>IF(O298&gt;0, Q298/O298, 0)</f>
        <v/>
      </c>
      <c r="U298" s="18">
        <f>IF(Q298=0, "Exceeds Limit", IF(P298&lt;=O298, "Weight Limited", "Volume Limited"))</f>
        <v/>
      </c>
      <c r="V298" s="100">
        <f>B298&amp;"|"&amp;D298&amp;"|"&amp;F298</f>
        <v/>
      </c>
    </row>
    <row r="299" ht="19" customHeight="1">
      <c r="A299" s="93" t="n">
        <v>289</v>
      </c>
      <c r="B299" s="94" t="inlineStr">
        <is>
          <t>Carbon Steel</t>
        </is>
      </c>
      <c r="C299" s="13" t="inlineStr">
        <is>
          <t>ASME B36.10M / B36.19M</t>
        </is>
      </c>
      <c r="D299" s="12" t="inlineStr">
        <is>
          <t>18''</t>
        </is>
      </c>
      <c r="E299" s="93" t="n">
        <v>450</v>
      </c>
      <c r="F299" s="12" t="inlineStr">
        <is>
          <t>160</t>
        </is>
      </c>
      <c r="G299" s="14" t="n">
        <v>18</v>
      </c>
      <c r="H299" s="78" t="n">
        <v>457.2</v>
      </c>
      <c r="I299" s="14" t="n">
        <v>1.781</v>
      </c>
      <c r="J299" s="78" t="n">
        <v>45.24</v>
      </c>
      <c r="K299" s="14">
        <f>ROUND((H299-J299)*J299*IF(B299="Carbon Steel",$K$7,IF(B299="Stainless Steel 304",$K$8,$L$8)), 3)</f>
        <v/>
      </c>
      <c r="L299" s="78">
        <f>ROUND(K299*$G$5, 2)</f>
        <v/>
      </c>
      <c r="M299" s="93">
        <f>INT($G$6/H299)</f>
        <v/>
      </c>
      <c r="N299" s="93">
        <f>IF(M299=0, 0, IF(OR($K$6="Square Grid", M299=1), INT($G$7/H299), IF($G$7&lt;H299, 0, 1+INT(($G$7-H299)/(0.8660254*H299)))))</f>
        <v/>
      </c>
      <c r="O299" s="59">
        <f>IF(OR(M299=0,N299=0), 0, IF(OR($K$6="Square Grid", M299=1), M299*N299*$K$5, (INT((N299+1)/2)*M299 + INT(N299/2)*IF(($G$6-M299*H299)&gt;=0.5*H299, M299, M299-1))*$K$5))</f>
        <v/>
      </c>
      <c r="P299" s="59">
        <f>IF(L299&lt;=0, 0, INT($G$8/L299))</f>
        <v/>
      </c>
      <c r="Q299" s="95">
        <f>MIN(O299, P299)</f>
        <v/>
      </c>
      <c r="R299" s="96">
        <f>ROUND((Q299*L299)/1000, 2)</f>
        <v/>
      </c>
      <c r="S299" s="79">
        <f>IF($C$8&gt;0, R299/$C$8, 0)</f>
        <v/>
      </c>
      <c r="T299" s="79">
        <f>IF(O299&gt;0, Q299/O299, 0)</f>
        <v/>
      </c>
      <c r="U299" s="12">
        <f>IF(Q299=0, "Exceeds Limit", IF(P299&lt;=O299, "Weight Limited", "Volume Limited"))</f>
        <v/>
      </c>
      <c r="V299" s="97">
        <f>B299&amp;"|"&amp;D299&amp;"|"&amp;F299</f>
        <v/>
      </c>
    </row>
    <row r="300" ht="19" customHeight="1">
      <c r="A300" s="98" t="n">
        <v>290</v>
      </c>
      <c r="B300" s="99" t="inlineStr">
        <is>
          <t>Carbon Steel</t>
        </is>
      </c>
      <c r="C300" s="19" t="inlineStr">
        <is>
          <t>ASME B36.10M / B36.19M</t>
        </is>
      </c>
      <c r="D300" s="18" t="inlineStr">
        <is>
          <t>20''</t>
        </is>
      </c>
      <c r="E300" s="98" t="n">
        <v>500</v>
      </c>
      <c r="F300" s="18" t="inlineStr">
        <is>
          <t>5S</t>
        </is>
      </c>
      <c r="G300" s="20" t="n">
        <v>20</v>
      </c>
      <c r="H300" s="82" t="n">
        <v>508</v>
      </c>
      <c r="I300" s="20" t="n">
        <v>0.188</v>
      </c>
      <c r="J300" s="82" t="n">
        <v>4.78</v>
      </c>
      <c r="K300" s="20">
        <f>ROUND((H300-J300)*J300*IF(B300="Carbon Steel",$K$7,IF(B300="Stainless Steel 304",$K$8,$L$8)), 3)</f>
        <v/>
      </c>
      <c r="L300" s="82">
        <f>ROUND(K300*$G$5, 2)</f>
        <v/>
      </c>
      <c r="M300" s="98">
        <f>INT($G$6/H300)</f>
        <v/>
      </c>
      <c r="N300" s="98">
        <f>IF(M300=0, 0, IF(OR($K$6="Square Grid", M300=1), INT($G$7/H300), IF($G$7&lt;H300, 0, 1+INT(($G$7-H300)/(0.8660254*H300)))))</f>
        <v/>
      </c>
      <c r="O300" s="84">
        <f>IF(OR(M300=0,N300=0), 0, IF(OR($K$6="Square Grid", M300=1), M300*N300*$K$5, (INT((N300+1)/2)*M300 + INT(N300/2)*IF(($G$6-M300*H300)&gt;=0.5*H300, M300, M300-1))*$K$5))</f>
        <v/>
      </c>
      <c r="P300" s="84">
        <f>IF(L300&lt;=0, 0, INT($G$8/L300))</f>
        <v/>
      </c>
      <c r="Q300" s="95">
        <f>MIN(O300, P300)</f>
        <v/>
      </c>
      <c r="R300" s="96">
        <f>ROUND((Q300*L300)/1000, 2)</f>
        <v/>
      </c>
      <c r="S300" s="85">
        <f>IF($C$8&gt;0, R300/$C$8, 0)</f>
        <v/>
      </c>
      <c r="T300" s="85">
        <f>IF(O300&gt;0, Q300/O300, 0)</f>
        <v/>
      </c>
      <c r="U300" s="18">
        <f>IF(Q300=0, "Exceeds Limit", IF(P300&lt;=O300, "Weight Limited", "Volume Limited"))</f>
        <v/>
      </c>
      <c r="V300" s="100">
        <f>B300&amp;"|"&amp;D300&amp;"|"&amp;F300</f>
        <v/>
      </c>
    </row>
    <row r="301" ht="19" customHeight="1">
      <c r="A301" s="93" t="n">
        <v>291</v>
      </c>
      <c r="B301" s="94" t="inlineStr">
        <is>
          <t>Carbon Steel</t>
        </is>
      </c>
      <c r="C301" s="13" t="inlineStr">
        <is>
          <t>ASME B36.10M / B36.19M</t>
        </is>
      </c>
      <c r="D301" s="12" t="inlineStr">
        <is>
          <t>20''</t>
        </is>
      </c>
      <c r="E301" s="93" t="n">
        <v>500</v>
      </c>
      <c r="F301" s="12" t="inlineStr">
        <is>
          <t>5</t>
        </is>
      </c>
      <c r="G301" s="14" t="n">
        <v>20</v>
      </c>
      <c r="H301" s="78" t="n">
        <v>508</v>
      </c>
      <c r="I301" s="14" t="n">
        <v>0.188</v>
      </c>
      <c r="J301" s="78" t="n">
        <v>4.78</v>
      </c>
      <c r="K301" s="14">
        <f>ROUND((H301-J301)*J301*IF(B301="Carbon Steel",$K$7,IF(B301="Stainless Steel 304",$K$8,$L$8)), 3)</f>
        <v/>
      </c>
      <c r="L301" s="78">
        <f>ROUND(K301*$G$5, 2)</f>
        <v/>
      </c>
      <c r="M301" s="93">
        <f>INT($G$6/H301)</f>
        <v/>
      </c>
      <c r="N301" s="93">
        <f>IF(M301=0, 0, IF(OR($K$6="Square Grid", M301=1), INT($G$7/H301), IF($G$7&lt;H301, 0, 1+INT(($G$7-H301)/(0.8660254*H301)))))</f>
        <v/>
      </c>
      <c r="O301" s="59">
        <f>IF(OR(M301=0,N301=0), 0, IF(OR($K$6="Square Grid", M301=1), M301*N301*$K$5, (INT((N301+1)/2)*M301 + INT(N301/2)*IF(($G$6-M301*H301)&gt;=0.5*H301, M301, M301-1))*$K$5))</f>
        <v/>
      </c>
      <c r="P301" s="59">
        <f>IF(L301&lt;=0, 0, INT($G$8/L301))</f>
        <v/>
      </c>
      <c r="Q301" s="95">
        <f>MIN(O301, P301)</f>
        <v/>
      </c>
      <c r="R301" s="96">
        <f>ROUND((Q301*L301)/1000, 2)</f>
        <v/>
      </c>
      <c r="S301" s="79">
        <f>IF($C$8&gt;0, R301/$C$8, 0)</f>
        <v/>
      </c>
      <c r="T301" s="79">
        <f>IF(O301&gt;0, Q301/O301, 0)</f>
        <v/>
      </c>
      <c r="U301" s="12">
        <f>IF(Q301=0, "Exceeds Limit", IF(P301&lt;=O301, "Weight Limited", "Volume Limited"))</f>
        <v/>
      </c>
      <c r="V301" s="97">
        <f>B301&amp;"|"&amp;D301&amp;"|"&amp;F301</f>
        <v/>
      </c>
    </row>
    <row r="302" ht="19" customHeight="1">
      <c r="A302" s="98" t="n">
        <v>292</v>
      </c>
      <c r="B302" s="99" t="inlineStr">
        <is>
          <t>Carbon Steel</t>
        </is>
      </c>
      <c r="C302" s="19" t="inlineStr">
        <is>
          <t>ASME B36.10M / B36.19M</t>
        </is>
      </c>
      <c r="D302" s="18" t="inlineStr">
        <is>
          <t>20''</t>
        </is>
      </c>
      <c r="E302" s="98" t="n">
        <v>500</v>
      </c>
      <c r="F302" s="18" t="inlineStr">
        <is>
          <t>10S</t>
        </is>
      </c>
      <c r="G302" s="20" t="n">
        <v>20</v>
      </c>
      <c r="H302" s="82" t="n">
        <v>508</v>
      </c>
      <c r="I302" s="20" t="n">
        <v>0.218</v>
      </c>
      <c r="J302" s="82" t="n">
        <v>5.54</v>
      </c>
      <c r="K302" s="20">
        <f>ROUND((H302-J302)*J302*IF(B302="Carbon Steel",$K$7,IF(B302="Stainless Steel 304",$K$8,$L$8)), 3)</f>
        <v/>
      </c>
      <c r="L302" s="82">
        <f>ROUND(K302*$G$5, 2)</f>
        <v/>
      </c>
      <c r="M302" s="98">
        <f>INT($G$6/H302)</f>
        <v/>
      </c>
      <c r="N302" s="98">
        <f>IF(M302=0, 0, IF(OR($K$6="Square Grid", M302=1), INT($G$7/H302), IF($G$7&lt;H302, 0, 1+INT(($G$7-H302)/(0.8660254*H302)))))</f>
        <v/>
      </c>
      <c r="O302" s="84">
        <f>IF(OR(M302=0,N302=0), 0, IF(OR($K$6="Square Grid", M302=1), M302*N302*$K$5, (INT((N302+1)/2)*M302 + INT(N302/2)*IF(($G$6-M302*H302)&gt;=0.5*H302, M302, M302-1))*$K$5))</f>
        <v/>
      </c>
      <c r="P302" s="84">
        <f>IF(L302&lt;=0, 0, INT($G$8/L302))</f>
        <v/>
      </c>
      <c r="Q302" s="95">
        <f>MIN(O302, P302)</f>
        <v/>
      </c>
      <c r="R302" s="96">
        <f>ROUND((Q302*L302)/1000, 2)</f>
        <v/>
      </c>
      <c r="S302" s="85">
        <f>IF($C$8&gt;0, R302/$C$8, 0)</f>
        <v/>
      </c>
      <c r="T302" s="85">
        <f>IF(O302&gt;0, Q302/O302, 0)</f>
        <v/>
      </c>
      <c r="U302" s="18">
        <f>IF(Q302=0, "Exceeds Limit", IF(P302&lt;=O302, "Weight Limited", "Volume Limited"))</f>
        <v/>
      </c>
      <c r="V302" s="100">
        <f>B302&amp;"|"&amp;D302&amp;"|"&amp;F302</f>
        <v/>
      </c>
    </row>
    <row r="303" ht="19" customHeight="1">
      <c r="A303" s="93" t="n">
        <v>293</v>
      </c>
      <c r="B303" s="94" t="inlineStr">
        <is>
          <t>Carbon Steel</t>
        </is>
      </c>
      <c r="C303" s="13" t="inlineStr">
        <is>
          <t>ASME B36.10M / B36.19M</t>
        </is>
      </c>
      <c r="D303" s="12" t="inlineStr">
        <is>
          <t>20''</t>
        </is>
      </c>
      <c r="E303" s="93" t="n">
        <v>500</v>
      </c>
      <c r="F303" s="12" t="inlineStr">
        <is>
          <t>10</t>
        </is>
      </c>
      <c r="G303" s="14" t="n">
        <v>20</v>
      </c>
      <c r="H303" s="78" t="n">
        <v>508</v>
      </c>
      <c r="I303" s="14" t="n">
        <v>0.25</v>
      </c>
      <c r="J303" s="78" t="n">
        <v>6.35</v>
      </c>
      <c r="K303" s="14">
        <f>ROUND((H303-J303)*J303*IF(B303="Carbon Steel",$K$7,IF(B303="Stainless Steel 304",$K$8,$L$8)), 3)</f>
        <v/>
      </c>
      <c r="L303" s="78">
        <f>ROUND(K303*$G$5, 2)</f>
        <v/>
      </c>
      <c r="M303" s="93">
        <f>INT($G$6/H303)</f>
        <v/>
      </c>
      <c r="N303" s="93">
        <f>IF(M303=0, 0, IF(OR($K$6="Square Grid", M303=1), INT($G$7/H303), IF($G$7&lt;H303, 0, 1+INT(($G$7-H303)/(0.8660254*H303)))))</f>
        <v/>
      </c>
      <c r="O303" s="59">
        <f>IF(OR(M303=0,N303=0), 0, IF(OR($K$6="Square Grid", M303=1), M303*N303*$K$5, (INT((N303+1)/2)*M303 + INT(N303/2)*IF(($G$6-M303*H303)&gt;=0.5*H303, M303, M303-1))*$K$5))</f>
        <v/>
      </c>
      <c r="P303" s="59">
        <f>IF(L303&lt;=0, 0, INT($G$8/L303))</f>
        <v/>
      </c>
      <c r="Q303" s="95">
        <f>MIN(O303, P303)</f>
        <v/>
      </c>
      <c r="R303" s="96">
        <f>ROUND((Q303*L303)/1000, 2)</f>
        <v/>
      </c>
      <c r="S303" s="79">
        <f>IF($C$8&gt;0, R303/$C$8, 0)</f>
        <v/>
      </c>
      <c r="T303" s="79">
        <f>IF(O303&gt;0, Q303/O303, 0)</f>
        <v/>
      </c>
      <c r="U303" s="12">
        <f>IF(Q303=0, "Exceeds Limit", IF(P303&lt;=O303, "Weight Limited", "Volume Limited"))</f>
        <v/>
      </c>
      <c r="V303" s="97">
        <f>B303&amp;"|"&amp;D303&amp;"|"&amp;F303</f>
        <v/>
      </c>
    </row>
    <row r="304" ht="19" customHeight="1">
      <c r="A304" s="98" t="n">
        <v>294</v>
      </c>
      <c r="B304" s="99" t="inlineStr">
        <is>
          <t>Carbon Steel</t>
        </is>
      </c>
      <c r="C304" s="19" t="inlineStr">
        <is>
          <t>ASME B36.10M / B36.19M</t>
        </is>
      </c>
      <c r="D304" s="18" t="inlineStr">
        <is>
          <t>20''</t>
        </is>
      </c>
      <c r="E304" s="98" t="n">
        <v>500</v>
      </c>
      <c r="F304" s="18" t="inlineStr">
        <is>
          <t>20</t>
        </is>
      </c>
      <c r="G304" s="20" t="n">
        <v>20</v>
      </c>
      <c r="H304" s="82" t="n">
        <v>508</v>
      </c>
      <c r="I304" s="20" t="n">
        <v>0.375</v>
      </c>
      <c r="J304" s="82" t="n">
        <v>9.52</v>
      </c>
      <c r="K304" s="20">
        <f>ROUND((H304-J304)*J304*IF(B304="Carbon Steel",$K$7,IF(B304="Stainless Steel 304",$K$8,$L$8)), 3)</f>
        <v/>
      </c>
      <c r="L304" s="82">
        <f>ROUND(K304*$G$5, 2)</f>
        <v/>
      </c>
      <c r="M304" s="98">
        <f>INT($G$6/H304)</f>
        <v/>
      </c>
      <c r="N304" s="98">
        <f>IF(M304=0, 0, IF(OR($K$6="Square Grid", M304=1), INT($G$7/H304), IF($G$7&lt;H304, 0, 1+INT(($G$7-H304)/(0.8660254*H304)))))</f>
        <v/>
      </c>
      <c r="O304" s="84">
        <f>IF(OR(M304=0,N304=0), 0, IF(OR($K$6="Square Grid", M304=1), M304*N304*$K$5, (INT((N304+1)/2)*M304 + INT(N304/2)*IF(($G$6-M304*H304)&gt;=0.5*H304, M304, M304-1))*$K$5))</f>
        <v/>
      </c>
      <c r="P304" s="84">
        <f>IF(L304&lt;=0, 0, INT($G$8/L304))</f>
        <v/>
      </c>
      <c r="Q304" s="95">
        <f>MIN(O304, P304)</f>
        <v/>
      </c>
      <c r="R304" s="96">
        <f>ROUND((Q304*L304)/1000, 2)</f>
        <v/>
      </c>
      <c r="S304" s="85">
        <f>IF($C$8&gt;0, R304/$C$8, 0)</f>
        <v/>
      </c>
      <c r="T304" s="85">
        <f>IF(O304&gt;0, Q304/O304, 0)</f>
        <v/>
      </c>
      <c r="U304" s="18">
        <f>IF(Q304=0, "Exceeds Limit", IF(P304&lt;=O304, "Weight Limited", "Volume Limited"))</f>
        <v/>
      </c>
      <c r="V304" s="100">
        <f>B304&amp;"|"&amp;D304&amp;"|"&amp;F304</f>
        <v/>
      </c>
    </row>
    <row r="305" ht="19" customHeight="1">
      <c r="A305" s="93" t="n">
        <v>295</v>
      </c>
      <c r="B305" s="94" t="inlineStr">
        <is>
          <t>Carbon Steel</t>
        </is>
      </c>
      <c r="C305" s="13" t="inlineStr">
        <is>
          <t>ASME B36.10M / B36.19M</t>
        </is>
      </c>
      <c r="D305" s="12" t="inlineStr">
        <is>
          <t>20''</t>
        </is>
      </c>
      <c r="E305" s="93" t="n">
        <v>500</v>
      </c>
      <c r="F305" s="12" t="inlineStr">
        <is>
          <t>30</t>
        </is>
      </c>
      <c r="G305" s="14" t="n">
        <v>20</v>
      </c>
      <c r="H305" s="78" t="n">
        <v>508</v>
      </c>
      <c r="I305" s="14" t="n">
        <v>0.5</v>
      </c>
      <c r="J305" s="78" t="n">
        <v>12.7</v>
      </c>
      <c r="K305" s="14">
        <f>ROUND((H305-J305)*J305*IF(B305="Carbon Steel",$K$7,IF(B305="Stainless Steel 304",$K$8,$L$8)), 3)</f>
        <v/>
      </c>
      <c r="L305" s="78">
        <f>ROUND(K305*$G$5, 2)</f>
        <v/>
      </c>
      <c r="M305" s="93">
        <f>INT($G$6/H305)</f>
        <v/>
      </c>
      <c r="N305" s="93">
        <f>IF(M305=0, 0, IF(OR($K$6="Square Grid", M305=1), INT($G$7/H305), IF($G$7&lt;H305, 0, 1+INT(($G$7-H305)/(0.8660254*H305)))))</f>
        <v/>
      </c>
      <c r="O305" s="59">
        <f>IF(OR(M305=0,N305=0), 0, IF(OR($K$6="Square Grid", M305=1), M305*N305*$K$5, (INT((N305+1)/2)*M305 + INT(N305/2)*IF(($G$6-M305*H305)&gt;=0.5*H305, M305, M305-1))*$K$5))</f>
        <v/>
      </c>
      <c r="P305" s="59">
        <f>IF(L305&lt;=0, 0, INT($G$8/L305))</f>
        <v/>
      </c>
      <c r="Q305" s="95">
        <f>MIN(O305, P305)</f>
        <v/>
      </c>
      <c r="R305" s="96">
        <f>ROUND((Q305*L305)/1000, 2)</f>
        <v/>
      </c>
      <c r="S305" s="79">
        <f>IF($C$8&gt;0, R305/$C$8, 0)</f>
        <v/>
      </c>
      <c r="T305" s="79">
        <f>IF(O305&gt;0, Q305/O305, 0)</f>
        <v/>
      </c>
      <c r="U305" s="12">
        <f>IF(Q305=0, "Exceeds Limit", IF(P305&lt;=O305, "Weight Limited", "Volume Limited"))</f>
        <v/>
      </c>
      <c r="V305" s="97">
        <f>B305&amp;"|"&amp;D305&amp;"|"&amp;F305</f>
        <v/>
      </c>
    </row>
    <row r="306" ht="19" customHeight="1">
      <c r="A306" s="98" t="n">
        <v>296</v>
      </c>
      <c r="B306" s="99" t="inlineStr">
        <is>
          <t>Carbon Steel</t>
        </is>
      </c>
      <c r="C306" s="19" t="inlineStr">
        <is>
          <t>ASME B36.10M / B36.19M</t>
        </is>
      </c>
      <c r="D306" s="18" t="inlineStr">
        <is>
          <t>20''</t>
        </is>
      </c>
      <c r="E306" s="98" t="n">
        <v>500</v>
      </c>
      <c r="F306" s="18" t="inlineStr">
        <is>
          <t>40S</t>
        </is>
      </c>
      <c r="G306" s="20" t="n">
        <v>20</v>
      </c>
      <c r="H306" s="82" t="n">
        <v>508</v>
      </c>
      <c r="I306" s="20" t="n">
        <v>0.375</v>
      </c>
      <c r="J306" s="82" t="n">
        <v>9.52</v>
      </c>
      <c r="K306" s="20">
        <f>ROUND((H306-J306)*J306*IF(B306="Carbon Steel",$K$7,IF(B306="Stainless Steel 304",$K$8,$L$8)), 3)</f>
        <v/>
      </c>
      <c r="L306" s="82">
        <f>ROUND(K306*$G$5, 2)</f>
        <v/>
      </c>
      <c r="M306" s="98">
        <f>INT($G$6/H306)</f>
        <v/>
      </c>
      <c r="N306" s="98">
        <f>IF(M306=0, 0, IF(OR($K$6="Square Grid", M306=1), INT($G$7/H306), IF($G$7&lt;H306, 0, 1+INT(($G$7-H306)/(0.8660254*H306)))))</f>
        <v/>
      </c>
      <c r="O306" s="84">
        <f>IF(OR(M306=0,N306=0), 0, IF(OR($K$6="Square Grid", M306=1), M306*N306*$K$5, (INT((N306+1)/2)*M306 + INT(N306/2)*IF(($G$6-M306*H306)&gt;=0.5*H306, M306, M306-1))*$K$5))</f>
        <v/>
      </c>
      <c r="P306" s="84">
        <f>IF(L306&lt;=0, 0, INT($G$8/L306))</f>
        <v/>
      </c>
      <c r="Q306" s="95">
        <f>MIN(O306, P306)</f>
        <v/>
      </c>
      <c r="R306" s="96">
        <f>ROUND((Q306*L306)/1000, 2)</f>
        <v/>
      </c>
      <c r="S306" s="85">
        <f>IF($C$8&gt;0, R306/$C$8, 0)</f>
        <v/>
      </c>
      <c r="T306" s="85">
        <f>IF(O306&gt;0, Q306/O306, 0)</f>
        <v/>
      </c>
      <c r="U306" s="18">
        <f>IF(Q306=0, "Exceeds Limit", IF(P306&lt;=O306, "Weight Limited", "Volume Limited"))</f>
        <v/>
      </c>
      <c r="V306" s="100">
        <f>B306&amp;"|"&amp;D306&amp;"|"&amp;F306</f>
        <v/>
      </c>
    </row>
    <row r="307" ht="19" customHeight="1">
      <c r="A307" s="93" t="n">
        <v>297</v>
      </c>
      <c r="B307" s="94" t="inlineStr">
        <is>
          <t>Carbon Steel</t>
        </is>
      </c>
      <c r="C307" s="13" t="inlineStr">
        <is>
          <t>ASME B36.10M / B36.19M</t>
        </is>
      </c>
      <c r="D307" s="12" t="inlineStr">
        <is>
          <t>20''</t>
        </is>
      </c>
      <c r="E307" s="93" t="n">
        <v>500</v>
      </c>
      <c r="F307" s="12" t="inlineStr">
        <is>
          <t>STD</t>
        </is>
      </c>
      <c r="G307" s="14" t="n">
        <v>20</v>
      </c>
      <c r="H307" s="78" t="n">
        <v>508</v>
      </c>
      <c r="I307" s="14" t="n">
        <v>0.375</v>
      </c>
      <c r="J307" s="78" t="n">
        <v>9.52</v>
      </c>
      <c r="K307" s="14">
        <f>ROUND((H307-J307)*J307*IF(B307="Carbon Steel",$K$7,IF(B307="Stainless Steel 304",$K$8,$L$8)), 3)</f>
        <v/>
      </c>
      <c r="L307" s="78">
        <f>ROUND(K307*$G$5, 2)</f>
        <v/>
      </c>
      <c r="M307" s="93">
        <f>INT($G$6/H307)</f>
        <v/>
      </c>
      <c r="N307" s="93">
        <f>IF(M307=0, 0, IF(OR($K$6="Square Grid", M307=1), INT($G$7/H307), IF($G$7&lt;H307, 0, 1+INT(($G$7-H307)/(0.8660254*H307)))))</f>
        <v/>
      </c>
      <c r="O307" s="59">
        <f>IF(OR(M307=0,N307=0), 0, IF(OR($K$6="Square Grid", M307=1), M307*N307*$K$5, (INT((N307+1)/2)*M307 + INT(N307/2)*IF(($G$6-M307*H307)&gt;=0.5*H307, M307, M307-1))*$K$5))</f>
        <v/>
      </c>
      <c r="P307" s="59">
        <f>IF(L307&lt;=0, 0, INT($G$8/L307))</f>
        <v/>
      </c>
      <c r="Q307" s="95">
        <f>MIN(O307, P307)</f>
        <v/>
      </c>
      <c r="R307" s="96">
        <f>ROUND((Q307*L307)/1000, 2)</f>
        <v/>
      </c>
      <c r="S307" s="79">
        <f>IF($C$8&gt;0, R307/$C$8, 0)</f>
        <v/>
      </c>
      <c r="T307" s="79">
        <f>IF(O307&gt;0, Q307/O307, 0)</f>
        <v/>
      </c>
      <c r="U307" s="12">
        <f>IF(Q307=0, "Exceeds Limit", IF(P307&lt;=O307, "Weight Limited", "Volume Limited"))</f>
        <v/>
      </c>
      <c r="V307" s="97">
        <f>B307&amp;"|"&amp;D307&amp;"|"&amp;F307</f>
        <v/>
      </c>
    </row>
    <row r="308" ht="19" customHeight="1">
      <c r="A308" s="98" t="n">
        <v>298</v>
      </c>
      <c r="B308" s="99" t="inlineStr">
        <is>
          <t>Carbon Steel</t>
        </is>
      </c>
      <c r="C308" s="19" t="inlineStr">
        <is>
          <t>ASME B36.10M / B36.19M</t>
        </is>
      </c>
      <c r="D308" s="18" t="inlineStr">
        <is>
          <t>20''</t>
        </is>
      </c>
      <c r="E308" s="98" t="n">
        <v>500</v>
      </c>
      <c r="F308" s="18" t="inlineStr">
        <is>
          <t>40</t>
        </is>
      </c>
      <c r="G308" s="20" t="n">
        <v>20</v>
      </c>
      <c r="H308" s="82" t="n">
        <v>508</v>
      </c>
      <c r="I308" s="20" t="n">
        <v>0.594</v>
      </c>
      <c r="J308" s="82" t="n">
        <v>15.09</v>
      </c>
      <c r="K308" s="20">
        <f>ROUND((H308-J308)*J308*IF(B308="Carbon Steel",$K$7,IF(B308="Stainless Steel 304",$K$8,$L$8)), 3)</f>
        <v/>
      </c>
      <c r="L308" s="82">
        <f>ROUND(K308*$G$5, 2)</f>
        <v/>
      </c>
      <c r="M308" s="98">
        <f>INT($G$6/H308)</f>
        <v/>
      </c>
      <c r="N308" s="98">
        <f>IF(M308=0, 0, IF(OR($K$6="Square Grid", M308=1), INT($G$7/H308), IF($G$7&lt;H308, 0, 1+INT(($G$7-H308)/(0.8660254*H308)))))</f>
        <v/>
      </c>
      <c r="O308" s="84">
        <f>IF(OR(M308=0,N308=0), 0, IF(OR($K$6="Square Grid", M308=1), M308*N308*$K$5, (INT((N308+1)/2)*M308 + INT(N308/2)*IF(($G$6-M308*H308)&gt;=0.5*H308, M308, M308-1))*$K$5))</f>
        <v/>
      </c>
      <c r="P308" s="84">
        <f>IF(L308&lt;=0, 0, INT($G$8/L308))</f>
        <v/>
      </c>
      <c r="Q308" s="95">
        <f>MIN(O308, P308)</f>
        <v/>
      </c>
      <c r="R308" s="96">
        <f>ROUND((Q308*L308)/1000, 2)</f>
        <v/>
      </c>
      <c r="S308" s="85">
        <f>IF($C$8&gt;0, R308/$C$8, 0)</f>
        <v/>
      </c>
      <c r="T308" s="85">
        <f>IF(O308&gt;0, Q308/O308, 0)</f>
        <v/>
      </c>
      <c r="U308" s="18">
        <f>IF(Q308=0, "Exceeds Limit", IF(P308&lt;=O308, "Weight Limited", "Volume Limited"))</f>
        <v/>
      </c>
      <c r="V308" s="100">
        <f>B308&amp;"|"&amp;D308&amp;"|"&amp;F308</f>
        <v/>
      </c>
    </row>
    <row r="309" ht="19" customHeight="1">
      <c r="A309" s="93" t="n">
        <v>299</v>
      </c>
      <c r="B309" s="94" t="inlineStr">
        <is>
          <t>Carbon Steel</t>
        </is>
      </c>
      <c r="C309" s="13" t="inlineStr">
        <is>
          <t>ASME B36.10M / B36.19M</t>
        </is>
      </c>
      <c r="D309" s="12" t="inlineStr">
        <is>
          <t>20''</t>
        </is>
      </c>
      <c r="E309" s="93" t="n">
        <v>500</v>
      </c>
      <c r="F309" s="12" t="inlineStr">
        <is>
          <t>60</t>
        </is>
      </c>
      <c r="G309" s="14" t="n">
        <v>20</v>
      </c>
      <c r="H309" s="78" t="n">
        <v>508</v>
      </c>
      <c r="I309" s="14" t="n">
        <v>0.8120000000000001</v>
      </c>
      <c r="J309" s="78" t="n">
        <v>20.62</v>
      </c>
      <c r="K309" s="14">
        <f>ROUND((H309-J309)*J309*IF(B309="Carbon Steel",$K$7,IF(B309="Stainless Steel 304",$K$8,$L$8)), 3)</f>
        <v/>
      </c>
      <c r="L309" s="78">
        <f>ROUND(K309*$G$5, 2)</f>
        <v/>
      </c>
      <c r="M309" s="93">
        <f>INT($G$6/H309)</f>
        <v/>
      </c>
      <c r="N309" s="93">
        <f>IF(M309=0, 0, IF(OR($K$6="Square Grid", M309=1), INT($G$7/H309), IF($G$7&lt;H309, 0, 1+INT(($G$7-H309)/(0.8660254*H309)))))</f>
        <v/>
      </c>
      <c r="O309" s="59">
        <f>IF(OR(M309=0,N309=0), 0, IF(OR($K$6="Square Grid", M309=1), M309*N309*$K$5, (INT((N309+1)/2)*M309 + INT(N309/2)*IF(($G$6-M309*H309)&gt;=0.5*H309, M309, M309-1))*$K$5))</f>
        <v/>
      </c>
      <c r="P309" s="59">
        <f>IF(L309&lt;=0, 0, INT($G$8/L309))</f>
        <v/>
      </c>
      <c r="Q309" s="95">
        <f>MIN(O309, P309)</f>
        <v/>
      </c>
      <c r="R309" s="96">
        <f>ROUND((Q309*L309)/1000, 2)</f>
        <v/>
      </c>
      <c r="S309" s="79">
        <f>IF($C$8&gt;0, R309/$C$8, 0)</f>
        <v/>
      </c>
      <c r="T309" s="79">
        <f>IF(O309&gt;0, Q309/O309, 0)</f>
        <v/>
      </c>
      <c r="U309" s="12">
        <f>IF(Q309=0, "Exceeds Limit", IF(P309&lt;=O309, "Weight Limited", "Volume Limited"))</f>
        <v/>
      </c>
      <c r="V309" s="97">
        <f>B309&amp;"|"&amp;D309&amp;"|"&amp;F309</f>
        <v/>
      </c>
    </row>
    <row r="310" ht="19" customHeight="1">
      <c r="A310" s="98" t="n">
        <v>300</v>
      </c>
      <c r="B310" s="99" t="inlineStr">
        <is>
          <t>Carbon Steel</t>
        </is>
      </c>
      <c r="C310" s="19" t="inlineStr">
        <is>
          <t>ASME B36.10M / B36.19M</t>
        </is>
      </c>
      <c r="D310" s="18" t="inlineStr">
        <is>
          <t>20''</t>
        </is>
      </c>
      <c r="E310" s="98" t="n">
        <v>500</v>
      </c>
      <c r="F310" s="18" t="inlineStr">
        <is>
          <t>80S</t>
        </is>
      </c>
      <c r="G310" s="20" t="n">
        <v>20</v>
      </c>
      <c r="H310" s="82" t="n">
        <v>508</v>
      </c>
      <c r="I310" s="20" t="n">
        <v>0.5</v>
      </c>
      <c r="J310" s="82" t="n">
        <v>12.7</v>
      </c>
      <c r="K310" s="20">
        <f>ROUND((H310-J310)*J310*IF(B310="Carbon Steel",$K$7,IF(B310="Stainless Steel 304",$K$8,$L$8)), 3)</f>
        <v/>
      </c>
      <c r="L310" s="82">
        <f>ROUND(K310*$G$5, 2)</f>
        <v/>
      </c>
      <c r="M310" s="98">
        <f>INT($G$6/H310)</f>
        <v/>
      </c>
      <c r="N310" s="98">
        <f>IF(M310=0, 0, IF(OR($K$6="Square Grid", M310=1), INT($G$7/H310), IF($G$7&lt;H310, 0, 1+INT(($G$7-H310)/(0.8660254*H310)))))</f>
        <v/>
      </c>
      <c r="O310" s="84">
        <f>IF(OR(M310=0,N310=0), 0, IF(OR($K$6="Square Grid", M310=1), M310*N310*$K$5, (INT((N310+1)/2)*M310 + INT(N310/2)*IF(($G$6-M310*H310)&gt;=0.5*H310, M310, M310-1))*$K$5))</f>
        <v/>
      </c>
      <c r="P310" s="84">
        <f>IF(L310&lt;=0, 0, INT($G$8/L310))</f>
        <v/>
      </c>
      <c r="Q310" s="95">
        <f>MIN(O310, P310)</f>
        <v/>
      </c>
      <c r="R310" s="96">
        <f>ROUND((Q310*L310)/1000, 2)</f>
        <v/>
      </c>
      <c r="S310" s="85">
        <f>IF($C$8&gt;0, R310/$C$8, 0)</f>
        <v/>
      </c>
      <c r="T310" s="85">
        <f>IF(O310&gt;0, Q310/O310, 0)</f>
        <v/>
      </c>
      <c r="U310" s="18">
        <f>IF(Q310=0, "Exceeds Limit", IF(P310&lt;=O310, "Weight Limited", "Volume Limited"))</f>
        <v/>
      </c>
      <c r="V310" s="100">
        <f>B310&amp;"|"&amp;D310&amp;"|"&amp;F310</f>
        <v/>
      </c>
    </row>
    <row r="311" ht="19" customHeight="1">
      <c r="A311" s="93" t="n">
        <v>301</v>
      </c>
      <c r="B311" s="94" t="inlineStr">
        <is>
          <t>Carbon Steel</t>
        </is>
      </c>
      <c r="C311" s="13" t="inlineStr">
        <is>
          <t>ASME B36.10M / B36.19M</t>
        </is>
      </c>
      <c r="D311" s="12" t="inlineStr">
        <is>
          <t>20''</t>
        </is>
      </c>
      <c r="E311" s="93" t="n">
        <v>500</v>
      </c>
      <c r="F311" s="12" t="inlineStr">
        <is>
          <t>XS</t>
        </is>
      </c>
      <c r="G311" s="14" t="n">
        <v>20</v>
      </c>
      <c r="H311" s="78" t="n">
        <v>508</v>
      </c>
      <c r="I311" s="14" t="n">
        <v>0.5</v>
      </c>
      <c r="J311" s="78" t="n">
        <v>12.7</v>
      </c>
      <c r="K311" s="14">
        <f>ROUND((H311-J311)*J311*IF(B311="Carbon Steel",$K$7,IF(B311="Stainless Steel 304",$K$8,$L$8)), 3)</f>
        <v/>
      </c>
      <c r="L311" s="78">
        <f>ROUND(K311*$G$5, 2)</f>
        <v/>
      </c>
      <c r="M311" s="93">
        <f>INT($G$6/H311)</f>
        <v/>
      </c>
      <c r="N311" s="93">
        <f>IF(M311=0, 0, IF(OR($K$6="Square Grid", M311=1), INT($G$7/H311), IF($G$7&lt;H311, 0, 1+INT(($G$7-H311)/(0.8660254*H311)))))</f>
        <v/>
      </c>
      <c r="O311" s="59">
        <f>IF(OR(M311=0,N311=0), 0, IF(OR($K$6="Square Grid", M311=1), M311*N311*$K$5, (INT((N311+1)/2)*M311 + INT(N311/2)*IF(($G$6-M311*H311)&gt;=0.5*H311, M311, M311-1))*$K$5))</f>
        <v/>
      </c>
      <c r="P311" s="59">
        <f>IF(L311&lt;=0, 0, INT($G$8/L311))</f>
        <v/>
      </c>
      <c r="Q311" s="95">
        <f>MIN(O311, P311)</f>
        <v/>
      </c>
      <c r="R311" s="96">
        <f>ROUND((Q311*L311)/1000, 2)</f>
        <v/>
      </c>
      <c r="S311" s="79">
        <f>IF($C$8&gt;0, R311/$C$8, 0)</f>
        <v/>
      </c>
      <c r="T311" s="79">
        <f>IF(O311&gt;0, Q311/O311, 0)</f>
        <v/>
      </c>
      <c r="U311" s="12">
        <f>IF(Q311=0, "Exceeds Limit", IF(P311&lt;=O311, "Weight Limited", "Volume Limited"))</f>
        <v/>
      </c>
      <c r="V311" s="97">
        <f>B311&amp;"|"&amp;D311&amp;"|"&amp;F311</f>
        <v/>
      </c>
    </row>
    <row r="312" ht="19" customHeight="1">
      <c r="A312" s="98" t="n">
        <v>302</v>
      </c>
      <c r="B312" s="99" t="inlineStr">
        <is>
          <t>Carbon Steel</t>
        </is>
      </c>
      <c r="C312" s="19" t="inlineStr">
        <is>
          <t>ASME B36.10M / B36.19M</t>
        </is>
      </c>
      <c r="D312" s="18" t="inlineStr">
        <is>
          <t>20''</t>
        </is>
      </c>
      <c r="E312" s="98" t="n">
        <v>500</v>
      </c>
      <c r="F312" s="18" t="inlineStr">
        <is>
          <t>80</t>
        </is>
      </c>
      <c r="G312" s="20" t="n">
        <v>20</v>
      </c>
      <c r="H312" s="82" t="n">
        <v>508</v>
      </c>
      <c r="I312" s="20" t="n">
        <v>1.031</v>
      </c>
      <c r="J312" s="82" t="n">
        <v>26.19</v>
      </c>
      <c r="K312" s="20">
        <f>ROUND((H312-J312)*J312*IF(B312="Carbon Steel",$K$7,IF(B312="Stainless Steel 304",$K$8,$L$8)), 3)</f>
        <v/>
      </c>
      <c r="L312" s="82">
        <f>ROUND(K312*$G$5, 2)</f>
        <v/>
      </c>
      <c r="M312" s="98">
        <f>INT($G$6/H312)</f>
        <v/>
      </c>
      <c r="N312" s="98">
        <f>IF(M312=0, 0, IF(OR($K$6="Square Grid", M312=1), INT($G$7/H312), IF($G$7&lt;H312, 0, 1+INT(($G$7-H312)/(0.8660254*H312)))))</f>
        <v/>
      </c>
      <c r="O312" s="84">
        <f>IF(OR(M312=0,N312=0), 0, IF(OR($K$6="Square Grid", M312=1), M312*N312*$K$5, (INT((N312+1)/2)*M312 + INT(N312/2)*IF(($G$6-M312*H312)&gt;=0.5*H312, M312, M312-1))*$K$5))</f>
        <v/>
      </c>
      <c r="P312" s="84">
        <f>IF(L312&lt;=0, 0, INT($G$8/L312))</f>
        <v/>
      </c>
      <c r="Q312" s="95">
        <f>MIN(O312, P312)</f>
        <v/>
      </c>
      <c r="R312" s="96">
        <f>ROUND((Q312*L312)/1000, 2)</f>
        <v/>
      </c>
      <c r="S312" s="85">
        <f>IF($C$8&gt;0, R312/$C$8, 0)</f>
        <v/>
      </c>
      <c r="T312" s="85">
        <f>IF(O312&gt;0, Q312/O312, 0)</f>
        <v/>
      </c>
      <c r="U312" s="18">
        <f>IF(Q312=0, "Exceeds Limit", IF(P312&lt;=O312, "Weight Limited", "Volume Limited"))</f>
        <v/>
      </c>
      <c r="V312" s="100">
        <f>B312&amp;"|"&amp;D312&amp;"|"&amp;F312</f>
        <v/>
      </c>
    </row>
    <row r="313" ht="19" customHeight="1">
      <c r="A313" s="93" t="n">
        <v>303</v>
      </c>
      <c r="B313" s="94" t="inlineStr">
        <is>
          <t>Carbon Steel</t>
        </is>
      </c>
      <c r="C313" s="13" t="inlineStr">
        <is>
          <t>ASME B36.10M / B36.19M</t>
        </is>
      </c>
      <c r="D313" s="12" t="inlineStr">
        <is>
          <t>20''</t>
        </is>
      </c>
      <c r="E313" s="93" t="n">
        <v>500</v>
      </c>
      <c r="F313" s="12" t="inlineStr">
        <is>
          <t>100</t>
        </is>
      </c>
      <c r="G313" s="14" t="n">
        <v>20</v>
      </c>
      <c r="H313" s="78" t="n">
        <v>508</v>
      </c>
      <c r="I313" s="14" t="n">
        <v>1.281</v>
      </c>
      <c r="J313" s="78" t="n">
        <v>32.54</v>
      </c>
      <c r="K313" s="14">
        <f>ROUND((H313-J313)*J313*IF(B313="Carbon Steel",$K$7,IF(B313="Stainless Steel 304",$K$8,$L$8)), 3)</f>
        <v/>
      </c>
      <c r="L313" s="78">
        <f>ROUND(K313*$G$5, 2)</f>
        <v/>
      </c>
      <c r="M313" s="93">
        <f>INT($G$6/H313)</f>
        <v/>
      </c>
      <c r="N313" s="93">
        <f>IF(M313=0, 0, IF(OR($K$6="Square Grid", M313=1), INT($G$7/H313), IF($G$7&lt;H313, 0, 1+INT(($G$7-H313)/(0.8660254*H313)))))</f>
        <v/>
      </c>
      <c r="O313" s="59">
        <f>IF(OR(M313=0,N313=0), 0, IF(OR($K$6="Square Grid", M313=1), M313*N313*$K$5, (INT((N313+1)/2)*M313 + INT(N313/2)*IF(($G$6-M313*H313)&gt;=0.5*H313, M313, M313-1))*$K$5))</f>
        <v/>
      </c>
      <c r="P313" s="59">
        <f>IF(L313&lt;=0, 0, INT($G$8/L313))</f>
        <v/>
      </c>
      <c r="Q313" s="95">
        <f>MIN(O313, P313)</f>
        <v/>
      </c>
      <c r="R313" s="96">
        <f>ROUND((Q313*L313)/1000, 2)</f>
        <v/>
      </c>
      <c r="S313" s="79">
        <f>IF($C$8&gt;0, R313/$C$8, 0)</f>
        <v/>
      </c>
      <c r="T313" s="79">
        <f>IF(O313&gt;0, Q313/O313, 0)</f>
        <v/>
      </c>
      <c r="U313" s="12">
        <f>IF(Q313=0, "Exceeds Limit", IF(P313&lt;=O313, "Weight Limited", "Volume Limited"))</f>
        <v/>
      </c>
      <c r="V313" s="97">
        <f>B313&amp;"|"&amp;D313&amp;"|"&amp;F313</f>
        <v/>
      </c>
    </row>
    <row r="314" ht="19" customHeight="1">
      <c r="A314" s="98" t="n">
        <v>304</v>
      </c>
      <c r="B314" s="99" t="inlineStr">
        <is>
          <t>Carbon Steel</t>
        </is>
      </c>
      <c r="C314" s="19" t="inlineStr">
        <is>
          <t>ASME B36.10M / B36.19M</t>
        </is>
      </c>
      <c r="D314" s="18" t="inlineStr">
        <is>
          <t>20''</t>
        </is>
      </c>
      <c r="E314" s="98" t="n">
        <v>500</v>
      </c>
      <c r="F314" s="18" t="inlineStr">
        <is>
          <t>120</t>
        </is>
      </c>
      <c r="G314" s="20" t="n">
        <v>20</v>
      </c>
      <c r="H314" s="82" t="n">
        <v>508</v>
      </c>
      <c r="I314" s="20" t="n">
        <v>1.5</v>
      </c>
      <c r="J314" s="82" t="n">
        <v>38.1</v>
      </c>
      <c r="K314" s="20">
        <f>ROUND((H314-J314)*J314*IF(B314="Carbon Steel",$K$7,IF(B314="Stainless Steel 304",$K$8,$L$8)), 3)</f>
        <v/>
      </c>
      <c r="L314" s="82">
        <f>ROUND(K314*$G$5, 2)</f>
        <v/>
      </c>
      <c r="M314" s="98">
        <f>INT($G$6/H314)</f>
        <v/>
      </c>
      <c r="N314" s="98">
        <f>IF(M314=0, 0, IF(OR($K$6="Square Grid", M314=1), INT($G$7/H314), IF($G$7&lt;H314, 0, 1+INT(($G$7-H314)/(0.8660254*H314)))))</f>
        <v/>
      </c>
      <c r="O314" s="84">
        <f>IF(OR(M314=0,N314=0), 0, IF(OR($K$6="Square Grid", M314=1), M314*N314*$K$5, (INT((N314+1)/2)*M314 + INT(N314/2)*IF(($G$6-M314*H314)&gt;=0.5*H314, M314, M314-1))*$K$5))</f>
        <v/>
      </c>
      <c r="P314" s="84">
        <f>IF(L314&lt;=0, 0, INT($G$8/L314))</f>
        <v/>
      </c>
      <c r="Q314" s="95">
        <f>MIN(O314, P314)</f>
        <v/>
      </c>
      <c r="R314" s="96">
        <f>ROUND((Q314*L314)/1000, 2)</f>
        <v/>
      </c>
      <c r="S314" s="85">
        <f>IF($C$8&gt;0, R314/$C$8, 0)</f>
        <v/>
      </c>
      <c r="T314" s="85">
        <f>IF(O314&gt;0, Q314/O314, 0)</f>
        <v/>
      </c>
      <c r="U314" s="18">
        <f>IF(Q314=0, "Exceeds Limit", IF(P314&lt;=O314, "Weight Limited", "Volume Limited"))</f>
        <v/>
      </c>
      <c r="V314" s="100">
        <f>B314&amp;"|"&amp;D314&amp;"|"&amp;F314</f>
        <v/>
      </c>
    </row>
    <row r="315" ht="19" customHeight="1">
      <c r="A315" s="93" t="n">
        <v>305</v>
      </c>
      <c r="B315" s="94" t="inlineStr">
        <is>
          <t>Carbon Steel</t>
        </is>
      </c>
      <c r="C315" s="13" t="inlineStr">
        <is>
          <t>ASME B36.10M / B36.19M</t>
        </is>
      </c>
      <c r="D315" s="12" t="inlineStr">
        <is>
          <t>20''</t>
        </is>
      </c>
      <c r="E315" s="93" t="n">
        <v>500</v>
      </c>
      <c r="F315" s="12" t="inlineStr">
        <is>
          <t>140</t>
        </is>
      </c>
      <c r="G315" s="14" t="n">
        <v>20</v>
      </c>
      <c r="H315" s="78" t="n">
        <v>508</v>
      </c>
      <c r="I315" s="14" t="n">
        <v>1.75</v>
      </c>
      <c r="J315" s="78" t="n">
        <v>44.45</v>
      </c>
      <c r="K315" s="14">
        <f>ROUND((H315-J315)*J315*IF(B315="Carbon Steel",$K$7,IF(B315="Stainless Steel 304",$K$8,$L$8)), 3)</f>
        <v/>
      </c>
      <c r="L315" s="78">
        <f>ROUND(K315*$G$5, 2)</f>
        <v/>
      </c>
      <c r="M315" s="93">
        <f>INT($G$6/H315)</f>
        <v/>
      </c>
      <c r="N315" s="93">
        <f>IF(M315=0, 0, IF(OR($K$6="Square Grid", M315=1), INT($G$7/H315), IF($G$7&lt;H315, 0, 1+INT(($G$7-H315)/(0.8660254*H315)))))</f>
        <v/>
      </c>
      <c r="O315" s="59">
        <f>IF(OR(M315=0,N315=0), 0, IF(OR($K$6="Square Grid", M315=1), M315*N315*$K$5, (INT((N315+1)/2)*M315 + INT(N315/2)*IF(($G$6-M315*H315)&gt;=0.5*H315, M315, M315-1))*$K$5))</f>
        <v/>
      </c>
      <c r="P315" s="59">
        <f>IF(L315&lt;=0, 0, INT($G$8/L315))</f>
        <v/>
      </c>
      <c r="Q315" s="95">
        <f>MIN(O315, P315)</f>
        <v/>
      </c>
      <c r="R315" s="96">
        <f>ROUND((Q315*L315)/1000, 2)</f>
        <v/>
      </c>
      <c r="S315" s="79">
        <f>IF($C$8&gt;0, R315/$C$8, 0)</f>
        <v/>
      </c>
      <c r="T315" s="79">
        <f>IF(O315&gt;0, Q315/O315, 0)</f>
        <v/>
      </c>
      <c r="U315" s="12">
        <f>IF(Q315=0, "Exceeds Limit", IF(P315&lt;=O315, "Weight Limited", "Volume Limited"))</f>
        <v/>
      </c>
      <c r="V315" s="97">
        <f>B315&amp;"|"&amp;D315&amp;"|"&amp;F315</f>
        <v/>
      </c>
    </row>
    <row r="316" ht="19" customHeight="1">
      <c r="A316" s="98" t="n">
        <v>306</v>
      </c>
      <c r="B316" s="99" t="inlineStr">
        <is>
          <t>Carbon Steel</t>
        </is>
      </c>
      <c r="C316" s="19" t="inlineStr">
        <is>
          <t>ASME B36.10M / B36.19M</t>
        </is>
      </c>
      <c r="D316" s="18" t="inlineStr">
        <is>
          <t>20''</t>
        </is>
      </c>
      <c r="E316" s="98" t="n">
        <v>500</v>
      </c>
      <c r="F316" s="18" t="inlineStr">
        <is>
          <t>160</t>
        </is>
      </c>
      <c r="G316" s="20" t="n">
        <v>20</v>
      </c>
      <c r="H316" s="82" t="n">
        <v>508</v>
      </c>
      <c r="I316" s="20" t="n">
        <v>1.969</v>
      </c>
      <c r="J316" s="82" t="n">
        <v>50.01</v>
      </c>
      <c r="K316" s="20">
        <f>ROUND((H316-J316)*J316*IF(B316="Carbon Steel",$K$7,IF(B316="Stainless Steel 304",$K$8,$L$8)), 3)</f>
        <v/>
      </c>
      <c r="L316" s="82">
        <f>ROUND(K316*$G$5, 2)</f>
        <v/>
      </c>
      <c r="M316" s="98">
        <f>INT($G$6/H316)</f>
        <v/>
      </c>
      <c r="N316" s="98">
        <f>IF(M316=0, 0, IF(OR($K$6="Square Grid", M316=1), INT($G$7/H316), IF($G$7&lt;H316, 0, 1+INT(($G$7-H316)/(0.8660254*H316)))))</f>
        <v/>
      </c>
      <c r="O316" s="84">
        <f>IF(OR(M316=0,N316=0), 0, IF(OR($K$6="Square Grid", M316=1), M316*N316*$K$5, (INT((N316+1)/2)*M316 + INT(N316/2)*IF(($G$6-M316*H316)&gt;=0.5*H316, M316, M316-1))*$K$5))</f>
        <v/>
      </c>
      <c r="P316" s="84">
        <f>IF(L316&lt;=0, 0, INT($G$8/L316))</f>
        <v/>
      </c>
      <c r="Q316" s="95">
        <f>MIN(O316, P316)</f>
        <v/>
      </c>
      <c r="R316" s="96">
        <f>ROUND((Q316*L316)/1000, 2)</f>
        <v/>
      </c>
      <c r="S316" s="85">
        <f>IF($C$8&gt;0, R316/$C$8, 0)</f>
        <v/>
      </c>
      <c r="T316" s="85">
        <f>IF(O316&gt;0, Q316/O316, 0)</f>
        <v/>
      </c>
      <c r="U316" s="18">
        <f>IF(Q316=0, "Exceeds Limit", IF(P316&lt;=O316, "Weight Limited", "Volume Limited"))</f>
        <v/>
      </c>
      <c r="V316" s="100">
        <f>B316&amp;"|"&amp;D316&amp;"|"&amp;F316</f>
        <v/>
      </c>
    </row>
    <row r="317" ht="19" customHeight="1">
      <c r="A317" s="93" t="n">
        <v>307</v>
      </c>
      <c r="B317" s="94" t="inlineStr">
        <is>
          <t>Carbon Steel</t>
        </is>
      </c>
      <c r="C317" s="13" t="inlineStr">
        <is>
          <t>ASME B36.10M / B36.19M</t>
        </is>
      </c>
      <c r="D317" s="12" t="inlineStr">
        <is>
          <t>22''</t>
        </is>
      </c>
      <c r="E317" s="93" t="n">
        <v>550</v>
      </c>
      <c r="F317" s="12" t="inlineStr">
        <is>
          <t>5S</t>
        </is>
      </c>
      <c r="G317" s="14" t="n">
        <v>22</v>
      </c>
      <c r="H317" s="78" t="n">
        <v>558.8</v>
      </c>
      <c r="I317" s="14" t="n">
        <v>0.188</v>
      </c>
      <c r="J317" s="78" t="n">
        <v>4.78</v>
      </c>
      <c r="K317" s="14">
        <f>ROUND((H317-J317)*J317*IF(B317="Carbon Steel",$K$7,IF(B317="Stainless Steel 304",$K$8,$L$8)), 3)</f>
        <v/>
      </c>
      <c r="L317" s="78">
        <f>ROUND(K317*$G$5, 2)</f>
        <v/>
      </c>
      <c r="M317" s="93">
        <f>INT($G$6/H317)</f>
        <v/>
      </c>
      <c r="N317" s="93">
        <f>IF(M317=0, 0, IF(OR($K$6="Square Grid", M317=1), INT($G$7/H317), IF($G$7&lt;H317, 0, 1+INT(($G$7-H317)/(0.8660254*H317)))))</f>
        <v/>
      </c>
      <c r="O317" s="59">
        <f>IF(OR(M317=0,N317=0), 0, IF(OR($K$6="Square Grid", M317=1), M317*N317*$K$5, (INT((N317+1)/2)*M317 + INT(N317/2)*IF(($G$6-M317*H317)&gt;=0.5*H317, M317, M317-1))*$K$5))</f>
        <v/>
      </c>
      <c r="P317" s="59">
        <f>IF(L317&lt;=0, 0, INT($G$8/L317))</f>
        <v/>
      </c>
      <c r="Q317" s="95">
        <f>MIN(O317, P317)</f>
        <v/>
      </c>
      <c r="R317" s="96">
        <f>ROUND((Q317*L317)/1000, 2)</f>
        <v/>
      </c>
      <c r="S317" s="79">
        <f>IF($C$8&gt;0, R317/$C$8, 0)</f>
        <v/>
      </c>
      <c r="T317" s="79">
        <f>IF(O317&gt;0, Q317/O317, 0)</f>
        <v/>
      </c>
      <c r="U317" s="12">
        <f>IF(Q317=0, "Exceeds Limit", IF(P317&lt;=O317, "Weight Limited", "Volume Limited"))</f>
        <v/>
      </c>
      <c r="V317" s="97">
        <f>B317&amp;"|"&amp;D317&amp;"|"&amp;F317</f>
        <v/>
      </c>
    </row>
    <row r="318" ht="19" customHeight="1">
      <c r="A318" s="98" t="n">
        <v>308</v>
      </c>
      <c r="B318" s="99" t="inlineStr">
        <is>
          <t>Carbon Steel</t>
        </is>
      </c>
      <c r="C318" s="19" t="inlineStr">
        <is>
          <t>ASME B36.10M / B36.19M</t>
        </is>
      </c>
      <c r="D318" s="18" t="inlineStr">
        <is>
          <t>22''</t>
        </is>
      </c>
      <c r="E318" s="98" t="n">
        <v>550</v>
      </c>
      <c r="F318" s="18" t="inlineStr">
        <is>
          <t>5</t>
        </is>
      </c>
      <c r="G318" s="20" t="n">
        <v>22</v>
      </c>
      <c r="H318" s="82" t="n">
        <v>558.8</v>
      </c>
      <c r="I318" s="20" t="n">
        <v>0.188</v>
      </c>
      <c r="J318" s="82" t="n">
        <v>4.78</v>
      </c>
      <c r="K318" s="20">
        <f>ROUND((H318-J318)*J318*IF(B318="Carbon Steel",$K$7,IF(B318="Stainless Steel 304",$K$8,$L$8)), 3)</f>
        <v/>
      </c>
      <c r="L318" s="82">
        <f>ROUND(K318*$G$5, 2)</f>
        <v/>
      </c>
      <c r="M318" s="98">
        <f>INT($G$6/H318)</f>
        <v/>
      </c>
      <c r="N318" s="98">
        <f>IF(M318=0, 0, IF(OR($K$6="Square Grid", M318=1), INT($G$7/H318), IF($G$7&lt;H318, 0, 1+INT(($G$7-H318)/(0.8660254*H318)))))</f>
        <v/>
      </c>
      <c r="O318" s="84">
        <f>IF(OR(M318=0,N318=0), 0, IF(OR($K$6="Square Grid", M318=1), M318*N318*$K$5, (INT((N318+1)/2)*M318 + INT(N318/2)*IF(($G$6-M318*H318)&gt;=0.5*H318, M318, M318-1))*$K$5))</f>
        <v/>
      </c>
      <c r="P318" s="84">
        <f>IF(L318&lt;=0, 0, INT($G$8/L318))</f>
        <v/>
      </c>
      <c r="Q318" s="95">
        <f>MIN(O318, P318)</f>
        <v/>
      </c>
      <c r="R318" s="96">
        <f>ROUND((Q318*L318)/1000, 2)</f>
        <v/>
      </c>
      <c r="S318" s="85">
        <f>IF($C$8&gt;0, R318/$C$8, 0)</f>
        <v/>
      </c>
      <c r="T318" s="85">
        <f>IF(O318&gt;0, Q318/O318, 0)</f>
        <v/>
      </c>
      <c r="U318" s="18">
        <f>IF(Q318=0, "Exceeds Limit", IF(P318&lt;=O318, "Weight Limited", "Volume Limited"))</f>
        <v/>
      </c>
      <c r="V318" s="100">
        <f>B318&amp;"|"&amp;D318&amp;"|"&amp;F318</f>
        <v/>
      </c>
    </row>
    <row r="319" ht="19" customHeight="1">
      <c r="A319" s="93" t="n">
        <v>309</v>
      </c>
      <c r="B319" s="94" t="inlineStr">
        <is>
          <t>Carbon Steel</t>
        </is>
      </c>
      <c r="C319" s="13" t="inlineStr">
        <is>
          <t>ASME B36.10M / B36.19M</t>
        </is>
      </c>
      <c r="D319" s="12" t="inlineStr">
        <is>
          <t>22''</t>
        </is>
      </c>
      <c r="E319" s="93" t="n">
        <v>550</v>
      </c>
      <c r="F319" s="12" t="inlineStr">
        <is>
          <t>10S</t>
        </is>
      </c>
      <c r="G319" s="14" t="n">
        <v>22</v>
      </c>
      <c r="H319" s="78" t="n">
        <v>558.8</v>
      </c>
      <c r="I319" s="14" t="n">
        <v>0.218</v>
      </c>
      <c r="J319" s="78" t="n">
        <v>5.54</v>
      </c>
      <c r="K319" s="14">
        <f>ROUND((H319-J319)*J319*IF(B319="Carbon Steel",$K$7,IF(B319="Stainless Steel 304",$K$8,$L$8)), 3)</f>
        <v/>
      </c>
      <c r="L319" s="78">
        <f>ROUND(K319*$G$5, 2)</f>
        <v/>
      </c>
      <c r="M319" s="93">
        <f>INT($G$6/H319)</f>
        <v/>
      </c>
      <c r="N319" s="93">
        <f>IF(M319=0, 0, IF(OR($K$6="Square Grid", M319=1), INT($G$7/H319), IF($G$7&lt;H319, 0, 1+INT(($G$7-H319)/(0.8660254*H319)))))</f>
        <v/>
      </c>
      <c r="O319" s="59">
        <f>IF(OR(M319=0,N319=0), 0, IF(OR($K$6="Square Grid", M319=1), M319*N319*$K$5, (INT((N319+1)/2)*M319 + INT(N319/2)*IF(($G$6-M319*H319)&gt;=0.5*H319, M319, M319-1))*$K$5))</f>
        <v/>
      </c>
      <c r="P319" s="59">
        <f>IF(L319&lt;=0, 0, INT($G$8/L319))</f>
        <v/>
      </c>
      <c r="Q319" s="95">
        <f>MIN(O319, P319)</f>
        <v/>
      </c>
      <c r="R319" s="96">
        <f>ROUND((Q319*L319)/1000, 2)</f>
        <v/>
      </c>
      <c r="S319" s="79">
        <f>IF($C$8&gt;0, R319/$C$8, 0)</f>
        <v/>
      </c>
      <c r="T319" s="79">
        <f>IF(O319&gt;0, Q319/O319, 0)</f>
        <v/>
      </c>
      <c r="U319" s="12">
        <f>IF(Q319=0, "Exceeds Limit", IF(P319&lt;=O319, "Weight Limited", "Volume Limited"))</f>
        <v/>
      </c>
      <c r="V319" s="97">
        <f>B319&amp;"|"&amp;D319&amp;"|"&amp;F319</f>
        <v/>
      </c>
    </row>
    <row r="320" ht="19" customHeight="1">
      <c r="A320" s="98" t="n">
        <v>310</v>
      </c>
      <c r="B320" s="99" t="inlineStr">
        <is>
          <t>Carbon Steel</t>
        </is>
      </c>
      <c r="C320" s="19" t="inlineStr">
        <is>
          <t>ASME B36.10M / B36.19M</t>
        </is>
      </c>
      <c r="D320" s="18" t="inlineStr">
        <is>
          <t>22''</t>
        </is>
      </c>
      <c r="E320" s="98" t="n">
        <v>550</v>
      </c>
      <c r="F320" s="18" t="inlineStr">
        <is>
          <t>10</t>
        </is>
      </c>
      <c r="G320" s="20" t="n">
        <v>22</v>
      </c>
      <c r="H320" s="82" t="n">
        <v>558.8</v>
      </c>
      <c r="I320" s="20" t="n">
        <v>0.25</v>
      </c>
      <c r="J320" s="82" t="n">
        <v>6.35</v>
      </c>
      <c r="K320" s="20">
        <f>ROUND((H320-J320)*J320*IF(B320="Carbon Steel",$K$7,IF(B320="Stainless Steel 304",$K$8,$L$8)), 3)</f>
        <v/>
      </c>
      <c r="L320" s="82">
        <f>ROUND(K320*$G$5, 2)</f>
        <v/>
      </c>
      <c r="M320" s="98">
        <f>INT($G$6/H320)</f>
        <v/>
      </c>
      <c r="N320" s="98">
        <f>IF(M320=0, 0, IF(OR($K$6="Square Grid", M320=1), INT($G$7/H320), IF($G$7&lt;H320, 0, 1+INT(($G$7-H320)/(0.8660254*H320)))))</f>
        <v/>
      </c>
      <c r="O320" s="84">
        <f>IF(OR(M320=0,N320=0), 0, IF(OR($K$6="Square Grid", M320=1), M320*N320*$K$5, (INT((N320+1)/2)*M320 + INT(N320/2)*IF(($G$6-M320*H320)&gt;=0.5*H320, M320, M320-1))*$K$5))</f>
        <v/>
      </c>
      <c r="P320" s="84">
        <f>IF(L320&lt;=0, 0, INT($G$8/L320))</f>
        <v/>
      </c>
      <c r="Q320" s="95">
        <f>MIN(O320, P320)</f>
        <v/>
      </c>
      <c r="R320" s="96">
        <f>ROUND((Q320*L320)/1000, 2)</f>
        <v/>
      </c>
      <c r="S320" s="85">
        <f>IF($C$8&gt;0, R320/$C$8, 0)</f>
        <v/>
      </c>
      <c r="T320" s="85">
        <f>IF(O320&gt;0, Q320/O320, 0)</f>
        <v/>
      </c>
      <c r="U320" s="18">
        <f>IF(Q320=0, "Exceeds Limit", IF(P320&lt;=O320, "Weight Limited", "Volume Limited"))</f>
        <v/>
      </c>
      <c r="V320" s="100">
        <f>B320&amp;"|"&amp;D320&amp;"|"&amp;F320</f>
        <v/>
      </c>
    </row>
    <row r="321" ht="19" customHeight="1">
      <c r="A321" s="93" t="n">
        <v>311</v>
      </c>
      <c r="B321" s="94" t="inlineStr">
        <is>
          <t>Carbon Steel</t>
        </is>
      </c>
      <c r="C321" s="13" t="inlineStr">
        <is>
          <t>ASME B36.10M / B36.19M</t>
        </is>
      </c>
      <c r="D321" s="12" t="inlineStr">
        <is>
          <t>22''</t>
        </is>
      </c>
      <c r="E321" s="93" t="n">
        <v>550</v>
      </c>
      <c r="F321" s="12" t="inlineStr">
        <is>
          <t>20</t>
        </is>
      </c>
      <c r="G321" s="14" t="n">
        <v>22</v>
      </c>
      <c r="H321" s="78" t="n">
        <v>558.8</v>
      </c>
      <c r="I321" s="14" t="n">
        <v>0.375</v>
      </c>
      <c r="J321" s="78" t="n">
        <v>9.52</v>
      </c>
      <c r="K321" s="14">
        <f>ROUND((H321-J321)*J321*IF(B321="Carbon Steel",$K$7,IF(B321="Stainless Steel 304",$K$8,$L$8)), 3)</f>
        <v/>
      </c>
      <c r="L321" s="78">
        <f>ROUND(K321*$G$5, 2)</f>
        <v/>
      </c>
      <c r="M321" s="93">
        <f>INT($G$6/H321)</f>
        <v/>
      </c>
      <c r="N321" s="93">
        <f>IF(M321=0, 0, IF(OR($K$6="Square Grid", M321=1), INT($G$7/H321), IF($G$7&lt;H321, 0, 1+INT(($G$7-H321)/(0.8660254*H321)))))</f>
        <v/>
      </c>
      <c r="O321" s="59">
        <f>IF(OR(M321=0,N321=0), 0, IF(OR($K$6="Square Grid", M321=1), M321*N321*$K$5, (INT((N321+1)/2)*M321 + INT(N321/2)*IF(($G$6-M321*H321)&gt;=0.5*H321, M321, M321-1))*$K$5))</f>
        <v/>
      </c>
      <c r="P321" s="59">
        <f>IF(L321&lt;=0, 0, INT($G$8/L321))</f>
        <v/>
      </c>
      <c r="Q321" s="95">
        <f>MIN(O321, P321)</f>
        <v/>
      </c>
      <c r="R321" s="96">
        <f>ROUND((Q321*L321)/1000, 2)</f>
        <v/>
      </c>
      <c r="S321" s="79">
        <f>IF($C$8&gt;0, R321/$C$8, 0)</f>
        <v/>
      </c>
      <c r="T321" s="79">
        <f>IF(O321&gt;0, Q321/O321, 0)</f>
        <v/>
      </c>
      <c r="U321" s="12">
        <f>IF(Q321=0, "Exceeds Limit", IF(P321&lt;=O321, "Weight Limited", "Volume Limited"))</f>
        <v/>
      </c>
      <c r="V321" s="97">
        <f>B321&amp;"|"&amp;D321&amp;"|"&amp;F321</f>
        <v/>
      </c>
    </row>
    <row r="322" ht="19" customHeight="1">
      <c r="A322" s="98" t="n">
        <v>312</v>
      </c>
      <c r="B322" s="99" t="inlineStr">
        <is>
          <t>Carbon Steel</t>
        </is>
      </c>
      <c r="C322" s="19" t="inlineStr">
        <is>
          <t>ASME B36.10M / B36.19M</t>
        </is>
      </c>
      <c r="D322" s="18" t="inlineStr">
        <is>
          <t>22''</t>
        </is>
      </c>
      <c r="E322" s="98" t="n">
        <v>550</v>
      </c>
      <c r="F322" s="18" t="inlineStr">
        <is>
          <t>30</t>
        </is>
      </c>
      <c r="G322" s="20" t="n">
        <v>22</v>
      </c>
      <c r="H322" s="82" t="n">
        <v>558.8</v>
      </c>
      <c r="I322" s="20" t="n">
        <v>0.5</v>
      </c>
      <c r="J322" s="82" t="n">
        <v>12.7</v>
      </c>
      <c r="K322" s="20">
        <f>ROUND((H322-J322)*J322*IF(B322="Carbon Steel",$K$7,IF(B322="Stainless Steel 304",$K$8,$L$8)), 3)</f>
        <v/>
      </c>
      <c r="L322" s="82">
        <f>ROUND(K322*$G$5, 2)</f>
        <v/>
      </c>
      <c r="M322" s="98">
        <f>INT($G$6/H322)</f>
        <v/>
      </c>
      <c r="N322" s="98">
        <f>IF(M322=0, 0, IF(OR($K$6="Square Grid", M322=1), INT($G$7/H322), IF($G$7&lt;H322, 0, 1+INT(($G$7-H322)/(0.8660254*H322)))))</f>
        <v/>
      </c>
      <c r="O322" s="84">
        <f>IF(OR(M322=0,N322=0), 0, IF(OR($K$6="Square Grid", M322=1), M322*N322*$K$5, (INT((N322+1)/2)*M322 + INT(N322/2)*IF(($G$6-M322*H322)&gt;=0.5*H322, M322, M322-1))*$K$5))</f>
        <v/>
      </c>
      <c r="P322" s="84">
        <f>IF(L322&lt;=0, 0, INT($G$8/L322))</f>
        <v/>
      </c>
      <c r="Q322" s="95">
        <f>MIN(O322, P322)</f>
        <v/>
      </c>
      <c r="R322" s="96">
        <f>ROUND((Q322*L322)/1000, 2)</f>
        <v/>
      </c>
      <c r="S322" s="85">
        <f>IF($C$8&gt;0, R322/$C$8, 0)</f>
        <v/>
      </c>
      <c r="T322" s="85">
        <f>IF(O322&gt;0, Q322/O322, 0)</f>
        <v/>
      </c>
      <c r="U322" s="18">
        <f>IF(Q322=0, "Exceeds Limit", IF(P322&lt;=O322, "Weight Limited", "Volume Limited"))</f>
        <v/>
      </c>
      <c r="V322" s="100">
        <f>B322&amp;"|"&amp;D322&amp;"|"&amp;F322</f>
        <v/>
      </c>
    </row>
    <row r="323" ht="19" customHeight="1">
      <c r="A323" s="93" t="n">
        <v>313</v>
      </c>
      <c r="B323" s="94" t="inlineStr">
        <is>
          <t>Carbon Steel</t>
        </is>
      </c>
      <c r="C323" s="13" t="inlineStr">
        <is>
          <t>ASME B36.10M / B36.19M</t>
        </is>
      </c>
      <c r="D323" s="12" t="inlineStr">
        <is>
          <t>22''</t>
        </is>
      </c>
      <c r="E323" s="93" t="n">
        <v>550</v>
      </c>
      <c r="F323" s="12" t="inlineStr">
        <is>
          <t>40S</t>
        </is>
      </c>
      <c r="G323" s="14" t="n">
        <v>22</v>
      </c>
      <c r="H323" s="78" t="n">
        <v>558.8</v>
      </c>
      <c r="I323" s="14" t="n">
        <v>0.375</v>
      </c>
      <c r="J323" s="78" t="n">
        <v>9.52</v>
      </c>
      <c r="K323" s="14">
        <f>ROUND((H323-J323)*J323*IF(B323="Carbon Steel",$K$7,IF(B323="Stainless Steel 304",$K$8,$L$8)), 3)</f>
        <v/>
      </c>
      <c r="L323" s="78">
        <f>ROUND(K323*$G$5, 2)</f>
        <v/>
      </c>
      <c r="M323" s="93">
        <f>INT($G$6/H323)</f>
        <v/>
      </c>
      <c r="N323" s="93">
        <f>IF(M323=0, 0, IF(OR($K$6="Square Grid", M323=1), INT($G$7/H323), IF($G$7&lt;H323, 0, 1+INT(($G$7-H323)/(0.8660254*H323)))))</f>
        <v/>
      </c>
      <c r="O323" s="59">
        <f>IF(OR(M323=0,N323=0), 0, IF(OR($K$6="Square Grid", M323=1), M323*N323*$K$5, (INT((N323+1)/2)*M323 + INT(N323/2)*IF(($G$6-M323*H323)&gt;=0.5*H323, M323, M323-1))*$K$5))</f>
        <v/>
      </c>
      <c r="P323" s="59">
        <f>IF(L323&lt;=0, 0, INT($G$8/L323))</f>
        <v/>
      </c>
      <c r="Q323" s="95">
        <f>MIN(O323, P323)</f>
        <v/>
      </c>
      <c r="R323" s="96">
        <f>ROUND((Q323*L323)/1000, 2)</f>
        <v/>
      </c>
      <c r="S323" s="79">
        <f>IF($C$8&gt;0, R323/$C$8, 0)</f>
        <v/>
      </c>
      <c r="T323" s="79">
        <f>IF(O323&gt;0, Q323/O323, 0)</f>
        <v/>
      </c>
      <c r="U323" s="12">
        <f>IF(Q323=0, "Exceeds Limit", IF(P323&lt;=O323, "Weight Limited", "Volume Limited"))</f>
        <v/>
      </c>
      <c r="V323" s="97">
        <f>B323&amp;"|"&amp;D323&amp;"|"&amp;F323</f>
        <v/>
      </c>
    </row>
    <row r="324" ht="19" customHeight="1">
      <c r="A324" s="98" t="n">
        <v>314</v>
      </c>
      <c r="B324" s="99" t="inlineStr">
        <is>
          <t>Carbon Steel</t>
        </is>
      </c>
      <c r="C324" s="19" t="inlineStr">
        <is>
          <t>ASME B36.10M / B36.19M</t>
        </is>
      </c>
      <c r="D324" s="18" t="inlineStr">
        <is>
          <t>22''</t>
        </is>
      </c>
      <c r="E324" s="98" t="n">
        <v>550</v>
      </c>
      <c r="F324" s="18" t="inlineStr">
        <is>
          <t>STD</t>
        </is>
      </c>
      <c r="G324" s="20" t="n">
        <v>22</v>
      </c>
      <c r="H324" s="82" t="n">
        <v>558.8</v>
      </c>
      <c r="I324" s="20" t="n">
        <v>0.375</v>
      </c>
      <c r="J324" s="82" t="n">
        <v>9.52</v>
      </c>
      <c r="K324" s="20">
        <f>ROUND((H324-J324)*J324*IF(B324="Carbon Steel",$K$7,IF(B324="Stainless Steel 304",$K$8,$L$8)), 3)</f>
        <v/>
      </c>
      <c r="L324" s="82">
        <f>ROUND(K324*$G$5, 2)</f>
        <v/>
      </c>
      <c r="M324" s="98">
        <f>INT($G$6/H324)</f>
        <v/>
      </c>
      <c r="N324" s="98">
        <f>IF(M324=0, 0, IF(OR($K$6="Square Grid", M324=1), INT($G$7/H324), IF($G$7&lt;H324, 0, 1+INT(($G$7-H324)/(0.8660254*H324)))))</f>
        <v/>
      </c>
      <c r="O324" s="84">
        <f>IF(OR(M324=0,N324=0), 0, IF(OR($K$6="Square Grid", M324=1), M324*N324*$K$5, (INT((N324+1)/2)*M324 + INT(N324/2)*IF(($G$6-M324*H324)&gt;=0.5*H324, M324, M324-1))*$K$5))</f>
        <v/>
      </c>
      <c r="P324" s="84">
        <f>IF(L324&lt;=0, 0, INT($G$8/L324))</f>
        <v/>
      </c>
      <c r="Q324" s="95">
        <f>MIN(O324, P324)</f>
        <v/>
      </c>
      <c r="R324" s="96">
        <f>ROUND((Q324*L324)/1000, 2)</f>
        <v/>
      </c>
      <c r="S324" s="85">
        <f>IF($C$8&gt;0, R324/$C$8, 0)</f>
        <v/>
      </c>
      <c r="T324" s="85">
        <f>IF(O324&gt;0, Q324/O324, 0)</f>
        <v/>
      </c>
      <c r="U324" s="18">
        <f>IF(Q324=0, "Exceeds Limit", IF(P324&lt;=O324, "Weight Limited", "Volume Limited"))</f>
        <v/>
      </c>
      <c r="V324" s="100">
        <f>B324&amp;"|"&amp;D324&amp;"|"&amp;F324</f>
        <v/>
      </c>
    </row>
    <row r="325" ht="19" customHeight="1">
      <c r="A325" s="93" t="n">
        <v>315</v>
      </c>
      <c r="B325" s="94" t="inlineStr">
        <is>
          <t>Carbon Steel</t>
        </is>
      </c>
      <c r="C325" s="13" t="inlineStr">
        <is>
          <t>ASME B36.10M / B36.19M</t>
        </is>
      </c>
      <c r="D325" s="12" t="inlineStr">
        <is>
          <t>22''</t>
        </is>
      </c>
      <c r="E325" s="93" t="n">
        <v>550</v>
      </c>
      <c r="F325" s="12" t="inlineStr">
        <is>
          <t>60</t>
        </is>
      </c>
      <c r="G325" s="14" t="n">
        <v>22</v>
      </c>
      <c r="H325" s="78" t="n">
        <v>558.8</v>
      </c>
      <c r="I325" s="14" t="n">
        <v>0.875</v>
      </c>
      <c r="J325" s="78" t="n">
        <v>22.22</v>
      </c>
      <c r="K325" s="14">
        <f>ROUND((H325-J325)*J325*IF(B325="Carbon Steel",$K$7,IF(B325="Stainless Steel 304",$K$8,$L$8)), 3)</f>
        <v/>
      </c>
      <c r="L325" s="78">
        <f>ROUND(K325*$G$5, 2)</f>
        <v/>
      </c>
      <c r="M325" s="93">
        <f>INT($G$6/H325)</f>
        <v/>
      </c>
      <c r="N325" s="93">
        <f>IF(M325=0, 0, IF(OR($K$6="Square Grid", M325=1), INT($G$7/H325), IF($G$7&lt;H325, 0, 1+INT(($G$7-H325)/(0.8660254*H325)))))</f>
        <v/>
      </c>
      <c r="O325" s="59">
        <f>IF(OR(M325=0,N325=0), 0, IF(OR($K$6="Square Grid", M325=1), M325*N325*$K$5, (INT((N325+1)/2)*M325 + INT(N325/2)*IF(($G$6-M325*H325)&gt;=0.5*H325, M325, M325-1))*$K$5))</f>
        <v/>
      </c>
      <c r="P325" s="59">
        <f>IF(L325&lt;=0, 0, INT($G$8/L325))</f>
        <v/>
      </c>
      <c r="Q325" s="95">
        <f>MIN(O325, P325)</f>
        <v/>
      </c>
      <c r="R325" s="96">
        <f>ROUND((Q325*L325)/1000, 2)</f>
        <v/>
      </c>
      <c r="S325" s="79">
        <f>IF($C$8&gt;0, R325/$C$8, 0)</f>
        <v/>
      </c>
      <c r="T325" s="79">
        <f>IF(O325&gt;0, Q325/O325, 0)</f>
        <v/>
      </c>
      <c r="U325" s="12">
        <f>IF(Q325=0, "Exceeds Limit", IF(P325&lt;=O325, "Weight Limited", "Volume Limited"))</f>
        <v/>
      </c>
      <c r="V325" s="97">
        <f>B325&amp;"|"&amp;D325&amp;"|"&amp;F325</f>
        <v/>
      </c>
    </row>
    <row r="326" ht="19" customHeight="1">
      <c r="A326" s="98" t="n">
        <v>316</v>
      </c>
      <c r="B326" s="99" t="inlineStr">
        <is>
          <t>Carbon Steel</t>
        </is>
      </c>
      <c r="C326" s="19" t="inlineStr">
        <is>
          <t>ASME B36.10M / B36.19M</t>
        </is>
      </c>
      <c r="D326" s="18" t="inlineStr">
        <is>
          <t>22''</t>
        </is>
      </c>
      <c r="E326" s="98" t="n">
        <v>550</v>
      </c>
      <c r="F326" s="18" t="inlineStr">
        <is>
          <t>80S</t>
        </is>
      </c>
      <c r="G326" s="20" t="n">
        <v>22</v>
      </c>
      <c r="H326" s="82" t="n">
        <v>558.8</v>
      </c>
      <c r="I326" s="20" t="n">
        <v>0.5</v>
      </c>
      <c r="J326" s="82" t="n">
        <v>12.7</v>
      </c>
      <c r="K326" s="20">
        <f>ROUND((H326-J326)*J326*IF(B326="Carbon Steel",$K$7,IF(B326="Stainless Steel 304",$K$8,$L$8)), 3)</f>
        <v/>
      </c>
      <c r="L326" s="82">
        <f>ROUND(K326*$G$5, 2)</f>
        <v/>
      </c>
      <c r="M326" s="98">
        <f>INT($G$6/H326)</f>
        <v/>
      </c>
      <c r="N326" s="98">
        <f>IF(M326=0, 0, IF(OR($K$6="Square Grid", M326=1), INT($G$7/H326), IF($G$7&lt;H326, 0, 1+INT(($G$7-H326)/(0.8660254*H326)))))</f>
        <v/>
      </c>
      <c r="O326" s="84">
        <f>IF(OR(M326=0,N326=0), 0, IF(OR($K$6="Square Grid", M326=1), M326*N326*$K$5, (INT((N326+1)/2)*M326 + INT(N326/2)*IF(($G$6-M326*H326)&gt;=0.5*H326, M326, M326-1))*$K$5))</f>
        <v/>
      </c>
      <c r="P326" s="84">
        <f>IF(L326&lt;=0, 0, INT($G$8/L326))</f>
        <v/>
      </c>
      <c r="Q326" s="95">
        <f>MIN(O326, P326)</f>
        <v/>
      </c>
      <c r="R326" s="96">
        <f>ROUND((Q326*L326)/1000, 2)</f>
        <v/>
      </c>
      <c r="S326" s="85">
        <f>IF($C$8&gt;0, R326/$C$8, 0)</f>
        <v/>
      </c>
      <c r="T326" s="85">
        <f>IF(O326&gt;0, Q326/O326, 0)</f>
        <v/>
      </c>
      <c r="U326" s="18">
        <f>IF(Q326=0, "Exceeds Limit", IF(P326&lt;=O326, "Weight Limited", "Volume Limited"))</f>
        <v/>
      </c>
      <c r="V326" s="100">
        <f>B326&amp;"|"&amp;D326&amp;"|"&amp;F326</f>
        <v/>
      </c>
    </row>
    <row r="327" ht="19" customHeight="1">
      <c r="A327" s="93" t="n">
        <v>317</v>
      </c>
      <c r="B327" s="94" t="inlineStr">
        <is>
          <t>Carbon Steel</t>
        </is>
      </c>
      <c r="C327" s="13" t="inlineStr">
        <is>
          <t>ASME B36.10M / B36.19M</t>
        </is>
      </c>
      <c r="D327" s="12" t="inlineStr">
        <is>
          <t>22''</t>
        </is>
      </c>
      <c r="E327" s="93" t="n">
        <v>550</v>
      </c>
      <c r="F327" s="12" t="inlineStr">
        <is>
          <t>XS</t>
        </is>
      </c>
      <c r="G327" s="14" t="n">
        <v>22</v>
      </c>
      <c r="H327" s="78" t="n">
        <v>558.8</v>
      </c>
      <c r="I327" s="14" t="n">
        <v>0.5</v>
      </c>
      <c r="J327" s="78" t="n">
        <v>12.7</v>
      </c>
      <c r="K327" s="14">
        <f>ROUND((H327-J327)*J327*IF(B327="Carbon Steel",$K$7,IF(B327="Stainless Steel 304",$K$8,$L$8)), 3)</f>
        <v/>
      </c>
      <c r="L327" s="78">
        <f>ROUND(K327*$G$5, 2)</f>
        <v/>
      </c>
      <c r="M327" s="93">
        <f>INT($G$6/H327)</f>
        <v/>
      </c>
      <c r="N327" s="93">
        <f>IF(M327=0, 0, IF(OR($K$6="Square Grid", M327=1), INT($G$7/H327), IF($G$7&lt;H327, 0, 1+INT(($G$7-H327)/(0.8660254*H327)))))</f>
        <v/>
      </c>
      <c r="O327" s="59">
        <f>IF(OR(M327=0,N327=0), 0, IF(OR($K$6="Square Grid", M327=1), M327*N327*$K$5, (INT((N327+1)/2)*M327 + INT(N327/2)*IF(($G$6-M327*H327)&gt;=0.5*H327, M327, M327-1))*$K$5))</f>
        <v/>
      </c>
      <c r="P327" s="59">
        <f>IF(L327&lt;=0, 0, INT($G$8/L327))</f>
        <v/>
      </c>
      <c r="Q327" s="95">
        <f>MIN(O327, P327)</f>
        <v/>
      </c>
      <c r="R327" s="96">
        <f>ROUND((Q327*L327)/1000, 2)</f>
        <v/>
      </c>
      <c r="S327" s="79">
        <f>IF($C$8&gt;0, R327/$C$8, 0)</f>
        <v/>
      </c>
      <c r="T327" s="79">
        <f>IF(O327&gt;0, Q327/O327, 0)</f>
        <v/>
      </c>
      <c r="U327" s="12">
        <f>IF(Q327=0, "Exceeds Limit", IF(P327&lt;=O327, "Weight Limited", "Volume Limited"))</f>
        <v/>
      </c>
      <c r="V327" s="97">
        <f>B327&amp;"|"&amp;D327&amp;"|"&amp;F327</f>
        <v/>
      </c>
    </row>
    <row r="328" ht="19" customHeight="1">
      <c r="A328" s="98" t="n">
        <v>318</v>
      </c>
      <c r="B328" s="99" t="inlineStr">
        <is>
          <t>Carbon Steel</t>
        </is>
      </c>
      <c r="C328" s="19" t="inlineStr">
        <is>
          <t>ASME B36.10M / B36.19M</t>
        </is>
      </c>
      <c r="D328" s="18" t="inlineStr">
        <is>
          <t>22''</t>
        </is>
      </c>
      <c r="E328" s="98" t="n">
        <v>550</v>
      </c>
      <c r="F328" s="18" t="inlineStr">
        <is>
          <t>80</t>
        </is>
      </c>
      <c r="G328" s="20" t="n">
        <v>22</v>
      </c>
      <c r="H328" s="82" t="n">
        <v>558.8</v>
      </c>
      <c r="I328" s="20" t="n">
        <v>1.125</v>
      </c>
      <c r="J328" s="82" t="n">
        <v>28.57</v>
      </c>
      <c r="K328" s="20">
        <f>ROUND((H328-J328)*J328*IF(B328="Carbon Steel",$K$7,IF(B328="Stainless Steel 304",$K$8,$L$8)), 3)</f>
        <v/>
      </c>
      <c r="L328" s="82">
        <f>ROUND(K328*$G$5, 2)</f>
        <v/>
      </c>
      <c r="M328" s="98">
        <f>INT($G$6/H328)</f>
        <v/>
      </c>
      <c r="N328" s="98">
        <f>IF(M328=0, 0, IF(OR($K$6="Square Grid", M328=1), INT($G$7/H328), IF($G$7&lt;H328, 0, 1+INT(($G$7-H328)/(0.8660254*H328)))))</f>
        <v/>
      </c>
      <c r="O328" s="84">
        <f>IF(OR(M328=0,N328=0), 0, IF(OR($K$6="Square Grid", M328=1), M328*N328*$K$5, (INT((N328+1)/2)*M328 + INT(N328/2)*IF(($G$6-M328*H328)&gt;=0.5*H328, M328, M328-1))*$K$5))</f>
        <v/>
      </c>
      <c r="P328" s="84">
        <f>IF(L328&lt;=0, 0, INT($G$8/L328))</f>
        <v/>
      </c>
      <c r="Q328" s="95">
        <f>MIN(O328, P328)</f>
        <v/>
      </c>
      <c r="R328" s="96">
        <f>ROUND((Q328*L328)/1000, 2)</f>
        <v/>
      </c>
      <c r="S328" s="85">
        <f>IF($C$8&gt;0, R328/$C$8, 0)</f>
        <v/>
      </c>
      <c r="T328" s="85">
        <f>IF(O328&gt;0, Q328/O328, 0)</f>
        <v/>
      </c>
      <c r="U328" s="18">
        <f>IF(Q328=0, "Exceeds Limit", IF(P328&lt;=O328, "Weight Limited", "Volume Limited"))</f>
        <v/>
      </c>
      <c r="V328" s="100">
        <f>B328&amp;"|"&amp;D328&amp;"|"&amp;F328</f>
        <v/>
      </c>
    </row>
    <row r="329" ht="19" customHeight="1">
      <c r="A329" s="93" t="n">
        <v>319</v>
      </c>
      <c r="B329" s="94" t="inlineStr">
        <is>
          <t>Carbon Steel</t>
        </is>
      </c>
      <c r="C329" s="13" t="inlineStr">
        <is>
          <t>ASME B36.10M / B36.19M</t>
        </is>
      </c>
      <c r="D329" s="12" t="inlineStr">
        <is>
          <t>22''</t>
        </is>
      </c>
      <c r="E329" s="93" t="n">
        <v>550</v>
      </c>
      <c r="F329" s="12" t="inlineStr">
        <is>
          <t>100</t>
        </is>
      </c>
      <c r="G329" s="14" t="n">
        <v>22</v>
      </c>
      <c r="H329" s="78" t="n">
        <v>558.8</v>
      </c>
      <c r="I329" s="14" t="n">
        <v>1.375</v>
      </c>
      <c r="J329" s="78" t="n">
        <v>34.92</v>
      </c>
      <c r="K329" s="14">
        <f>ROUND((H329-J329)*J329*IF(B329="Carbon Steel",$K$7,IF(B329="Stainless Steel 304",$K$8,$L$8)), 3)</f>
        <v/>
      </c>
      <c r="L329" s="78">
        <f>ROUND(K329*$G$5, 2)</f>
        <v/>
      </c>
      <c r="M329" s="93">
        <f>INT($G$6/H329)</f>
        <v/>
      </c>
      <c r="N329" s="93">
        <f>IF(M329=0, 0, IF(OR($K$6="Square Grid", M329=1), INT($G$7/H329), IF($G$7&lt;H329, 0, 1+INT(($G$7-H329)/(0.8660254*H329)))))</f>
        <v/>
      </c>
      <c r="O329" s="59">
        <f>IF(OR(M329=0,N329=0), 0, IF(OR($K$6="Square Grid", M329=1), M329*N329*$K$5, (INT((N329+1)/2)*M329 + INT(N329/2)*IF(($G$6-M329*H329)&gt;=0.5*H329, M329, M329-1))*$K$5))</f>
        <v/>
      </c>
      <c r="P329" s="59">
        <f>IF(L329&lt;=0, 0, INT($G$8/L329))</f>
        <v/>
      </c>
      <c r="Q329" s="95">
        <f>MIN(O329, P329)</f>
        <v/>
      </c>
      <c r="R329" s="96">
        <f>ROUND((Q329*L329)/1000, 2)</f>
        <v/>
      </c>
      <c r="S329" s="79">
        <f>IF($C$8&gt;0, R329/$C$8, 0)</f>
        <v/>
      </c>
      <c r="T329" s="79">
        <f>IF(O329&gt;0, Q329/O329, 0)</f>
        <v/>
      </c>
      <c r="U329" s="12">
        <f>IF(Q329=0, "Exceeds Limit", IF(P329&lt;=O329, "Weight Limited", "Volume Limited"))</f>
        <v/>
      </c>
      <c r="V329" s="97">
        <f>B329&amp;"|"&amp;D329&amp;"|"&amp;F329</f>
        <v/>
      </c>
    </row>
    <row r="330" ht="19" customHeight="1">
      <c r="A330" s="98" t="n">
        <v>320</v>
      </c>
      <c r="B330" s="99" t="inlineStr">
        <is>
          <t>Carbon Steel</t>
        </is>
      </c>
      <c r="C330" s="19" t="inlineStr">
        <is>
          <t>ASME B36.10M / B36.19M</t>
        </is>
      </c>
      <c r="D330" s="18" t="inlineStr">
        <is>
          <t>22''</t>
        </is>
      </c>
      <c r="E330" s="98" t="n">
        <v>550</v>
      </c>
      <c r="F330" s="18" t="inlineStr">
        <is>
          <t>120</t>
        </is>
      </c>
      <c r="G330" s="20" t="n">
        <v>22</v>
      </c>
      <c r="H330" s="82" t="n">
        <v>558.8</v>
      </c>
      <c r="I330" s="20" t="n">
        <v>1.625</v>
      </c>
      <c r="J330" s="82" t="n">
        <v>41.27</v>
      </c>
      <c r="K330" s="20">
        <f>ROUND((H330-J330)*J330*IF(B330="Carbon Steel",$K$7,IF(B330="Stainless Steel 304",$K$8,$L$8)), 3)</f>
        <v/>
      </c>
      <c r="L330" s="82">
        <f>ROUND(K330*$G$5, 2)</f>
        <v/>
      </c>
      <c r="M330" s="98">
        <f>INT($G$6/H330)</f>
        <v/>
      </c>
      <c r="N330" s="98">
        <f>IF(M330=0, 0, IF(OR($K$6="Square Grid", M330=1), INT($G$7/H330), IF($G$7&lt;H330, 0, 1+INT(($G$7-H330)/(0.8660254*H330)))))</f>
        <v/>
      </c>
      <c r="O330" s="84">
        <f>IF(OR(M330=0,N330=0), 0, IF(OR($K$6="Square Grid", M330=1), M330*N330*$K$5, (INT((N330+1)/2)*M330 + INT(N330/2)*IF(($G$6-M330*H330)&gt;=0.5*H330, M330, M330-1))*$K$5))</f>
        <v/>
      </c>
      <c r="P330" s="84">
        <f>IF(L330&lt;=0, 0, INT($G$8/L330))</f>
        <v/>
      </c>
      <c r="Q330" s="95">
        <f>MIN(O330, P330)</f>
        <v/>
      </c>
      <c r="R330" s="96">
        <f>ROUND((Q330*L330)/1000, 2)</f>
        <v/>
      </c>
      <c r="S330" s="85">
        <f>IF($C$8&gt;0, R330/$C$8, 0)</f>
        <v/>
      </c>
      <c r="T330" s="85">
        <f>IF(O330&gt;0, Q330/O330, 0)</f>
        <v/>
      </c>
      <c r="U330" s="18">
        <f>IF(Q330=0, "Exceeds Limit", IF(P330&lt;=O330, "Weight Limited", "Volume Limited"))</f>
        <v/>
      </c>
      <c r="V330" s="100">
        <f>B330&amp;"|"&amp;D330&amp;"|"&amp;F330</f>
        <v/>
      </c>
    </row>
    <row r="331" ht="19" customHeight="1">
      <c r="A331" s="93" t="n">
        <v>321</v>
      </c>
      <c r="B331" s="94" t="inlineStr">
        <is>
          <t>Carbon Steel</t>
        </is>
      </c>
      <c r="C331" s="13" t="inlineStr">
        <is>
          <t>ASME B36.10M / B36.19M</t>
        </is>
      </c>
      <c r="D331" s="12" t="inlineStr">
        <is>
          <t>22''</t>
        </is>
      </c>
      <c r="E331" s="93" t="n">
        <v>550</v>
      </c>
      <c r="F331" s="12" t="inlineStr">
        <is>
          <t>140</t>
        </is>
      </c>
      <c r="G331" s="14" t="n">
        <v>22</v>
      </c>
      <c r="H331" s="78" t="n">
        <v>558.8</v>
      </c>
      <c r="I331" s="14" t="n">
        <v>1.875</v>
      </c>
      <c r="J331" s="78" t="n">
        <v>47.62</v>
      </c>
      <c r="K331" s="14">
        <f>ROUND((H331-J331)*J331*IF(B331="Carbon Steel",$K$7,IF(B331="Stainless Steel 304",$K$8,$L$8)), 3)</f>
        <v/>
      </c>
      <c r="L331" s="78">
        <f>ROUND(K331*$G$5, 2)</f>
        <v/>
      </c>
      <c r="M331" s="93">
        <f>INT($G$6/H331)</f>
        <v/>
      </c>
      <c r="N331" s="93">
        <f>IF(M331=0, 0, IF(OR($K$6="Square Grid", M331=1), INT($G$7/H331), IF($G$7&lt;H331, 0, 1+INT(($G$7-H331)/(0.8660254*H331)))))</f>
        <v/>
      </c>
      <c r="O331" s="59">
        <f>IF(OR(M331=0,N331=0), 0, IF(OR($K$6="Square Grid", M331=1), M331*N331*$K$5, (INT((N331+1)/2)*M331 + INT(N331/2)*IF(($G$6-M331*H331)&gt;=0.5*H331, M331, M331-1))*$K$5))</f>
        <v/>
      </c>
      <c r="P331" s="59">
        <f>IF(L331&lt;=0, 0, INT($G$8/L331))</f>
        <v/>
      </c>
      <c r="Q331" s="95">
        <f>MIN(O331, P331)</f>
        <v/>
      </c>
      <c r="R331" s="96">
        <f>ROUND((Q331*L331)/1000, 2)</f>
        <v/>
      </c>
      <c r="S331" s="79">
        <f>IF($C$8&gt;0, R331/$C$8, 0)</f>
        <v/>
      </c>
      <c r="T331" s="79">
        <f>IF(O331&gt;0, Q331/O331, 0)</f>
        <v/>
      </c>
      <c r="U331" s="12">
        <f>IF(Q331=0, "Exceeds Limit", IF(P331&lt;=O331, "Weight Limited", "Volume Limited"))</f>
        <v/>
      </c>
      <c r="V331" s="97">
        <f>B331&amp;"|"&amp;D331&amp;"|"&amp;F331</f>
        <v/>
      </c>
    </row>
    <row r="332" ht="19" customHeight="1">
      <c r="A332" s="98" t="n">
        <v>322</v>
      </c>
      <c r="B332" s="99" t="inlineStr">
        <is>
          <t>Carbon Steel</t>
        </is>
      </c>
      <c r="C332" s="19" t="inlineStr">
        <is>
          <t>ASME B36.10M / B36.19M</t>
        </is>
      </c>
      <c r="D332" s="18" t="inlineStr">
        <is>
          <t>22''</t>
        </is>
      </c>
      <c r="E332" s="98" t="n">
        <v>550</v>
      </c>
      <c r="F332" s="18" t="inlineStr">
        <is>
          <t>160</t>
        </is>
      </c>
      <c r="G332" s="20" t="n">
        <v>22</v>
      </c>
      <c r="H332" s="82" t="n">
        <v>558.8</v>
      </c>
      <c r="I332" s="20" t="n">
        <v>2.125</v>
      </c>
      <c r="J332" s="82" t="n">
        <v>53.97</v>
      </c>
      <c r="K332" s="20">
        <f>ROUND((H332-J332)*J332*IF(B332="Carbon Steel",$K$7,IF(B332="Stainless Steel 304",$K$8,$L$8)), 3)</f>
        <v/>
      </c>
      <c r="L332" s="82">
        <f>ROUND(K332*$G$5, 2)</f>
        <v/>
      </c>
      <c r="M332" s="98">
        <f>INT($G$6/H332)</f>
        <v/>
      </c>
      <c r="N332" s="98">
        <f>IF(M332=0, 0, IF(OR($K$6="Square Grid", M332=1), INT($G$7/H332), IF($G$7&lt;H332, 0, 1+INT(($G$7-H332)/(0.8660254*H332)))))</f>
        <v/>
      </c>
      <c r="O332" s="84">
        <f>IF(OR(M332=0,N332=0), 0, IF(OR($K$6="Square Grid", M332=1), M332*N332*$K$5, (INT((N332+1)/2)*M332 + INT(N332/2)*IF(($G$6-M332*H332)&gt;=0.5*H332, M332, M332-1))*$K$5))</f>
        <v/>
      </c>
      <c r="P332" s="84">
        <f>IF(L332&lt;=0, 0, INT($G$8/L332))</f>
        <v/>
      </c>
      <c r="Q332" s="95">
        <f>MIN(O332, P332)</f>
        <v/>
      </c>
      <c r="R332" s="96">
        <f>ROUND((Q332*L332)/1000, 2)</f>
        <v/>
      </c>
      <c r="S332" s="85">
        <f>IF($C$8&gt;0, R332/$C$8, 0)</f>
        <v/>
      </c>
      <c r="T332" s="85">
        <f>IF(O332&gt;0, Q332/O332, 0)</f>
        <v/>
      </c>
      <c r="U332" s="18">
        <f>IF(Q332=0, "Exceeds Limit", IF(P332&lt;=O332, "Weight Limited", "Volume Limited"))</f>
        <v/>
      </c>
      <c r="V332" s="100">
        <f>B332&amp;"|"&amp;D332&amp;"|"&amp;F332</f>
        <v/>
      </c>
    </row>
    <row r="333" ht="19" customHeight="1">
      <c r="A333" s="93" t="n">
        <v>323</v>
      </c>
      <c r="B333" s="94" t="inlineStr">
        <is>
          <t>Carbon Steel</t>
        </is>
      </c>
      <c r="C333" s="13" t="inlineStr">
        <is>
          <t>ASME B36.10M / B36.19M</t>
        </is>
      </c>
      <c r="D333" s="12" t="inlineStr">
        <is>
          <t>24''</t>
        </is>
      </c>
      <c r="E333" s="93" t="n">
        <v>600</v>
      </c>
      <c r="F333" s="12" t="inlineStr">
        <is>
          <t>5S</t>
        </is>
      </c>
      <c r="G333" s="14" t="n">
        <v>24</v>
      </c>
      <c r="H333" s="78" t="n">
        <v>609.6</v>
      </c>
      <c r="I333" s="14" t="n">
        <v>0.218</v>
      </c>
      <c r="J333" s="78" t="n">
        <v>5.54</v>
      </c>
      <c r="K333" s="14">
        <f>ROUND((H333-J333)*J333*IF(B333="Carbon Steel",$K$7,IF(B333="Stainless Steel 304",$K$8,$L$8)), 3)</f>
        <v/>
      </c>
      <c r="L333" s="78">
        <f>ROUND(K333*$G$5, 2)</f>
        <v/>
      </c>
      <c r="M333" s="93">
        <f>INT($G$6/H333)</f>
        <v/>
      </c>
      <c r="N333" s="93">
        <f>IF(M333=0, 0, IF(OR($K$6="Square Grid", M333=1), INT($G$7/H333), IF($G$7&lt;H333, 0, 1+INT(($G$7-H333)/(0.8660254*H333)))))</f>
        <v/>
      </c>
      <c r="O333" s="59">
        <f>IF(OR(M333=0,N333=0), 0, IF(OR($K$6="Square Grid", M333=1), M333*N333*$K$5, (INT((N333+1)/2)*M333 + INT(N333/2)*IF(($G$6-M333*H333)&gt;=0.5*H333, M333, M333-1))*$K$5))</f>
        <v/>
      </c>
      <c r="P333" s="59">
        <f>IF(L333&lt;=0, 0, INT($G$8/L333))</f>
        <v/>
      </c>
      <c r="Q333" s="95">
        <f>MIN(O333, P333)</f>
        <v/>
      </c>
      <c r="R333" s="96">
        <f>ROUND((Q333*L333)/1000, 2)</f>
        <v/>
      </c>
      <c r="S333" s="79">
        <f>IF($C$8&gt;0, R333/$C$8, 0)</f>
        <v/>
      </c>
      <c r="T333" s="79">
        <f>IF(O333&gt;0, Q333/O333, 0)</f>
        <v/>
      </c>
      <c r="U333" s="12">
        <f>IF(Q333=0, "Exceeds Limit", IF(P333&lt;=O333, "Weight Limited", "Volume Limited"))</f>
        <v/>
      </c>
      <c r="V333" s="97">
        <f>B333&amp;"|"&amp;D333&amp;"|"&amp;F333</f>
        <v/>
      </c>
    </row>
    <row r="334" ht="19" customHeight="1">
      <c r="A334" s="98" t="n">
        <v>324</v>
      </c>
      <c r="B334" s="99" t="inlineStr">
        <is>
          <t>Carbon Steel</t>
        </is>
      </c>
      <c r="C334" s="19" t="inlineStr">
        <is>
          <t>ASME B36.10M / B36.19M</t>
        </is>
      </c>
      <c r="D334" s="18" t="inlineStr">
        <is>
          <t>24''</t>
        </is>
      </c>
      <c r="E334" s="98" t="n">
        <v>600</v>
      </c>
      <c r="F334" s="18" t="inlineStr">
        <is>
          <t>5</t>
        </is>
      </c>
      <c r="G334" s="20" t="n">
        <v>24</v>
      </c>
      <c r="H334" s="82" t="n">
        <v>609.6</v>
      </c>
      <c r="I334" s="20" t="n">
        <v>0.218</v>
      </c>
      <c r="J334" s="82" t="n">
        <v>5.54</v>
      </c>
      <c r="K334" s="20">
        <f>ROUND((H334-J334)*J334*IF(B334="Carbon Steel",$K$7,IF(B334="Stainless Steel 304",$K$8,$L$8)), 3)</f>
        <v/>
      </c>
      <c r="L334" s="82">
        <f>ROUND(K334*$G$5, 2)</f>
        <v/>
      </c>
      <c r="M334" s="98">
        <f>INT($G$6/H334)</f>
        <v/>
      </c>
      <c r="N334" s="98">
        <f>IF(M334=0, 0, IF(OR($K$6="Square Grid", M334=1), INT($G$7/H334), IF($G$7&lt;H334, 0, 1+INT(($G$7-H334)/(0.8660254*H334)))))</f>
        <v/>
      </c>
      <c r="O334" s="84">
        <f>IF(OR(M334=0,N334=0), 0, IF(OR($K$6="Square Grid", M334=1), M334*N334*$K$5, (INT((N334+1)/2)*M334 + INT(N334/2)*IF(($G$6-M334*H334)&gt;=0.5*H334, M334, M334-1))*$K$5))</f>
        <v/>
      </c>
      <c r="P334" s="84">
        <f>IF(L334&lt;=0, 0, INT($G$8/L334))</f>
        <v/>
      </c>
      <c r="Q334" s="95">
        <f>MIN(O334, P334)</f>
        <v/>
      </c>
      <c r="R334" s="96">
        <f>ROUND((Q334*L334)/1000, 2)</f>
        <v/>
      </c>
      <c r="S334" s="85">
        <f>IF($C$8&gt;0, R334/$C$8, 0)</f>
        <v/>
      </c>
      <c r="T334" s="85">
        <f>IF(O334&gt;0, Q334/O334, 0)</f>
        <v/>
      </c>
      <c r="U334" s="18">
        <f>IF(Q334=0, "Exceeds Limit", IF(P334&lt;=O334, "Weight Limited", "Volume Limited"))</f>
        <v/>
      </c>
      <c r="V334" s="100">
        <f>B334&amp;"|"&amp;D334&amp;"|"&amp;F334</f>
        <v/>
      </c>
    </row>
    <row r="335" ht="19" customHeight="1">
      <c r="A335" s="93" t="n">
        <v>325</v>
      </c>
      <c r="B335" s="94" t="inlineStr">
        <is>
          <t>Carbon Steel</t>
        </is>
      </c>
      <c r="C335" s="13" t="inlineStr">
        <is>
          <t>ASME B36.10M / B36.19M</t>
        </is>
      </c>
      <c r="D335" s="12" t="inlineStr">
        <is>
          <t>24''</t>
        </is>
      </c>
      <c r="E335" s="93" t="n">
        <v>600</v>
      </c>
      <c r="F335" s="12" t="inlineStr">
        <is>
          <t>10S</t>
        </is>
      </c>
      <c r="G335" s="14" t="n">
        <v>24</v>
      </c>
      <c r="H335" s="78" t="n">
        <v>609.6</v>
      </c>
      <c r="I335" s="14" t="n">
        <v>0.25</v>
      </c>
      <c r="J335" s="78" t="n">
        <v>6.35</v>
      </c>
      <c r="K335" s="14">
        <f>ROUND((H335-J335)*J335*IF(B335="Carbon Steel",$K$7,IF(B335="Stainless Steel 304",$K$8,$L$8)), 3)</f>
        <v/>
      </c>
      <c r="L335" s="78">
        <f>ROUND(K335*$G$5, 2)</f>
        <v/>
      </c>
      <c r="M335" s="93">
        <f>INT($G$6/H335)</f>
        <v/>
      </c>
      <c r="N335" s="93">
        <f>IF(M335=0, 0, IF(OR($K$6="Square Grid", M335=1), INT($G$7/H335), IF($G$7&lt;H335, 0, 1+INT(($G$7-H335)/(0.8660254*H335)))))</f>
        <v/>
      </c>
      <c r="O335" s="59">
        <f>IF(OR(M335=0,N335=0), 0, IF(OR($K$6="Square Grid", M335=1), M335*N335*$K$5, (INT((N335+1)/2)*M335 + INT(N335/2)*IF(($G$6-M335*H335)&gt;=0.5*H335, M335, M335-1))*$K$5))</f>
        <v/>
      </c>
      <c r="P335" s="59">
        <f>IF(L335&lt;=0, 0, INT($G$8/L335))</f>
        <v/>
      </c>
      <c r="Q335" s="95">
        <f>MIN(O335, P335)</f>
        <v/>
      </c>
      <c r="R335" s="96">
        <f>ROUND((Q335*L335)/1000, 2)</f>
        <v/>
      </c>
      <c r="S335" s="79">
        <f>IF($C$8&gt;0, R335/$C$8, 0)</f>
        <v/>
      </c>
      <c r="T335" s="79">
        <f>IF(O335&gt;0, Q335/O335, 0)</f>
        <v/>
      </c>
      <c r="U335" s="12">
        <f>IF(Q335=0, "Exceeds Limit", IF(P335&lt;=O335, "Weight Limited", "Volume Limited"))</f>
        <v/>
      </c>
      <c r="V335" s="97">
        <f>B335&amp;"|"&amp;D335&amp;"|"&amp;F335</f>
        <v/>
      </c>
    </row>
    <row r="336" ht="19" customHeight="1">
      <c r="A336" s="98" t="n">
        <v>326</v>
      </c>
      <c r="B336" s="99" t="inlineStr">
        <is>
          <t>Carbon Steel</t>
        </is>
      </c>
      <c r="C336" s="19" t="inlineStr">
        <is>
          <t>ASME B36.10M / B36.19M</t>
        </is>
      </c>
      <c r="D336" s="18" t="inlineStr">
        <is>
          <t>24''</t>
        </is>
      </c>
      <c r="E336" s="98" t="n">
        <v>600</v>
      </c>
      <c r="F336" s="18" t="inlineStr">
        <is>
          <t>10</t>
        </is>
      </c>
      <c r="G336" s="20" t="n">
        <v>24</v>
      </c>
      <c r="H336" s="82" t="n">
        <v>609.6</v>
      </c>
      <c r="I336" s="20" t="n">
        <v>0.25</v>
      </c>
      <c r="J336" s="82" t="n">
        <v>6.35</v>
      </c>
      <c r="K336" s="20">
        <f>ROUND((H336-J336)*J336*IF(B336="Carbon Steel",$K$7,IF(B336="Stainless Steel 304",$K$8,$L$8)), 3)</f>
        <v/>
      </c>
      <c r="L336" s="82">
        <f>ROUND(K336*$G$5, 2)</f>
        <v/>
      </c>
      <c r="M336" s="98">
        <f>INT($G$6/H336)</f>
        <v/>
      </c>
      <c r="N336" s="98">
        <f>IF(M336=0, 0, IF(OR($K$6="Square Grid", M336=1), INT($G$7/H336), IF($G$7&lt;H336, 0, 1+INT(($G$7-H336)/(0.8660254*H336)))))</f>
        <v/>
      </c>
      <c r="O336" s="84">
        <f>IF(OR(M336=0,N336=0), 0, IF(OR($K$6="Square Grid", M336=1), M336*N336*$K$5, (INT((N336+1)/2)*M336 + INT(N336/2)*IF(($G$6-M336*H336)&gt;=0.5*H336, M336, M336-1))*$K$5))</f>
        <v/>
      </c>
      <c r="P336" s="84">
        <f>IF(L336&lt;=0, 0, INT($G$8/L336))</f>
        <v/>
      </c>
      <c r="Q336" s="95">
        <f>MIN(O336, P336)</f>
        <v/>
      </c>
      <c r="R336" s="96">
        <f>ROUND((Q336*L336)/1000, 2)</f>
        <v/>
      </c>
      <c r="S336" s="85">
        <f>IF($C$8&gt;0, R336/$C$8, 0)</f>
        <v/>
      </c>
      <c r="T336" s="85">
        <f>IF(O336&gt;0, Q336/O336, 0)</f>
        <v/>
      </c>
      <c r="U336" s="18">
        <f>IF(Q336=0, "Exceeds Limit", IF(P336&lt;=O336, "Weight Limited", "Volume Limited"))</f>
        <v/>
      </c>
      <c r="V336" s="100">
        <f>B336&amp;"|"&amp;D336&amp;"|"&amp;F336</f>
        <v/>
      </c>
    </row>
    <row r="337" ht="19" customHeight="1">
      <c r="A337" s="93" t="n">
        <v>327</v>
      </c>
      <c r="B337" s="94" t="inlineStr">
        <is>
          <t>Carbon Steel</t>
        </is>
      </c>
      <c r="C337" s="13" t="inlineStr">
        <is>
          <t>ASME B36.10M / B36.19M</t>
        </is>
      </c>
      <c r="D337" s="12" t="inlineStr">
        <is>
          <t>24''</t>
        </is>
      </c>
      <c r="E337" s="93" t="n">
        <v>600</v>
      </c>
      <c r="F337" s="12" t="inlineStr">
        <is>
          <t>20</t>
        </is>
      </c>
      <c r="G337" s="14" t="n">
        <v>24</v>
      </c>
      <c r="H337" s="78" t="n">
        <v>609.6</v>
      </c>
      <c r="I337" s="14" t="n">
        <v>0.375</v>
      </c>
      <c r="J337" s="78" t="n">
        <v>9.52</v>
      </c>
      <c r="K337" s="14">
        <f>ROUND((H337-J337)*J337*IF(B337="Carbon Steel",$K$7,IF(B337="Stainless Steel 304",$K$8,$L$8)), 3)</f>
        <v/>
      </c>
      <c r="L337" s="78">
        <f>ROUND(K337*$G$5, 2)</f>
        <v/>
      </c>
      <c r="M337" s="93">
        <f>INT($G$6/H337)</f>
        <v/>
      </c>
      <c r="N337" s="93">
        <f>IF(M337=0, 0, IF(OR($K$6="Square Grid", M337=1), INT($G$7/H337), IF($G$7&lt;H337, 0, 1+INT(($G$7-H337)/(0.8660254*H337)))))</f>
        <v/>
      </c>
      <c r="O337" s="59">
        <f>IF(OR(M337=0,N337=0), 0, IF(OR($K$6="Square Grid", M337=1), M337*N337*$K$5, (INT((N337+1)/2)*M337 + INT(N337/2)*IF(($G$6-M337*H337)&gt;=0.5*H337, M337, M337-1))*$K$5))</f>
        <v/>
      </c>
      <c r="P337" s="59">
        <f>IF(L337&lt;=0, 0, INT($G$8/L337))</f>
        <v/>
      </c>
      <c r="Q337" s="95">
        <f>MIN(O337, P337)</f>
        <v/>
      </c>
      <c r="R337" s="96">
        <f>ROUND((Q337*L337)/1000, 2)</f>
        <v/>
      </c>
      <c r="S337" s="79">
        <f>IF($C$8&gt;0, R337/$C$8, 0)</f>
        <v/>
      </c>
      <c r="T337" s="79">
        <f>IF(O337&gt;0, Q337/O337, 0)</f>
        <v/>
      </c>
      <c r="U337" s="12">
        <f>IF(Q337=0, "Exceeds Limit", IF(P337&lt;=O337, "Weight Limited", "Volume Limited"))</f>
        <v/>
      </c>
      <c r="V337" s="97">
        <f>B337&amp;"|"&amp;D337&amp;"|"&amp;F337</f>
        <v/>
      </c>
    </row>
    <row r="338" ht="19" customHeight="1">
      <c r="A338" s="98" t="n">
        <v>328</v>
      </c>
      <c r="B338" s="99" t="inlineStr">
        <is>
          <t>Carbon Steel</t>
        </is>
      </c>
      <c r="C338" s="19" t="inlineStr">
        <is>
          <t>ASME B36.10M / B36.19M</t>
        </is>
      </c>
      <c r="D338" s="18" t="inlineStr">
        <is>
          <t>24''</t>
        </is>
      </c>
      <c r="E338" s="98" t="n">
        <v>600</v>
      </c>
      <c r="F338" s="18" t="inlineStr">
        <is>
          <t>30</t>
        </is>
      </c>
      <c r="G338" s="20" t="n">
        <v>24</v>
      </c>
      <c r="H338" s="82" t="n">
        <v>609.6</v>
      </c>
      <c r="I338" s="20" t="n">
        <v>0.5620000000000001</v>
      </c>
      <c r="J338" s="82" t="n">
        <v>14.27</v>
      </c>
      <c r="K338" s="20">
        <f>ROUND((H338-J338)*J338*IF(B338="Carbon Steel",$K$7,IF(B338="Stainless Steel 304",$K$8,$L$8)), 3)</f>
        <v/>
      </c>
      <c r="L338" s="82">
        <f>ROUND(K338*$G$5, 2)</f>
        <v/>
      </c>
      <c r="M338" s="98">
        <f>INT($G$6/H338)</f>
        <v/>
      </c>
      <c r="N338" s="98">
        <f>IF(M338=0, 0, IF(OR($K$6="Square Grid", M338=1), INT($G$7/H338), IF($G$7&lt;H338, 0, 1+INT(($G$7-H338)/(0.8660254*H338)))))</f>
        <v/>
      </c>
      <c r="O338" s="84">
        <f>IF(OR(M338=0,N338=0), 0, IF(OR($K$6="Square Grid", M338=1), M338*N338*$K$5, (INT((N338+1)/2)*M338 + INT(N338/2)*IF(($G$6-M338*H338)&gt;=0.5*H338, M338, M338-1))*$K$5))</f>
        <v/>
      </c>
      <c r="P338" s="84">
        <f>IF(L338&lt;=0, 0, INT($G$8/L338))</f>
        <v/>
      </c>
      <c r="Q338" s="95">
        <f>MIN(O338, P338)</f>
        <v/>
      </c>
      <c r="R338" s="96">
        <f>ROUND((Q338*L338)/1000, 2)</f>
        <v/>
      </c>
      <c r="S338" s="85">
        <f>IF($C$8&gt;0, R338/$C$8, 0)</f>
        <v/>
      </c>
      <c r="T338" s="85">
        <f>IF(O338&gt;0, Q338/O338, 0)</f>
        <v/>
      </c>
      <c r="U338" s="18">
        <f>IF(Q338=0, "Exceeds Limit", IF(P338&lt;=O338, "Weight Limited", "Volume Limited"))</f>
        <v/>
      </c>
      <c r="V338" s="100">
        <f>B338&amp;"|"&amp;D338&amp;"|"&amp;F338</f>
        <v/>
      </c>
    </row>
    <row r="339" ht="19" customHeight="1">
      <c r="A339" s="93" t="n">
        <v>329</v>
      </c>
      <c r="B339" s="94" t="inlineStr">
        <is>
          <t>Carbon Steel</t>
        </is>
      </c>
      <c r="C339" s="13" t="inlineStr">
        <is>
          <t>ASME B36.10M / B36.19M</t>
        </is>
      </c>
      <c r="D339" s="12" t="inlineStr">
        <is>
          <t>24''</t>
        </is>
      </c>
      <c r="E339" s="93" t="n">
        <v>600</v>
      </c>
      <c r="F339" s="12" t="inlineStr">
        <is>
          <t>40S</t>
        </is>
      </c>
      <c r="G339" s="14" t="n">
        <v>24</v>
      </c>
      <c r="H339" s="78" t="n">
        <v>609.6</v>
      </c>
      <c r="I339" s="14" t="n">
        <v>0.375</v>
      </c>
      <c r="J339" s="78" t="n">
        <v>9.52</v>
      </c>
      <c r="K339" s="14">
        <f>ROUND((H339-J339)*J339*IF(B339="Carbon Steel",$K$7,IF(B339="Stainless Steel 304",$K$8,$L$8)), 3)</f>
        <v/>
      </c>
      <c r="L339" s="78">
        <f>ROUND(K339*$G$5, 2)</f>
        <v/>
      </c>
      <c r="M339" s="93">
        <f>INT($G$6/H339)</f>
        <v/>
      </c>
      <c r="N339" s="93">
        <f>IF(M339=0, 0, IF(OR($K$6="Square Grid", M339=1), INT($G$7/H339), IF($G$7&lt;H339, 0, 1+INT(($G$7-H339)/(0.8660254*H339)))))</f>
        <v/>
      </c>
      <c r="O339" s="59">
        <f>IF(OR(M339=0,N339=0), 0, IF(OR($K$6="Square Grid", M339=1), M339*N339*$K$5, (INT((N339+1)/2)*M339 + INT(N339/2)*IF(($G$6-M339*H339)&gt;=0.5*H339, M339, M339-1))*$K$5))</f>
        <v/>
      </c>
      <c r="P339" s="59">
        <f>IF(L339&lt;=0, 0, INT($G$8/L339))</f>
        <v/>
      </c>
      <c r="Q339" s="95">
        <f>MIN(O339, P339)</f>
        <v/>
      </c>
      <c r="R339" s="96">
        <f>ROUND((Q339*L339)/1000, 2)</f>
        <v/>
      </c>
      <c r="S339" s="79">
        <f>IF($C$8&gt;0, R339/$C$8, 0)</f>
        <v/>
      </c>
      <c r="T339" s="79">
        <f>IF(O339&gt;0, Q339/O339, 0)</f>
        <v/>
      </c>
      <c r="U339" s="12">
        <f>IF(Q339=0, "Exceeds Limit", IF(P339&lt;=O339, "Weight Limited", "Volume Limited"))</f>
        <v/>
      </c>
      <c r="V339" s="97">
        <f>B339&amp;"|"&amp;D339&amp;"|"&amp;F339</f>
        <v/>
      </c>
    </row>
    <row r="340" ht="19" customHeight="1">
      <c r="A340" s="98" t="n">
        <v>330</v>
      </c>
      <c r="B340" s="99" t="inlineStr">
        <is>
          <t>Carbon Steel</t>
        </is>
      </c>
      <c r="C340" s="19" t="inlineStr">
        <is>
          <t>ASME B36.10M / B36.19M</t>
        </is>
      </c>
      <c r="D340" s="18" t="inlineStr">
        <is>
          <t>24''</t>
        </is>
      </c>
      <c r="E340" s="98" t="n">
        <v>600</v>
      </c>
      <c r="F340" s="18" t="inlineStr">
        <is>
          <t>STD</t>
        </is>
      </c>
      <c r="G340" s="20" t="n">
        <v>24</v>
      </c>
      <c r="H340" s="82" t="n">
        <v>609.6</v>
      </c>
      <c r="I340" s="20" t="n">
        <v>0.375</v>
      </c>
      <c r="J340" s="82" t="n">
        <v>9.52</v>
      </c>
      <c r="K340" s="20">
        <f>ROUND((H340-J340)*J340*IF(B340="Carbon Steel",$K$7,IF(B340="Stainless Steel 304",$K$8,$L$8)), 3)</f>
        <v/>
      </c>
      <c r="L340" s="82">
        <f>ROUND(K340*$G$5, 2)</f>
        <v/>
      </c>
      <c r="M340" s="98">
        <f>INT($G$6/H340)</f>
        <v/>
      </c>
      <c r="N340" s="98">
        <f>IF(M340=0, 0, IF(OR($K$6="Square Grid", M340=1), INT($G$7/H340), IF($G$7&lt;H340, 0, 1+INT(($G$7-H340)/(0.8660254*H340)))))</f>
        <v/>
      </c>
      <c r="O340" s="84">
        <f>IF(OR(M340=0,N340=0), 0, IF(OR($K$6="Square Grid", M340=1), M340*N340*$K$5, (INT((N340+1)/2)*M340 + INT(N340/2)*IF(($G$6-M340*H340)&gt;=0.5*H340, M340, M340-1))*$K$5))</f>
        <v/>
      </c>
      <c r="P340" s="84">
        <f>IF(L340&lt;=0, 0, INT($G$8/L340))</f>
        <v/>
      </c>
      <c r="Q340" s="95">
        <f>MIN(O340, P340)</f>
        <v/>
      </c>
      <c r="R340" s="96">
        <f>ROUND((Q340*L340)/1000, 2)</f>
        <v/>
      </c>
      <c r="S340" s="85">
        <f>IF($C$8&gt;0, R340/$C$8, 0)</f>
        <v/>
      </c>
      <c r="T340" s="85">
        <f>IF(O340&gt;0, Q340/O340, 0)</f>
        <v/>
      </c>
      <c r="U340" s="18">
        <f>IF(Q340=0, "Exceeds Limit", IF(P340&lt;=O340, "Weight Limited", "Volume Limited"))</f>
        <v/>
      </c>
      <c r="V340" s="100">
        <f>B340&amp;"|"&amp;D340&amp;"|"&amp;F340</f>
        <v/>
      </c>
    </row>
    <row r="341" ht="19" customHeight="1">
      <c r="A341" s="93" t="n">
        <v>331</v>
      </c>
      <c r="B341" s="94" t="inlineStr">
        <is>
          <t>Carbon Steel</t>
        </is>
      </c>
      <c r="C341" s="13" t="inlineStr">
        <is>
          <t>ASME B36.10M / B36.19M</t>
        </is>
      </c>
      <c r="D341" s="12" t="inlineStr">
        <is>
          <t>24''</t>
        </is>
      </c>
      <c r="E341" s="93" t="n">
        <v>600</v>
      </c>
      <c r="F341" s="12" t="inlineStr">
        <is>
          <t>40</t>
        </is>
      </c>
      <c r="G341" s="14" t="n">
        <v>24</v>
      </c>
      <c r="H341" s="78" t="n">
        <v>609.6</v>
      </c>
      <c r="I341" s="14" t="n">
        <v>0.6879999999999999</v>
      </c>
      <c r="J341" s="78" t="n">
        <v>17.48</v>
      </c>
      <c r="K341" s="14">
        <f>ROUND((H341-J341)*J341*IF(B341="Carbon Steel",$K$7,IF(B341="Stainless Steel 304",$K$8,$L$8)), 3)</f>
        <v/>
      </c>
      <c r="L341" s="78">
        <f>ROUND(K341*$G$5, 2)</f>
        <v/>
      </c>
      <c r="M341" s="93">
        <f>INT($G$6/H341)</f>
        <v/>
      </c>
      <c r="N341" s="93">
        <f>IF(M341=0, 0, IF(OR($K$6="Square Grid", M341=1), INT($G$7/H341), IF($G$7&lt;H341, 0, 1+INT(($G$7-H341)/(0.8660254*H341)))))</f>
        <v/>
      </c>
      <c r="O341" s="59">
        <f>IF(OR(M341=0,N341=0), 0, IF(OR($K$6="Square Grid", M341=1), M341*N341*$K$5, (INT((N341+1)/2)*M341 + INT(N341/2)*IF(($G$6-M341*H341)&gt;=0.5*H341, M341, M341-1))*$K$5))</f>
        <v/>
      </c>
      <c r="P341" s="59">
        <f>IF(L341&lt;=0, 0, INT($G$8/L341))</f>
        <v/>
      </c>
      <c r="Q341" s="95">
        <f>MIN(O341, P341)</f>
        <v/>
      </c>
      <c r="R341" s="96">
        <f>ROUND((Q341*L341)/1000, 2)</f>
        <v/>
      </c>
      <c r="S341" s="79">
        <f>IF($C$8&gt;0, R341/$C$8, 0)</f>
        <v/>
      </c>
      <c r="T341" s="79">
        <f>IF(O341&gt;0, Q341/O341, 0)</f>
        <v/>
      </c>
      <c r="U341" s="12">
        <f>IF(Q341=0, "Exceeds Limit", IF(P341&lt;=O341, "Weight Limited", "Volume Limited"))</f>
        <v/>
      </c>
      <c r="V341" s="97">
        <f>B341&amp;"|"&amp;D341&amp;"|"&amp;F341</f>
        <v/>
      </c>
    </row>
    <row r="342" ht="19" customHeight="1">
      <c r="A342" s="98" t="n">
        <v>332</v>
      </c>
      <c r="B342" s="99" t="inlineStr">
        <is>
          <t>Carbon Steel</t>
        </is>
      </c>
      <c r="C342" s="19" t="inlineStr">
        <is>
          <t>ASME B36.10M / B36.19M</t>
        </is>
      </c>
      <c r="D342" s="18" t="inlineStr">
        <is>
          <t>24''</t>
        </is>
      </c>
      <c r="E342" s="98" t="n">
        <v>600</v>
      </c>
      <c r="F342" s="18" t="inlineStr">
        <is>
          <t>60</t>
        </is>
      </c>
      <c r="G342" s="20" t="n">
        <v>24</v>
      </c>
      <c r="H342" s="82" t="n">
        <v>609.6</v>
      </c>
      <c r="I342" s="20" t="n">
        <v>0.969</v>
      </c>
      <c r="J342" s="82" t="n">
        <v>24.61</v>
      </c>
      <c r="K342" s="20">
        <f>ROUND((H342-J342)*J342*IF(B342="Carbon Steel",$K$7,IF(B342="Stainless Steel 304",$K$8,$L$8)), 3)</f>
        <v/>
      </c>
      <c r="L342" s="82">
        <f>ROUND(K342*$G$5, 2)</f>
        <v/>
      </c>
      <c r="M342" s="98">
        <f>INT($G$6/H342)</f>
        <v/>
      </c>
      <c r="N342" s="98">
        <f>IF(M342=0, 0, IF(OR($K$6="Square Grid", M342=1), INT($G$7/H342), IF($G$7&lt;H342, 0, 1+INT(($G$7-H342)/(0.8660254*H342)))))</f>
        <v/>
      </c>
      <c r="O342" s="84">
        <f>IF(OR(M342=0,N342=0), 0, IF(OR($K$6="Square Grid", M342=1), M342*N342*$K$5, (INT((N342+1)/2)*M342 + INT(N342/2)*IF(($G$6-M342*H342)&gt;=0.5*H342, M342, M342-1))*$K$5))</f>
        <v/>
      </c>
      <c r="P342" s="84">
        <f>IF(L342&lt;=0, 0, INT($G$8/L342))</f>
        <v/>
      </c>
      <c r="Q342" s="95">
        <f>MIN(O342, P342)</f>
        <v/>
      </c>
      <c r="R342" s="96">
        <f>ROUND((Q342*L342)/1000, 2)</f>
        <v/>
      </c>
      <c r="S342" s="85">
        <f>IF($C$8&gt;0, R342/$C$8, 0)</f>
        <v/>
      </c>
      <c r="T342" s="85">
        <f>IF(O342&gt;0, Q342/O342, 0)</f>
        <v/>
      </c>
      <c r="U342" s="18">
        <f>IF(Q342=0, "Exceeds Limit", IF(P342&lt;=O342, "Weight Limited", "Volume Limited"))</f>
        <v/>
      </c>
      <c r="V342" s="100">
        <f>B342&amp;"|"&amp;D342&amp;"|"&amp;F342</f>
        <v/>
      </c>
    </row>
    <row r="343" ht="19" customHeight="1">
      <c r="A343" s="93" t="n">
        <v>333</v>
      </c>
      <c r="B343" s="94" t="inlineStr">
        <is>
          <t>Carbon Steel</t>
        </is>
      </c>
      <c r="C343" s="13" t="inlineStr">
        <is>
          <t>ASME B36.10M / B36.19M</t>
        </is>
      </c>
      <c r="D343" s="12" t="inlineStr">
        <is>
          <t>24''</t>
        </is>
      </c>
      <c r="E343" s="93" t="n">
        <v>600</v>
      </c>
      <c r="F343" s="12" t="inlineStr">
        <is>
          <t>80S</t>
        </is>
      </c>
      <c r="G343" s="14" t="n">
        <v>24</v>
      </c>
      <c r="H343" s="78" t="n">
        <v>609.6</v>
      </c>
      <c r="I343" s="14" t="n">
        <v>0.5</v>
      </c>
      <c r="J343" s="78" t="n">
        <v>12.7</v>
      </c>
      <c r="K343" s="14">
        <f>ROUND((H343-J343)*J343*IF(B343="Carbon Steel",$K$7,IF(B343="Stainless Steel 304",$K$8,$L$8)), 3)</f>
        <v/>
      </c>
      <c r="L343" s="78">
        <f>ROUND(K343*$G$5, 2)</f>
        <v/>
      </c>
      <c r="M343" s="93">
        <f>INT($G$6/H343)</f>
        <v/>
      </c>
      <c r="N343" s="93">
        <f>IF(M343=0, 0, IF(OR($K$6="Square Grid", M343=1), INT($G$7/H343), IF($G$7&lt;H343, 0, 1+INT(($G$7-H343)/(0.8660254*H343)))))</f>
        <v/>
      </c>
      <c r="O343" s="59">
        <f>IF(OR(M343=0,N343=0), 0, IF(OR($K$6="Square Grid", M343=1), M343*N343*$K$5, (INT((N343+1)/2)*M343 + INT(N343/2)*IF(($G$6-M343*H343)&gt;=0.5*H343, M343, M343-1))*$K$5))</f>
        <v/>
      </c>
      <c r="P343" s="59">
        <f>IF(L343&lt;=0, 0, INT($G$8/L343))</f>
        <v/>
      </c>
      <c r="Q343" s="95">
        <f>MIN(O343, P343)</f>
        <v/>
      </c>
      <c r="R343" s="96">
        <f>ROUND((Q343*L343)/1000, 2)</f>
        <v/>
      </c>
      <c r="S343" s="79">
        <f>IF($C$8&gt;0, R343/$C$8, 0)</f>
        <v/>
      </c>
      <c r="T343" s="79">
        <f>IF(O343&gt;0, Q343/O343, 0)</f>
        <v/>
      </c>
      <c r="U343" s="12">
        <f>IF(Q343=0, "Exceeds Limit", IF(P343&lt;=O343, "Weight Limited", "Volume Limited"))</f>
        <v/>
      </c>
      <c r="V343" s="97">
        <f>B343&amp;"|"&amp;D343&amp;"|"&amp;F343</f>
        <v/>
      </c>
    </row>
    <row r="344" ht="19" customHeight="1">
      <c r="A344" s="98" t="n">
        <v>334</v>
      </c>
      <c r="B344" s="99" t="inlineStr">
        <is>
          <t>Carbon Steel</t>
        </is>
      </c>
      <c r="C344" s="19" t="inlineStr">
        <is>
          <t>ASME B36.10M / B36.19M</t>
        </is>
      </c>
      <c r="D344" s="18" t="inlineStr">
        <is>
          <t>24''</t>
        </is>
      </c>
      <c r="E344" s="98" t="n">
        <v>600</v>
      </c>
      <c r="F344" s="18" t="inlineStr">
        <is>
          <t>XS</t>
        </is>
      </c>
      <c r="G344" s="20" t="n">
        <v>24</v>
      </c>
      <c r="H344" s="82" t="n">
        <v>609.6</v>
      </c>
      <c r="I344" s="20" t="n">
        <v>0.5</v>
      </c>
      <c r="J344" s="82" t="n">
        <v>12.7</v>
      </c>
      <c r="K344" s="20">
        <f>ROUND((H344-J344)*J344*IF(B344="Carbon Steel",$K$7,IF(B344="Stainless Steel 304",$K$8,$L$8)), 3)</f>
        <v/>
      </c>
      <c r="L344" s="82">
        <f>ROUND(K344*$G$5, 2)</f>
        <v/>
      </c>
      <c r="M344" s="98">
        <f>INT($G$6/H344)</f>
        <v/>
      </c>
      <c r="N344" s="98">
        <f>IF(M344=0, 0, IF(OR($K$6="Square Grid", M344=1), INT($G$7/H344), IF($G$7&lt;H344, 0, 1+INT(($G$7-H344)/(0.8660254*H344)))))</f>
        <v/>
      </c>
      <c r="O344" s="84">
        <f>IF(OR(M344=0,N344=0), 0, IF(OR($K$6="Square Grid", M344=1), M344*N344*$K$5, (INT((N344+1)/2)*M344 + INT(N344/2)*IF(($G$6-M344*H344)&gt;=0.5*H344, M344, M344-1))*$K$5))</f>
        <v/>
      </c>
      <c r="P344" s="84">
        <f>IF(L344&lt;=0, 0, INT($G$8/L344))</f>
        <v/>
      </c>
      <c r="Q344" s="95">
        <f>MIN(O344, P344)</f>
        <v/>
      </c>
      <c r="R344" s="96">
        <f>ROUND((Q344*L344)/1000, 2)</f>
        <v/>
      </c>
      <c r="S344" s="85">
        <f>IF($C$8&gt;0, R344/$C$8, 0)</f>
        <v/>
      </c>
      <c r="T344" s="85">
        <f>IF(O344&gt;0, Q344/O344, 0)</f>
        <v/>
      </c>
      <c r="U344" s="18">
        <f>IF(Q344=0, "Exceeds Limit", IF(P344&lt;=O344, "Weight Limited", "Volume Limited"))</f>
        <v/>
      </c>
      <c r="V344" s="100">
        <f>B344&amp;"|"&amp;D344&amp;"|"&amp;F344</f>
        <v/>
      </c>
    </row>
    <row r="345" ht="19" customHeight="1">
      <c r="A345" s="93" t="n">
        <v>335</v>
      </c>
      <c r="B345" s="94" t="inlineStr">
        <is>
          <t>Carbon Steel</t>
        </is>
      </c>
      <c r="C345" s="13" t="inlineStr">
        <is>
          <t>ASME B36.10M / B36.19M</t>
        </is>
      </c>
      <c r="D345" s="12" t="inlineStr">
        <is>
          <t>24''</t>
        </is>
      </c>
      <c r="E345" s="93" t="n">
        <v>600</v>
      </c>
      <c r="F345" s="12" t="inlineStr">
        <is>
          <t>80</t>
        </is>
      </c>
      <c r="G345" s="14" t="n">
        <v>24</v>
      </c>
      <c r="H345" s="78" t="n">
        <v>609.6</v>
      </c>
      <c r="I345" s="14" t="n">
        <v>1.219</v>
      </c>
      <c r="J345" s="78" t="n">
        <v>30.96</v>
      </c>
      <c r="K345" s="14">
        <f>ROUND((H345-J345)*J345*IF(B345="Carbon Steel",$K$7,IF(B345="Stainless Steel 304",$K$8,$L$8)), 3)</f>
        <v/>
      </c>
      <c r="L345" s="78">
        <f>ROUND(K345*$G$5, 2)</f>
        <v/>
      </c>
      <c r="M345" s="93">
        <f>INT($G$6/H345)</f>
        <v/>
      </c>
      <c r="N345" s="93">
        <f>IF(M345=0, 0, IF(OR($K$6="Square Grid", M345=1), INT($G$7/H345), IF($G$7&lt;H345, 0, 1+INT(($G$7-H345)/(0.8660254*H345)))))</f>
        <v/>
      </c>
      <c r="O345" s="59">
        <f>IF(OR(M345=0,N345=0), 0, IF(OR($K$6="Square Grid", M345=1), M345*N345*$K$5, (INT((N345+1)/2)*M345 + INT(N345/2)*IF(($G$6-M345*H345)&gt;=0.5*H345, M345, M345-1))*$K$5))</f>
        <v/>
      </c>
      <c r="P345" s="59">
        <f>IF(L345&lt;=0, 0, INT($G$8/L345))</f>
        <v/>
      </c>
      <c r="Q345" s="95">
        <f>MIN(O345, P345)</f>
        <v/>
      </c>
      <c r="R345" s="96">
        <f>ROUND((Q345*L345)/1000, 2)</f>
        <v/>
      </c>
      <c r="S345" s="79">
        <f>IF($C$8&gt;0, R345/$C$8, 0)</f>
        <v/>
      </c>
      <c r="T345" s="79">
        <f>IF(O345&gt;0, Q345/O345, 0)</f>
        <v/>
      </c>
      <c r="U345" s="12">
        <f>IF(Q345=0, "Exceeds Limit", IF(P345&lt;=O345, "Weight Limited", "Volume Limited"))</f>
        <v/>
      </c>
      <c r="V345" s="97">
        <f>B345&amp;"|"&amp;D345&amp;"|"&amp;F345</f>
        <v/>
      </c>
    </row>
    <row r="346" ht="19" customHeight="1">
      <c r="A346" s="98" t="n">
        <v>336</v>
      </c>
      <c r="B346" s="99" t="inlineStr">
        <is>
          <t>Carbon Steel</t>
        </is>
      </c>
      <c r="C346" s="19" t="inlineStr">
        <is>
          <t>ASME B36.10M / B36.19M</t>
        </is>
      </c>
      <c r="D346" s="18" t="inlineStr">
        <is>
          <t>24''</t>
        </is>
      </c>
      <c r="E346" s="98" t="n">
        <v>600</v>
      </c>
      <c r="F346" s="18" t="inlineStr">
        <is>
          <t>100</t>
        </is>
      </c>
      <c r="G346" s="20" t="n">
        <v>24</v>
      </c>
      <c r="H346" s="82" t="n">
        <v>609.6</v>
      </c>
      <c r="I346" s="20" t="n">
        <v>1.531</v>
      </c>
      <c r="J346" s="82" t="n">
        <v>38.89</v>
      </c>
      <c r="K346" s="20">
        <f>ROUND((H346-J346)*J346*IF(B346="Carbon Steel",$K$7,IF(B346="Stainless Steel 304",$K$8,$L$8)), 3)</f>
        <v/>
      </c>
      <c r="L346" s="82">
        <f>ROUND(K346*$G$5, 2)</f>
        <v/>
      </c>
      <c r="M346" s="98">
        <f>INT($G$6/H346)</f>
        <v/>
      </c>
      <c r="N346" s="98">
        <f>IF(M346=0, 0, IF(OR($K$6="Square Grid", M346=1), INT($G$7/H346), IF($G$7&lt;H346, 0, 1+INT(($G$7-H346)/(0.8660254*H346)))))</f>
        <v/>
      </c>
      <c r="O346" s="84">
        <f>IF(OR(M346=0,N346=0), 0, IF(OR($K$6="Square Grid", M346=1), M346*N346*$K$5, (INT((N346+1)/2)*M346 + INT(N346/2)*IF(($G$6-M346*H346)&gt;=0.5*H346, M346, M346-1))*$K$5))</f>
        <v/>
      </c>
      <c r="P346" s="84">
        <f>IF(L346&lt;=0, 0, INT($G$8/L346))</f>
        <v/>
      </c>
      <c r="Q346" s="95">
        <f>MIN(O346, P346)</f>
        <v/>
      </c>
      <c r="R346" s="96">
        <f>ROUND((Q346*L346)/1000, 2)</f>
        <v/>
      </c>
      <c r="S346" s="85">
        <f>IF($C$8&gt;0, R346/$C$8, 0)</f>
        <v/>
      </c>
      <c r="T346" s="85">
        <f>IF(O346&gt;0, Q346/O346, 0)</f>
        <v/>
      </c>
      <c r="U346" s="18">
        <f>IF(Q346=0, "Exceeds Limit", IF(P346&lt;=O346, "Weight Limited", "Volume Limited"))</f>
        <v/>
      </c>
      <c r="V346" s="100">
        <f>B346&amp;"|"&amp;D346&amp;"|"&amp;F346</f>
        <v/>
      </c>
    </row>
    <row r="347" ht="19" customHeight="1">
      <c r="A347" s="93" t="n">
        <v>337</v>
      </c>
      <c r="B347" s="94" t="inlineStr">
        <is>
          <t>Carbon Steel</t>
        </is>
      </c>
      <c r="C347" s="13" t="inlineStr">
        <is>
          <t>ASME B36.10M / B36.19M</t>
        </is>
      </c>
      <c r="D347" s="12" t="inlineStr">
        <is>
          <t>24''</t>
        </is>
      </c>
      <c r="E347" s="93" t="n">
        <v>600</v>
      </c>
      <c r="F347" s="12" t="inlineStr">
        <is>
          <t>120</t>
        </is>
      </c>
      <c r="G347" s="14" t="n">
        <v>24</v>
      </c>
      <c r="H347" s="78" t="n">
        <v>609.6</v>
      </c>
      <c r="I347" s="14" t="n">
        <v>1.812</v>
      </c>
      <c r="J347" s="78" t="n">
        <v>46.02</v>
      </c>
      <c r="K347" s="14">
        <f>ROUND((H347-J347)*J347*IF(B347="Carbon Steel",$K$7,IF(B347="Stainless Steel 304",$K$8,$L$8)), 3)</f>
        <v/>
      </c>
      <c r="L347" s="78">
        <f>ROUND(K347*$G$5, 2)</f>
        <v/>
      </c>
      <c r="M347" s="93">
        <f>INT($G$6/H347)</f>
        <v/>
      </c>
      <c r="N347" s="93">
        <f>IF(M347=0, 0, IF(OR($K$6="Square Grid", M347=1), INT($G$7/H347), IF($G$7&lt;H347, 0, 1+INT(($G$7-H347)/(0.8660254*H347)))))</f>
        <v/>
      </c>
      <c r="O347" s="59">
        <f>IF(OR(M347=0,N347=0), 0, IF(OR($K$6="Square Grid", M347=1), M347*N347*$K$5, (INT((N347+1)/2)*M347 + INT(N347/2)*IF(($G$6-M347*H347)&gt;=0.5*H347, M347, M347-1))*$K$5))</f>
        <v/>
      </c>
      <c r="P347" s="59">
        <f>IF(L347&lt;=0, 0, INT($G$8/L347))</f>
        <v/>
      </c>
      <c r="Q347" s="95">
        <f>MIN(O347, P347)</f>
        <v/>
      </c>
      <c r="R347" s="96">
        <f>ROUND((Q347*L347)/1000, 2)</f>
        <v/>
      </c>
      <c r="S347" s="79">
        <f>IF($C$8&gt;0, R347/$C$8, 0)</f>
        <v/>
      </c>
      <c r="T347" s="79">
        <f>IF(O347&gt;0, Q347/O347, 0)</f>
        <v/>
      </c>
      <c r="U347" s="12">
        <f>IF(Q347=0, "Exceeds Limit", IF(P347&lt;=O347, "Weight Limited", "Volume Limited"))</f>
        <v/>
      </c>
      <c r="V347" s="97">
        <f>B347&amp;"|"&amp;D347&amp;"|"&amp;F347</f>
        <v/>
      </c>
    </row>
    <row r="348" ht="19" customHeight="1">
      <c r="A348" s="98" t="n">
        <v>338</v>
      </c>
      <c r="B348" s="99" t="inlineStr">
        <is>
          <t>Carbon Steel</t>
        </is>
      </c>
      <c r="C348" s="19" t="inlineStr">
        <is>
          <t>ASME B36.10M / B36.19M</t>
        </is>
      </c>
      <c r="D348" s="18" t="inlineStr">
        <is>
          <t>24''</t>
        </is>
      </c>
      <c r="E348" s="98" t="n">
        <v>600</v>
      </c>
      <c r="F348" s="18" t="inlineStr">
        <is>
          <t>140</t>
        </is>
      </c>
      <c r="G348" s="20" t="n">
        <v>24</v>
      </c>
      <c r="H348" s="82" t="n">
        <v>609.6</v>
      </c>
      <c r="I348" s="20" t="n">
        <v>2.062</v>
      </c>
      <c r="J348" s="82" t="n">
        <v>52.37</v>
      </c>
      <c r="K348" s="20">
        <f>ROUND((H348-J348)*J348*IF(B348="Carbon Steel",$K$7,IF(B348="Stainless Steel 304",$K$8,$L$8)), 3)</f>
        <v/>
      </c>
      <c r="L348" s="82">
        <f>ROUND(K348*$G$5, 2)</f>
        <v/>
      </c>
      <c r="M348" s="98">
        <f>INT($G$6/H348)</f>
        <v/>
      </c>
      <c r="N348" s="98">
        <f>IF(M348=0, 0, IF(OR($K$6="Square Grid", M348=1), INT($G$7/H348), IF($G$7&lt;H348, 0, 1+INT(($G$7-H348)/(0.8660254*H348)))))</f>
        <v/>
      </c>
      <c r="O348" s="84">
        <f>IF(OR(M348=0,N348=0), 0, IF(OR($K$6="Square Grid", M348=1), M348*N348*$K$5, (INT((N348+1)/2)*M348 + INT(N348/2)*IF(($G$6-M348*H348)&gt;=0.5*H348, M348, M348-1))*$K$5))</f>
        <v/>
      </c>
      <c r="P348" s="84">
        <f>IF(L348&lt;=0, 0, INT($G$8/L348))</f>
        <v/>
      </c>
      <c r="Q348" s="95">
        <f>MIN(O348, P348)</f>
        <v/>
      </c>
      <c r="R348" s="96">
        <f>ROUND((Q348*L348)/1000, 2)</f>
        <v/>
      </c>
      <c r="S348" s="85">
        <f>IF($C$8&gt;0, R348/$C$8, 0)</f>
        <v/>
      </c>
      <c r="T348" s="85">
        <f>IF(O348&gt;0, Q348/O348, 0)</f>
        <v/>
      </c>
      <c r="U348" s="18">
        <f>IF(Q348=0, "Exceeds Limit", IF(P348&lt;=O348, "Weight Limited", "Volume Limited"))</f>
        <v/>
      </c>
      <c r="V348" s="100">
        <f>B348&amp;"|"&amp;D348&amp;"|"&amp;F348</f>
        <v/>
      </c>
    </row>
    <row r="349" ht="19" customHeight="1">
      <c r="A349" s="93" t="n">
        <v>339</v>
      </c>
      <c r="B349" s="94" t="inlineStr">
        <is>
          <t>Carbon Steel</t>
        </is>
      </c>
      <c r="C349" s="13" t="inlineStr">
        <is>
          <t>ASME B36.10M / B36.19M</t>
        </is>
      </c>
      <c r="D349" s="12" t="inlineStr">
        <is>
          <t>24''</t>
        </is>
      </c>
      <c r="E349" s="93" t="n">
        <v>600</v>
      </c>
      <c r="F349" s="12" t="inlineStr">
        <is>
          <t>160</t>
        </is>
      </c>
      <c r="G349" s="14" t="n">
        <v>24</v>
      </c>
      <c r="H349" s="78" t="n">
        <v>609.6</v>
      </c>
      <c r="I349" s="14" t="n">
        <v>2.344</v>
      </c>
      <c r="J349" s="78" t="n">
        <v>59.54</v>
      </c>
      <c r="K349" s="14">
        <f>ROUND((H349-J349)*J349*IF(B349="Carbon Steel",$K$7,IF(B349="Stainless Steel 304",$K$8,$L$8)), 3)</f>
        <v/>
      </c>
      <c r="L349" s="78">
        <f>ROUND(K349*$G$5, 2)</f>
        <v/>
      </c>
      <c r="M349" s="93">
        <f>INT($G$6/H349)</f>
        <v/>
      </c>
      <c r="N349" s="93">
        <f>IF(M349=0, 0, IF(OR($K$6="Square Grid", M349=1), INT($G$7/H349), IF($G$7&lt;H349, 0, 1+INT(($G$7-H349)/(0.8660254*H349)))))</f>
        <v/>
      </c>
      <c r="O349" s="59">
        <f>IF(OR(M349=0,N349=0), 0, IF(OR($K$6="Square Grid", M349=1), M349*N349*$K$5, (INT((N349+1)/2)*M349 + INT(N349/2)*IF(($G$6-M349*H349)&gt;=0.5*H349, M349, M349-1))*$K$5))</f>
        <v/>
      </c>
      <c r="P349" s="59">
        <f>IF(L349&lt;=0, 0, INT($G$8/L349))</f>
        <v/>
      </c>
      <c r="Q349" s="95">
        <f>MIN(O349, P349)</f>
        <v/>
      </c>
      <c r="R349" s="96">
        <f>ROUND((Q349*L349)/1000, 2)</f>
        <v/>
      </c>
      <c r="S349" s="79">
        <f>IF($C$8&gt;0, R349/$C$8, 0)</f>
        <v/>
      </c>
      <c r="T349" s="79">
        <f>IF(O349&gt;0, Q349/O349, 0)</f>
        <v/>
      </c>
      <c r="U349" s="12">
        <f>IF(Q349=0, "Exceeds Limit", IF(P349&lt;=O349, "Weight Limited", "Volume Limited"))</f>
        <v/>
      </c>
      <c r="V349" s="97">
        <f>B349&amp;"|"&amp;D349&amp;"|"&amp;F349</f>
        <v/>
      </c>
    </row>
    <row r="350" ht="19" customHeight="1">
      <c r="A350" s="98" t="n">
        <v>340</v>
      </c>
      <c r="B350" s="99" t="inlineStr">
        <is>
          <t>Carbon Steel</t>
        </is>
      </c>
      <c r="C350" s="19" t="inlineStr">
        <is>
          <t>ASME B36.10M / B36.19M</t>
        </is>
      </c>
      <c r="D350" s="18" t="inlineStr">
        <is>
          <t>26''</t>
        </is>
      </c>
      <c r="E350" s="98" t="n">
        <v>650</v>
      </c>
      <c r="F350" s="18" t="inlineStr">
        <is>
          <t>10</t>
        </is>
      </c>
      <c r="G350" s="20" t="n">
        <v>26</v>
      </c>
      <c r="H350" s="82" t="n">
        <v>660.4</v>
      </c>
      <c r="I350" s="20" t="n">
        <v>0.312</v>
      </c>
      <c r="J350" s="82" t="n">
        <v>7.92</v>
      </c>
      <c r="K350" s="20">
        <f>ROUND((H350-J350)*J350*IF(B350="Carbon Steel",$K$7,IF(B350="Stainless Steel 304",$K$8,$L$8)), 3)</f>
        <v/>
      </c>
      <c r="L350" s="82">
        <f>ROUND(K350*$G$5, 2)</f>
        <v/>
      </c>
      <c r="M350" s="98">
        <f>INT($G$6/H350)</f>
        <v/>
      </c>
      <c r="N350" s="98">
        <f>IF(M350=0, 0, IF(OR($K$6="Square Grid", M350=1), INT($G$7/H350), IF($G$7&lt;H350, 0, 1+INT(($G$7-H350)/(0.8660254*H350)))))</f>
        <v/>
      </c>
      <c r="O350" s="84">
        <f>IF(OR(M350=0,N350=0), 0, IF(OR($K$6="Square Grid", M350=1), M350*N350*$K$5, (INT((N350+1)/2)*M350 + INT(N350/2)*IF(($G$6-M350*H350)&gt;=0.5*H350, M350, M350-1))*$K$5))</f>
        <v/>
      </c>
      <c r="P350" s="84">
        <f>IF(L350&lt;=0, 0, INT($G$8/L350))</f>
        <v/>
      </c>
      <c r="Q350" s="95">
        <f>MIN(O350, P350)</f>
        <v/>
      </c>
      <c r="R350" s="96">
        <f>ROUND((Q350*L350)/1000, 2)</f>
        <v/>
      </c>
      <c r="S350" s="85">
        <f>IF($C$8&gt;0, R350/$C$8, 0)</f>
        <v/>
      </c>
      <c r="T350" s="85">
        <f>IF(O350&gt;0, Q350/O350, 0)</f>
        <v/>
      </c>
      <c r="U350" s="18">
        <f>IF(Q350=0, "Exceeds Limit", IF(P350&lt;=O350, "Weight Limited", "Volume Limited"))</f>
        <v/>
      </c>
      <c r="V350" s="100">
        <f>B350&amp;"|"&amp;D350&amp;"|"&amp;F350</f>
        <v/>
      </c>
    </row>
    <row r="351" ht="19" customHeight="1">
      <c r="A351" s="93" t="n">
        <v>341</v>
      </c>
      <c r="B351" s="94" t="inlineStr">
        <is>
          <t>Carbon Steel</t>
        </is>
      </c>
      <c r="C351" s="13" t="inlineStr">
        <is>
          <t>ASME B36.10M / B36.19M</t>
        </is>
      </c>
      <c r="D351" s="12" t="inlineStr">
        <is>
          <t>26''</t>
        </is>
      </c>
      <c r="E351" s="93" t="n">
        <v>650</v>
      </c>
      <c r="F351" s="12" t="inlineStr">
        <is>
          <t>20</t>
        </is>
      </c>
      <c r="G351" s="14" t="n">
        <v>26</v>
      </c>
      <c r="H351" s="78" t="n">
        <v>660.4</v>
      </c>
      <c r="I351" s="14" t="n">
        <v>0.5</v>
      </c>
      <c r="J351" s="78" t="n">
        <v>12.7</v>
      </c>
      <c r="K351" s="14">
        <f>ROUND((H351-J351)*J351*IF(B351="Carbon Steel",$K$7,IF(B351="Stainless Steel 304",$K$8,$L$8)), 3)</f>
        <v/>
      </c>
      <c r="L351" s="78">
        <f>ROUND(K351*$G$5, 2)</f>
        <v/>
      </c>
      <c r="M351" s="93">
        <f>INT($G$6/H351)</f>
        <v/>
      </c>
      <c r="N351" s="93">
        <f>IF(M351=0, 0, IF(OR($K$6="Square Grid", M351=1), INT($G$7/H351), IF($G$7&lt;H351, 0, 1+INT(($G$7-H351)/(0.8660254*H351)))))</f>
        <v/>
      </c>
      <c r="O351" s="59">
        <f>IF(OR(M351=0,N351=0), 0, IF(OR($K$6="Square Grid", M351=1), M351*N351*$K$5, (INT((N351+1)/2)*M351 + INT(N351/2)*IF(($G$6-M351*H351)&gt;=0.5*H351, M351, M351-1))*$K$5))</f>
        <v/>
      </c>
      <c r="P351" s="59">
        <f>IF(L351&lt;=0, 0, INT($G$8/L351))</f>
        <v/>
      </c>
      <c r="Q351" s="95">
        <f>MIN(O351, P351)</f>
        <v/>
      </c>
      <c r="R351" s="96">
        <f>ROUND((Q351*L351)/1000, 2)</f>
        <v/>
      </c>
      <c r="S351" s="79">
        <f>IF($C$8&gt;0, R351/$C$8, 0)</f>
        <v/>
      </c>
      <c r="T351" s="79">
        <f>IF(O351&gt;0, Q351/O351, 0)</f>
        <v/>
      </c>
      <c r="U351" s="12">
        <f>IF(Q351=0, "Exceeds Limit", IF(P351&lt;=O351, "Weight Limited", "Volume Limited"))</f>
        <v/>
      </c>
      <c r="V351" s="97">
        <f>B351&amp;"|"&amp;D351&amp;"|"&amp;F351</f>
        <v/>
      </c>
    </row>
    <row r="352" ht="19" customHeight="1">
      <c r="A352" s="98" t="n">
        <v>342</v>
      </c>
      <c r="B352" s="99" t="inlineStr">
        <is>
          <t>Carbon Steel</t>
        </is>
      </c>
      <c r="C352" s="19" t="inlineStr">
        <is>
          <t>ASME B36.10M / B36.19M</t>
        </is>
      </c>
      <c r="D352" s="18" t="inlineStr">
        <is>
          <t>26''</t>
        </is>
      </c>
      <c r="E352" s="98" t="n">
        <v>650</v>
      </c>
      <c r="F352" s="18" t="inlineStr">
        <is>
          <t>STD</t>
        </is>
      </c>
      <c r="G352" s="20" t="n">
        <v>26</v>
      </c>
      <c r="H352" s="82" t="n">
        <v>660.4</v>
      </c>
      <c r="I352" s="20" t="n">
        <v>0.375</v>
      </c>
      <c r="J352" s="82" t="n">
        <v>9.52</v>
      </c>
      <c r="K352" s="20">
        <f>ROUND((H352-J352)*J352*IF(B352="Carbon Steel",$K$7,IF(B352="Stainless Steel 304",$K$8,$L$8)), 3)</f>
        <v/>
      </c>
      <c r="L352" s="82">
        <f>ROUND(K352*$G$5, 2)</f>
        <v/>
      </c>
      <c r="M352" s="98">
        <f>INT($G$6/H352)</f>
        <v/>
      </c>
      <c r="N352" s="98">
        <f>IF(M352=0, 0, IF(OR($K$6="Square Grid", M352=1), INT($G$7/H352), IF($G$7&lt;H352, 0, 1+INT(($G$7-H352)/(0.8660254*H352)))))</f>
        <v/>
      </c>
      <c r="O352" s="84">
        <f>IF(OR(M352=0,N352=0), 0, IF(OR($K$6="Square Grid", M352=1), M352*N352*$K$5, (INT((N352+1)/2)*M352 + INT(N352/2)*IF(($G$6-M352*H352)&gt;=0.5*H352, M352, M352-1))*$K$5))</f>
        <v/>
      </c>
      <c r="P352" s="84">
        <f>IF(L352&lt;=0, 0, INT($G$8/L352))</f>
        <v/>
      </c>
      <c r="Q352" s="95">
        <f>MIN(O352, P352)</f>
        <v/>
      </c>
      <c r="R352" s="96">
        <f>ROUND((Q352*L352)/1000, 2)</f>
        <v/>
      </c>
      <c r="S352" s="85">
        <f>IF($C$8&gt;0, R352/$C$8, 0)</f>
        <v/>
      </c>
      <c r="T352" s="85">
        <f>IF(O352&gt;0, Q352/O352, 0)</f>
        <v/>
      </c>
      <c r="U352" s="18">
        <f>IF(Q352=0, "Exceeds Limit", IF(P352&lt;=O352, "Weight Limited", "Volume Limited"))</f>
        <v/>
      </c>
      <c r="V352" s="100">
        <f>B352&amp;"|"&amp;D352&amp;"|"&amp;F352</f>
        <v/>
      </c>
    </row>
    <row r="353" ht="19" customHeight="1">
      <c r="A353" s="93" t="n">
        <v>343</v>
      </c>
      <c r="B353" s="94" t="inlineStr">
        <is>
          <t>Carbon Steel</t>
        </is>
      </c>
      <c r="C353" s="13" t="inlineStr">
        <is>
          <t>ASME B36.10M / B36.19M</t>
        </is>
      </c>
      <c r="D353" s="12" t="inlineStr">
        <is>
          <t>26''</t>
        </is>
      </c>
      <c r="E353" s="93" t="n">
        <v>650</v>
      </c>
      <c r="F353" s="12" t="inlineStr">
        <is>
          <t>XS</t>
        </is>
      </c>
      <c r="G353" s="14" t="n">
        <v>26</v>
      </c>
      <c r="H353" s="78" t="n">
        <v>660.4</v>
      </c>
      <c r="I353" s="14" t="n">
        <v>0.5</v>
      </c>
      <c r="J353" s="78" t="n">
        <v>12.7</v>
      </c>
      <c r="K353" s="14">
        <f>ROUND((H353-J353)*J353*IF(B353="Carbon Steel",$K$7,IF(B353="Stainless Steel 304",$K$8,$L$8)), 3)</f>
        <v/>
      </c>
      <c r="L353" s="78">
        <f>ROUND(K353*$G$5, 2)</f>
        <v/>
      </c>
      <c r="M353" s="93">
        <f>INT($G$6/H353)</f>
        <v/>
      </c>
      <c r="N353" s="93">
        <f>IF(M353=0, 0, IF(OR($K$6="Square Grid", M353=1), INT($G$7/H353), IF($G$7&lt;H353, 0, 1+INT(($G$7-H353)/(0.8660254*H353)))))</f>
        <v/>
      </c>
      <c r="O353" s="59">
        <f>IF(OR(M353=0,N353=0), 0, IF(OR($K$6="Square Grid", M353=1), M353*N353*$K$5, (INT((N353+1)/2)*M353 + INT(N353/2)*IF(($G$6-M353*H353)&gt;=0.5*H353, M353, M353-1))*$K$5))</f>
        <v/>
      </c>
      <c r="P353" s="59">
        <f>IF(L353&lt;=0, 0, INT($G$8/L353))</f>
        <v/>
      </c>
      <c r="Q353" s="95">
        <f>MIN(O353, P353)</f>
        <v/>
      </c>
      <c r="R353" s="96">
        <f>ROUND((Q353*L353)/1000, 2)</f>
        <v/>
      </c>
      <c r="S353" s="79">
        <f>IF($C$8&gt;0, R353/$C$8, 0)</f>
        <v/>
      </c>
      <c r="T353" s="79">
        <f>IF(O353&gt;0, Q353/O353, 0)</f>
        <v/>
      </c>
      <c r="U353" s="12">
        <f>IF(Q353=0, "Exceeds Limit", IF(P353&lt;=O353, "Weight Limited", "Volume Limited"))</f>
        <v/>
      </c>
      <c r="V353" s="97">
        <f>B353&amp;"|"&amp;D353&amp;"|"&amp;F353</f>
        <v/>
      </c>
    </row>
    <row r="354" ht="19" customHeight="1">
      <c r="A354" s="98" t="n">
        <v>344</v>
      </c>
      <c r="B354" s="99" t="inlineStr">
        <is>
          <t>Carbon Steel</t>
        </is>
      </c>
      <c r="C354" s="19" t="inlineStr">
        <is>
          <t>ASME B36.10M / B36.19M</t>
        </is>
      </c>
      <c r="D354" s="18" t="inlineStr">
        <is>
          <t>28''</t>
        </is>
      </c>
      <c r="E354" s="98" t="n">
        <v>700</v>
      </c>
      <c r="F354" s="18" t="inlineStr">
        <is>
          <t>10</t>
        </is>
      </c>
      <c r="G354" s="20" t="n">
        <v>28</v>
      </c>
      <c r="H354" s="82" t="n">
        <v>711.2</v>
      </c>
      <c r="I354" s="20" t="n">
        <v>0.312</v>
      </c>
      <c r="J354" s="82" t="n">
        <v>7.92</v>
      </c>
      <c r="K354" s="20">
        <f>ROUND((H354-J354)*J354*IF(B354="Carbon Steel",$K$7,IF(B354="Stainless Steel 304",$K$8,$L$8)), 3)</f>
        <v/>
      </c>
      <c r="L354" s="82">
        <f>ROUND(K354*$G$5, 2)</f>
        <v/>
      </c>
      <c r="M354" s="98">
        <f>INT($G$6/H354)</f>
        <v/>
      </c>
      <c r="N354" s="98">
        <f>IF(M354=0, 0, IF(OR($K$6="Square Grid", M354=1), INT($G$7/H354), IF($G$7&lt;H354, 0, 1+INT(($G$7-H354)/(0.8660254*H354)))))</f>
        <v/>
      </c>
      <c r="O354" s="84">
        <f>IF(OR(M354=0,N354=0), 0, IF(OR($K$6="Square Grid", M354=1), M354*N354*$K$5, (INT((N354+1)/2)*M354 + INT(N354/2)*IF(($G$6-M354*H354)&gt;=0.5*H354, M354, M354-1))*$K$5))</f>
        <v/>
      </c>
      <c r="P354" s="84">
        <f>IF(L354&lt;=0, 0, INT($G$8/L354))</f>
        <v/>
      </c>
      <c r="Q354" s="95">
        <f>MIN(O354, P354)</f>
        <v/>
      </c>
      <c r="R354" s="96">
        <f>ROUND((Q354*L354)/1000, 2)</f>
        <v/>
      </c>
      <c r="S354" s="85">
        <f>IF($C$8&gt;0, R354/$C$8, 0)</f>
        <v/>
      </c>
      <c r="T354" s="85">
        <f>IF(O354&gt;0, Q354/O354, 0)</f>
        <v/>
      </c>
      <c r="U354" s="18">
        <f>IF(Q354=0, "Exceeds Limit", IF(P354&lt;=O354, "Weight Limited", "Volume Limited"))</f>
        <v/>
      </c>
      <c r="V354" s="100">
        <f>B354&amp;"|"&amp;D354&amp;"|"&amp;F354</f>
        <v/>
      </c>
    </row>
    <row r="355" ht="19" customHeight="1">
      <c r="A355" s="93" t="n">
        <v>345</v>
      </c>
      <c r="B355" s="94" t="inlineStr">
        <is>
          <t>Carbon Steel</t>
        </is>
      </c>
      <c r="C355" s="13" t="inlineStr">
        <is>
          <t>ASME B36.10M / B36.19M</t>
        </is>
      </c>
      <c r="D355" s="12" t="inlineStr">
        <is>
          <t>28''</t>
        </is>
      </c>
      <c r="E355" s="93" t="n">
        <v>700</v>
      </c>
      <c r="F355" s="12" t="inlineStr">
        <is>
          <t>20</t>
        </is>
      </c>
      <c r="G355" s="14" t="n">
        <v>28</v>
      </c>
      <c r="H355" s="78" t="n">
        <v>711.2</v>
      </c>
      <c r="I355" s="14" t="n">
        <v>0.5</v>
      </c>
      <c r="J355" s="78" t="n">
        <v>12.7</v>
      </c>
      <c r="K355" s="14">
        <f>ROUND((H355-J355)*J355*IF(B355="Carbon Steel",$K$7,IF(B355="Stainless Steel 304",$K$8,$L$8)), 3)</f>
        <v/>
      </c>
      <c r="L355" s="78">
        <f>ROUND(K355*$G$5, 2)</f>
        <v/>
      </c>
      <c r="M355" s="93">
        <f>INT($G$6/H355)</f>
        <v/>
      </c>
      <c r="N355" s="93">
        <f>IF(M355=0, 0, IF(OR($K$6="Square Grid", M355=1), INT($G$7/H355), IF($G$7&lt;H355, 0, 1+INT(($G$7-H355)/(0.8660254*H355)))))</f>
        <v/>
      </c>
      <c r="O355" s="59">
        <f>IF(OR(M355=0,N355=0), 0, IF(OR($K$6="Square Grid", M355=1), M355*N355*$K$5, (INT((N355+1)/2)*M355 + INT(N355/2)*IF(($G$6-M355*H355)&gt;=0.5*H355, M355, M355-1))*$K$5))</f>
        <v/>
      </c>
      <c r="P355" s="59">
        <f>IF(L355&lt;=0, 0, INT($G$8/L355))</f>
        <v/>
      </c>
      <c r="Q355" s="95">
        <f>MIN(O355, P355)</f>
        <v/>
      </c>
      <c r="R355" s="96">
        <f>ROUND((Q355*L355)/1000, 2)</f>
        <v/>
      </c>
      <c r="S355" s="79">
        <f>IF($C$8&gt;0, R355/$C$8, 0)</f>
        <v/>
      </c>
      <c r="T355" s="79">
        <f>IF(O355&gt;0, Q355/O355, 0)</f>
        <v/>
      </c>
      <c r="U355" s="12">
        <f>IF(Q355=0, "Exceeds Limit", IF(P355&lt;=O355, "Weight Limited", "Volume Limited"))</f>
        <v/>
      </c>
      <c r="V355" s="97">
        <f>B355&amp;"|"&amp;D355&amp;"|"&amp;F355</f>
        <v/>
      </c>
    </row>
    <row r="356" ht="19" customHeight="1">
      <c r="A356" s="98" t="n">
        <v>346</v>
      </c>
      <c r="B356" s="99" t="inlineStr">
        <is>
          <t>Carbon Steel</t>
        </is>
      </c>
      <c r="C356" s="19" t="inlineStr">
        <is>
          <t>ASME B36.10M / B36.19M</t>
        </is>
      </c>
      <c r="D356" s="18" t="inlineStr">
        <is>
          <t>28''</t>
        </is>
      </c>
      <c r="E356" s="98" t="n">
        <v>700</v>
      </c>
      <c r="F356" s="18" t="inlineStr">
        <is>
          <t>30</t>
        </is>
      </c>
      <c r="G356" s="20" t="n">
        <v>28</v>
      </c>
      <c r="H356" s="82" t="n">
        <v>711.2</v>
      </c>
      <c r="I356" s="20" t="n">
        <v>0.625</v>
      </c>
      <c r="J356" s="82" t="n">
        <v>15.88</v>
      </c>
      <c r="K356" s="20">
        <f>ROUND((H356-J356)*J356*IF(B356="Carbon Steel",$K$7,IF(B356="Stainless Steel 304",$K$8,$L$8)), 3)</f>
        <v/>
      </c>
      <c r="L356" s="82">
        <f>ROUND(K356*$G$5, 2)</f>
        <v/>
      </c>
      <c r="M356" s="98">
        <f>INT($G$6/H356)</f>
        <v/>
      </c>
      <c r="N356" s="98">
        <f>IF(M356=0, 0, IF(OR($K$6="Square Grid", M356=1), INT($G$7/H356), IF($G$7&lt;H356, 0, 1+INT(($G$7-H356)/(0.8660254*H356)))))</f>
        <v/>
      </c>
      <c r="O356" s="84">
        <f>IF(OR(M356=0,N356=0), 0, IF(OR($K$6="Square Grid", M356=1), M356*N356*$K$5, (INT((N356+1)/2)*M356 + INT(N356/2)*IF(($G$6-M356*H356)&gt;=0.5*H356, M356, M356-1))*$K$5))</f>
        <v/>
      </c>
      <c r="P356" s="84">
        <f>IF(L356&lt;=0, 0, INT($G$8/L356))</f>
        <v/>
      </c>
      <c r="Q356" s="95">
        <f>MIN(O356, P356)</f>
        <v/>
      </c>
      <c r="R356" s="96">
        <f>ROUND((Q356*L356)/1000, 2)</f>
        <v/>
      </c>
      <c r="S356" s="85">
        <f>IF($C$8&gt;0, R356/$C$8, 0)</f>
        <v/>
      </c>
      <c r="T356" s="85">
        <f>IF(O356&gt;0, Q356/O356, 0)</f>
        <v/>
      </c>
      <c r="U356" s="18">
        <f>IF(Q356=0, "Exceeds Limit", IF(P356&lt;=O356, "Weight Limited", "Volume Limited"))</f>
        <v/>
      </c>
      <c r="V356" s="100">
        <f>B356&amp;"|"&amp;D356&amp;"|"&amp;F356</f>
        <v/>
      </c>
    </row>
    <row r="357" ht="19" customHeight="1">
      <c r="A357" s="93" t="n">
        <v>347</v>
      </c>
      <c r="B357" s="94" t="inlineStr">
        <is>
          <t>Carbon Steel</t>
        </is>
      </c>
      <c r="C357" s="13" t="inlineStr">
        <is>
          <t>ASME B36.10M / B36.19M</t>
        </is>
      </c>
      <c r="D357" s="12" t="inlineStr">
        <is>
          <t>28''</t>
        </is>
      </c>
      <c r="E357" s="93" t="n">
        <v>700</v>
      </c>
      <c r="F357" s="12" t="inlineStr">
        <is>
          <t>STD</t>
        </is>
      </c>
      <c r="G357" s="14" t="n">
        <v>28</v>
      </c>
      <c r="H357" s="78" t="n">
        <v>711.2</v>
      </c>
      <c r="I357" s="14" t="n">
        <v>0.375</v>
      </c>
      <c r="J357" s="78" t="n">
        <v>9.52</v>
      </c>
      <c r="K357" s="14">
        <f>ROUND((H357-J357)*J357*IF(B357="Carbon Steel",$K$7,IF(B357="Stainless Steel 304",$K$8,$L$8)), 3)</f>
        <v/>
      </c>
      <c r="L357" s="78">
        <f>ROUND(K357*$G$5, 2)</f>
        <v/>
      </c>
      <c r="M357" s="93">
        <f>INT($G$6/H357)</f>
        <v/>
      </c>
      <c r="N357" s="93">
        <f>IF(M357=0, 0, IF(OR($K$6="Square Grid", M357=1), INT($G$7/H357), IF($G$7&lt;H357, 0, 1+INT(($G$7-H357)/(0.8660254*H357)))))</f>
        <v/>
      </c>
      <c r="O357" s="59">
        <f>IF(OR(M357=0,N357=0), 0, IF(OR($K$6="Square Grid", M357=1), M357*N357*$K$5, (INT((N357+1)/2)*M357 + INT(N357/2)*IF(($G$6-M357*H357)&gt;=0.5*H357, M357, M357-1))*$K$5))</f>
        <v/>
      </c>
      <c r="P357" s="59">
        <f>IF(L357&lt;=0, 0, INT($G$8/L357))</f>
        <v/>
      </c>
      <c r="Q357" s="95">
        <f>MIN(O357, P357)</f>
        <v/>
      </c>
      <c r="R357" s="96">
        <f>ROUND((Q357*L357)/1000, 2)</f>
        <v/>
      </c>
      <c r="S357" s="79">
        <f>IF($C$8&gt;0, R357/$C$8, 0)</f>
        <v/>
      </c>
      <c r="T357" s="79">
        <f>IF(O357&gt;0, Q357/O357, 0)</f>
        <v/>
      </c>
      <c r="U357" s="12">
        <f>IF(Q357=0, "Exceeds Limit", IF(P357&lt;=O357, "Weight Limited", "Volume Limited"))</f>
        <v/>
      </c>
      <c r="V357" s="97">
        <f>B357&amp;"|"&amp;D357&amp;"|"&amp;F357</f>
        <v/>
      </c>
    </row>
    <row r="358" ht="19" customHeight="1">
      <c r="A358" s="98" t="n">
        <v>348</v>
      </c>
      <c r="B358" s="99" t="inlineStr">
        <is>
          <t>Carbon Steel</t>
        </is>
      </c>
      <c r="C358" s="19" t="inlineStr">
        <is>
          <t>ASME B36.10M / B36.19M</t>
        </is>
      </c>
      <c r="D358" s="18" t="inlineStr">
        <is>
          <t>28''</t>
        </is>
      </c>
      <c r="E358" s="98" t="n">
        <v>700</v>
      </c>
      <c r="F358" s="18" t="inlineStr">
        <is>
          <t>XS</t>
        </is>
      </c>
      <c r="G358" s="20" t="n">
        <v>28</v>
      </c>
      <c r="H358" s="82" t="n">
        <v>711.2</v>
      </c>
      <c r="I358" s="20" t="n">
        <v>0.5</v>
      </c>
      <c r="J358" s="82" t="n">
        <v>12.7</v>
      </c>
      <c r="K358" s="20">
        <f>ROUND((H358-J358)*J358*IF(B358="Carbon Steel",$K$7,IF(B358="Stainless Steel 304",$K$8,$L$8)), 3)</f>
        <v/>
      </c>
      <c r="L358" s="82">
        <f>ROUND(K358*$G$5, 2)</f>
        <v/>
      </c>
      <c r="M358" s="98">
        <f>INT($G$6/H358)</f>
        <v/>
      </c>
      <c r="N358" s="98">
        <f>IF(M358=0, 0, IF(OR($K$6="Square Grid", M358=1), INT($G$7/H358), IF($G$7&lt;H358, 0, 1+INT(($G$7-H358)/(0.8660254*H358)))))</f>
        <v/>
      </c>
      <c r="O358" s="84">
        <f>IF(OR(M358=0,N358=0), 0, IF(OR($K$6="Square Grid", M358=1), M358*N358*$K$5, (INT((N358+1)/2)*M358 + INT(N358/2)*IF(($G$6-M358*H358)&gt;=0.5*H358, M358, M358-1))*$K$5))</f>
        <v/>
      </c>
      <c r="P358" s="84">
        <f>IF(L358&lt;=0, 0, INT($G$8/L358))</f>
        <v/>
      </c>
      <c r="Q358" s="95">
        <f>MIN(O358, P358)</f>
        <v/>
      </c>
      <c r="R358" s="96">
        <f>ROUND((Q358*L358)/1000, 2)</f>
        <v/>
      </c>
      <c r="S358" s="85">
        <f>IF($C$8&gt;0, R358/$C$8, 0)</f>
        <v/>
      </c>
      <c r="T358" s="85">
        <f>IF(O358&gt;0, Q358/O358, 0)</f>
        <v/>
      </c>
      <c r="U358" s="18">
        <f>IF(Q358=0, "Exceeds Limit", IF(P358&lt;=O358, "Weight Limited", "Volume Limited"))</f>
        <v/>
      </c>
      <c r="V358" s="100">
        <f>B358&amp;"|"&amp;D358&amp;"|"&amp;F358</f>
        <v/>
      </c>
    </row>
    <row r="359" ht="19" customHeight="1">
      <c r="A359" s="93" t="n">
        <v>349</v>
      </c>
      <c r="B359" s="94" t="inlineStr">
        <is>
          <t>Carbon Steel</t>
        </is>
      </c>
      <c r="C359" s="13" t="inlineStr">
        <is>
          <t>ASME B36.10M / B36.19M</t>
        </is>
      </c>
      <c r="D359" s="12" t="inlineStr">
        <is>
          <t>30''</t>
        </is>
      </c>
      <c r="E359" s="93" t="n">
        <v>750</v>
      </c>
      <c r="F359" s="12" t="inlineStr">
        <is>
          <t>5S</t>
        </is>
      </c>
      <c r="G359" s="14" t="n">
        <v>30</v>
      </c>
      <c r="H359" s="78" t="n">
        <v>762</v>
      </c>
      <c r="I359" s="14" t="n">
        <v>0.25</v>
      </c>
      <c r="J359" s="78" t="n">
        <v>6.35</v>
      </c>
      <c r="K359" s="14">
        <f>ROUND((H359-J359)*J359*IF(B359="Carbon Steel",$K$7,IF(B359="Stainless Steel 304",$K$8,$L$8)), 3)</f>
        <v/>
      </c>
      <c r="L359" s="78">
        <f>ROUND(K359*$G$5, 2)</f>
        <v/>
      </c>
      <c r="M359" s="93">
        <f>INT($G$6/H359)</f>
        <v/>
      </c>
      <c r="N359" s="93">
        <f>IF(M359=0, 0, IF(OR($K$6="Square Grid", M359=1), INT($G$7/H359), IF($G$7&lt;H359, 0, 1+INT(($G$7-H359)/(0.8660254*H359)))))</f>
        <v/>
      </c>
      <c r="O359" s="59">
        <f>IF(OR(M359=0,N359=0), 0, IF(OR($K$6="Square Grid", M359=1), M359*N359*$K$5, (INT((N359+1)/2)*M359 + INT(N359/2)*IF(($G$6-M359*H359)&gt;=0.5*H359, M359, M359-1))*$K$5))</f>
        <v/>
      </c>
      <c r="P359" s="59">
        <f>IF(L359&lt;=0, 0, INT($G$8/L359))</f>
        <v/>
      </c>
      <c r="Q359" s="95">
        <f>MIN(O359, P359)</f>
        <v/>
      </c>
      <c r="R359" s="96">
        <f>ROUND((Q359*L359)/1000, 2)</f>
        <v/>
      </c>
      <c r="S359" s="79">
        <f>IF($C$8&gt;0, R359/$C$8, 0)</f>
        <v/>
      </c>
      <c r="T359" s="79">
        <f>IF(O359&gt;0, Q359/O359, 0)</f>
        <v/>
      </c>
      <c r="U359" s="12">
        <f>IF(Q359=0, "Exceeds Limit", IF(P359&lt;=O359, "Weight Limited", "Volume Limited"))</f>
        <v/>
      </c>
      <c r="V359" s="97">
        <f>B359&amp;"|"&amp;D359&amp;"|"&amp;F359</f>
        <v/>
      </c>
    </row>
    <row r="360" ht="19" customHeight="1">
      <c r="A360" s="98" t="n">
        <v>350</v>
      </c>
      <c r="B360" s="99" t="inlineStr">
        <is>
          <t>Carbon Steel</t>
        </is>
      </c>
      <c r="C360" s="19" t="inlineStr">
        <is>
          <t>ASME B36.10M / B36.19M</t>
        </is>
      </c>
      <c r="D360" s="18" t="inlineStr">
        <is>
          <t>30''</t>
        </is>
      </c>
      <c r="E360" s="98" t="n">
        <v>750</v>
      </c>
      <c r="F360" s="18" t="inlineStr">
        <is>
          <t>5</t>
        </is>
      </c>
      <c r="G360" s="20" t="n">
        <v>30</v>
      </c>
      <c r="H360" s="82" t="n">
        <v>762</v>
      </c>
      <c r="I360" s="20" t="n">
        <v>0.25</v>
      </c>
      <c r="J360" s="82" t="n">
        <v>6.35</v>
      </c>
      <c r="K360" s="20">
        <f>ROUND((H360-J360)*J360*IF(B360="Carbon Steel",$K$7,IF(B360="Stainless Steel 304",$K$8,$L$8)), 3)</f>
        <v/>
      </c>
      <c r="L360" s="82">
        <f>ROUND(K360*$G$5, 2)</f>
        <v/>
      </c>
      <c r="M360" s="98">
        <f>INT($G$6/H360)</f>
        <v/>
      </c>
      <c r="N360" s="98">
        <f>IF(M360=0, 0, IF(OR($K$6="Square Grid", M360=1), INT($G$7/H360), IF($G$7&lt;H360, 0, 1+INT(($G$7-H360)/(0.8660254*H360)))))</f>
        <v/>
      </c>
      <c r="O360" s="84">
        <f>IF(OR(M360=0,N360=0), 0, IF(OR($K$6="Square Grid", M360=1), M360*N360*$K$5, (INT((N360+1)/2)*M360 + INT(N360/2)*IF(($G$6-M360*H360)&gt;=0.5*H360, M360, M360-1))*$K$5))</f>
        <v/>
      </c>
      <c r="P360" s="84">
        <f>IF(L360&lt;=0, 0, INT($G$8/L360))</f>
        <v/>
      </c>
      <c r="Q360" s="95">
        <f>MIN(O360, P360)</f>
        <v/>
      </c>
      <c r="R360" s="96">
        <f>ROUND((Q360*L360)/1000, 2)</f>
        <v/>
      </c>
      <c r="S360" s="85">
        <f>IF($C$8&gt;0, R360/$C$8, 0)</f>
        <v/>
      </c>
      <c r="T360" s="85">
        <f>IF(O360&gt;0, Q360/O360, 0)</f>
        <v/>
      </c>
      <c r="U360" s="18">
        <f>IF(Q360=0, "Exceeds Limit", IF(P360&lt;=O360, "Weight Limited", "Volume Limited"))</f>
        <v/>
      </c>
      <c r="V360" s="100">
        <f>B360&amp;"|"&amp;D360&amp;"|"&amp;F360</f>
        <v/>
      </c>
    </row>
    <row r="361" ht="19" customHeight="1">
      <c r="A361" s="93" t="n">
        <v>351</v>
      </c>
      <c r="B361" s="94" t="inlineStr">
        <is>
          <t>Carbon Steel</t>
        </is>
      </c>
      <c r="C361" s="13" t="inlineStr">
        <is>
          <t>ASME B36.10M / B36.19M</t>
        </is>
      </c>
      <c r="D361" s="12" t="inlineStr">
        <is>
          <t>30''</t>
        </is>
      </c>
      <c r="E361" s="93" t="n">
        <v>750</v>
      </c>
      <c r="F361" s="12" t="inlineStr">
        <is>
          <t>10S</t>
        </is>
      </c>
      <c r="G361" s="14" t="n">
        <v>30</v>
      </c>
      <c r="H361" s="78" t="n">
        <v>762</v>
      </c>
      <c r="I361" s="14" t="n">
        <v>0.312</v>
      </c>
      <c r="J361" s="78" t="n">
        <v>7.92</v>
      </c>
      <c r="K361" s="14">
        <f>ROUND((H361-J361)*J361*IF(B361="Carbon Steel",$K$7,IF(B361="Stainless Steel 304",$K$8,$L$8)), 3)</f>
        <v/>
      </c>
      <c r="L361" s="78">
        <f>ROUND(K361*$G$5, 2)</f>
        <v/>
      </c>
      <c r="M361" s="93">
        <f>INT($G$6/H361)</f>
        <v/>
      </c>
      <c r="N361" s="93">
        <f>IF(M361=0, 0, IF(OR($K$6="Square Grid", M361=1), INT($G$7/H361), IF($G$7&lt;H361, 0, 1+INT(($G$7-H361)/(0.8660254*H361)))))</f>
        <v/>
      </c>
      <c r="O361" s="59">
        <f>IF(OR(M361=0,N361=0), 0, IF(OR($K$6="Square Grid", M361=1), M361*N361*$K$5, (INT((N361+1)/2)*M361 + INT(N361/2)*IF(($G$6-M361*H361)&gt;=0.5*H361, M361, M361-1))*$K$5))</f>
        <v/>
      </c>
      <c r="P361" s="59">
        <f>IF(L361&lt;=0, 0, INT($G$8/L361))</f>
        <v/>
      </c>
      <c r="Q361" s="95">
        <f>MIN(O361, P361)</f>
        <v/>
      </c>
      <c r="R361" s="96">
        <f>ROUND((Q361*L361)/1000, 2)</f>
        <v/>
      </c>
      <c r="S361" s="79">
        <f>IF($C$8&gt;0, R361/$C$8, 0)</f>
        <v/>
      </c>
      <c r="T361" s="79">
        <f>IF(O361&gt;0, Q361/O361, 0)</f>
        <v/>
      </c>
      <c r="U361" s="12">
        <f>IF(Q361=0, "Exceeds Limit", IF(P361&lt;=O361, "Weight Limited", "Volume Limited"))</f>
        <v/>
      </c>
      <c r="V361" s="97">
        <f>B361&amp;"|"&amp;D361&amp;"|"&amp;F361</f>
        <v/>
      </c>
    </row>
    <row r="362" ht="19" customHeight="1">
      <c r="A362" s="98" t="n">
        <v>352</v>
      </c>
      <c r="B362" s="99" t="inlineStr">
        <is>
          <t>Carbon Steel</t>
        </is>
      </c>
      <c r="C362" s="19" t="inlineStr">
        <is>
          <t>ASME B36.10M / B36.19M</t>
        </is>
      </c>
      <c r="D362" s="18" t="inlineStr">
        <is>
          <t>30''</t>
        </is>
      </c>
      <c r="E362" s="98" t="n">
        <v>750</v>
      </c>
      <c r="F362" s="18" t="inlineStr">
        <is>
          <t>10</t>
        </is>
      </c>
      <c r="G362" s="20" t="n">
        <v>30</v>
      </c>
      <c r="H362" s="82" t="n">
        <v>762</v>
      </c>
      <c r="I362" s="20" t="n">
        <v>0.312</v>
      </c>
      <c r="J362" s="82" t="n">
        <v>7.92</v>
      </c>
      <c r="K362" s="20">
        <f>ROUND((H362-J362)*J362*IF(B362="Carbon Steel",$K$7,IF(B362="Stainless Steel 304",$K$8,$L$8)), 3)</f>
        <v/>
      </c>
      <c r="L362" s="82">
        <f>ROUND(K362*$G$5, 2)</f>
        <v/>
      </c>
      <c r="M362" s="98">
        <f>INT($G$6/H362)</f>
        <v/>
      </c>
      <c r="N362" s="98">
        <f>IF(M362=0, 0, IF(OR($K$6="Square Grid", M362=1), INT($G$7/H362), IF($G$7&lt;H362, 0, 1+INT(($G$7-H362)/(0.8660254*H362)))))</f>
        <v/>
      </c>
      <c r="O362" s="84">
        <f>IF(OR(M362=0,N362=0), 0, IF(OR($K$6="Square Grid", M362=1), M362*N362*$K$5, (INT((N362+1)/2)*M362 + INT(N362/2)*IF(($G$6-M362*H362)&gt;=0.5*H362, M362, M362-1))*$K$5))</f>
        <v/>
      </c>
      <c r="P362" s="84">
        <f>IF(L362&lt;=0, 0, INT($G$8/L362))</f>
        <v/>
      </c>
      <c r="Q362" s="95">
        <f>MIN(O362, P362)</f>
        <v/>
      </c>
      <c r="R362" s="96">
        <f>ROUND((Q362*L362)/1000, 2)</f>
        <v/>
      </c>
      <c r="S362" s="85">
        <f>IF($C$8&gt;0, R362/$C$8, 0)</f>
        <v/>
      </c>
      <c r="T362" s="85">
        <f>IF(O362&gt;0, Q362/O362, 0)</f>
        <v/>
      </c>
      <c r="U362" s="18">
        <f>IF(Q362=0, "Exceeds Limit", IF(P362&lt;=O362, "Weight Limited", "Volume Limited"))</f>
        <v/>
      </c>
      <c r="V362" s="100">
        <f>B362&amp;"|"&amp;D362&amp;"|"&amp;F362</f>
        <v/>
      </c>
    </row>
    <row r="363" ht="19" customHeight="1">
      <c r="A363" s="93" t="n">
        <v>353</v>
      </c>
      <c r="B363" s="94" t="inlineStr">
        <is>
          <t>Carbon Steel</t>
        </is>
      </c>
      <c r="C363" s="13" t="inlineStr">
        <is>
          <t>ASME B36.10M / B36.19M</t>
        </is>
      </c>
      <c r="D363" s="12" t="inlineStr">
        <is>
          <t>30''</t>
        </is>
      </c>
      <c r="E363" s="93" t="n">
        <v>750</v>
      </c>
      <c r="F363" s="12" t="inlineStr">
        <is>
          <t>20</t>
        </is>
      </c>
      <c r="G363" s="14" t="n">
        <v>30</v>
      </c>
      <c r="H363" s="78" t="n">
        <v>762</v>
      </c>
      <c r="I363" s="14" t="n">
        <v>0.5</v>
      </c>
      <c r="J363" s="78" t="n">
        <v>12.7</v>
      </c>
      <c r="K363" s="14">
        <f>ROUND((H363-J363)*J363*IF(B363="Carbon Steel",$K$7,IF(B363="Stainless Steel 304",$K$8,$L$8)), 3)</f>
        <v/>
      </c>
      <c r="L363" s="78">
        <f>ROUND(K363*$G$5, 2)</f>
        <v/>
      </c>
      <c r="M363" s="93">
        <f>INT($G$6/H363)</f>
        <v/>
      </c>
      <c r="N363" s="93">
        <f>IF(M363=0, 0, IF(OR($K$6="Square Grid", M363=1), INT($G$7/H363), IF($G$7&lt;H363, 0, 1+INT(($G$7-H363)/(0.8660254*H363)))))</f>
        <v/>
      </c>
      <c r="O363" s="59">
        <f>IF(OR(M363=0,N363=0), 0, IF(OR($K$6="Square Grid", M363=1), M363*N363*$K$5, (INT((N363+1)/2)*M363 + INT(N363/2)*IF(($G$6-M363*H363)&gt;=0.5*H363, M363, M363-1))*$K$5))</f>
        <v/>
      </c>
      <c r="P363" s="59">
        <f>IF(L363&lt;=0, 0, INT($G$8/L363))</f>
        <v/>
      </c>
      <c r="Q363" s="95">
        <f>MIN(O363, P363)</f>
        <v/>
      </c>
      <c r="R363" s="96">
        <f>ROUND((Q363*L363)/1000, 2)</f>
        <v/>
      </c>
      <c r="S363" s="79">
        <f>IF($C$8&gt;0, R363/$C$8, 0)</f>
        <v/>
      </c>
      <c r="T363" s="79">
        <f>IF(O363&gt;0, Q363/O363, 0)</f>
        <v/>
      </c>
      <c r="U363" s="12">
        <f>IF(Q363=0, "Exceeds Limit", IF(P363&lt;=O363, "Weight Limited", "Volume Limited"))</f>
        <v/>
      </c>
      <c r="V363" s="97">
        <f>B363&amp;"|"&amp;D363&amp;"|"&amp;F363</f>
        <v/>
      </c>
    </row>
    <row r="364" ht="19" customHeight="1">
      <c r="A364" s="98" t="n">
        <v>354</v>
      </c>
      <c r="B364" s="99" t="inlineStr">
        <is>
          <t>Carbon Steel</t>
        </is>
      </c>
      <c r="C364" s="19" t="inlineStr">
        <is>
          <t>ASME B36.10M / B36.19M</t>
        </is>
      </c>
      <c r="D364" s="18" t="inlineStr">
        <is>
          <t>30''</t>
        </is>
      </c>
      <c r="E364" s="98" t="n">
        <v>750</v>
      </c>
      <c r="F364" s="18" t="inlineStr">
        <is>
          <t>30</t>
        </is>
      </c>
      <c r="G364" s="20" t="n">
        <v>30</v>
      </c>
      <c r="H364" s="82" t="n">
        <v>762</v>
      </c>
      <c r="I364" s="20" t="n">
        <v>0.625</v>
      </c>
      <c r="J364" s="82" t="n">
        <v>15.88</v>
      </c>
      <c r="K364" s="20">
        <f>ROUND((H364-J364)*J364*IF(B364="Carbon Steel",$K$7,IF(B364="Stainless Steel 304",$K$8,$L$8)), 3)</f>
        <v/>
      </c>
      <c r="L364" s="82">
        <f>ROUND(K364*$G$5, 2)</f>
        <v/>
      </c>
      <c r="M364" s="98">
        <f>INT($G$6/H364)</f>
        <v/>
      </c>
      <c r="N364" s="98">
        <f>IF(M364=0, 0, IF(OR($K$6="Square Grid", M364=1), INT($G$7/H364), IF($G$7&lt;H364, 0, 1+INT(($G$7-H364)/(0.8660254*H364)))))</f>
        <v/>
      </c>
      <c r="O364" s="84">
        <f>IF(OR(M364=0,N364=0), 0, IF(OR($K$6="Square Grid", M364=1), M364*N364*$K$5, (INT((N364+1)/2)*M364 + INT(N364/2)*IF(($G$6-M364*H364)&gt;=0.5*H364, M364, M364-1))*$K$5))</f>
        <v/>
      </c>
      <c r="P364" s="84">
        <f>IF(L364&lt;=0, 0, INT($G$8/L364))</f>
        <v/>
      </c>
      <c r="Q364" s="95">
        <f>MIN(O364, P364)</f>
        <v/>
      </c>
      <c r="R364" s="96">
        <f>ROUND((Q364*L364)/1000, 2)</f>
        <v/>
      </c>
      <c r="S364" s="85">
        <f>IF($C$8&gt;0, R364/$C$8, 0)</f>
        <v/>
      </c>
      <c r="T364" s="85">
        <f>IF(O364&gt;0, Q364/O364, 0)</f>
        <v/>
      </c>
      <c r="U364" s="18">
        <f>IF(Q364=0, "Exceeds Limit", IF(P364&lt;=O364, "Weight Limited", "Volume Limited"))</f>
        <v/>
      </c>
      <c r="V364" s="100">
        <f>B364&amp;"|"&amp;D364&amp;"|"&amp;F364</f>
        <v/>
      </c>
    </row>
    <row r="365" ht="19" customHeight="1">
      <c r="A365" s="93" t="n">
        <v>355</v>
      </c>
      <c r="B365" s="94" t="inlineStr">
        <is>
          <t>Carbon Steel</t>
        </is>
      </c>
      <c r="C365" s="13" t="inlineStr">
        <is>
          <t>ASME B36.10M / B36.19M</t>
        </is>
      </c>
      <c r="D365" s="12" t="inlineStr">
        <is>
          <t>30''</t>
        </is>
      </c>
      <c r="E365" s="93" t="n">
        <v>750</v>
      </c>
      <c r="F365" s="12" t="inlineStr">
        <is>
          <t>40S</t>
        </is>
      </c>
      <c r="G365" s="14" t="n">
        <v>30</v>
      </c>
      <c r="H365" s="78" t="n">
        <v>762</v>
      </c>
      <c r="I365" s="14" t="n">
        <v>0.375</v>
      </c>
      <c r="J365" s="78" t="n">
        <v>9.52</v>
      </c>
      <c r="K365" s="14">
        <f>ROUND((H365-J365)*J365*IF(B365="Carbon Steel",$K$7,IF(B365="Stainless Steel 304",$K$8,$L$8)), 3)</f>
        <v/>
      </c>
      <c r="L365" s="78">
        <f>ROUND(K365*$G$5, 2)</f>
        <v/>
      </c>
      <c r="M365" s="93">
        <f>INT($G$6/H365)</f>
        <v/>
      </c>
      <c r="N365" s="93">
        <f>IF(M365=0, 0, IF(OR($K$6="Square Grid", M365=1), INT($G$7/H365), IF($G$7&lt;H365, 0, 1+INT(($G$7-H365)/(0.8660254*H365)))))</f>
        <v/>
      </c>
      <c r="O365" s="59">
        <f>IF(OR(M365=0,N365=0), 0, IF(OR($K$6="Square Grid", M365=1), M365*N365*$K$5, (INT((N365+1)/2)*M365 + INT(N365/2)*IF(($G$6-M365*H365)&gt;=0.5*H365, M365, M365-1))*$K$5))</f>
        <v/>
      </c>
      <c r="P365" s="59">
        <f>IF(L365&lt;=0, 0, INT($G$8/L365))</f>
        <v/>
      </c>
      <c r="Q365" s="95">
        <f>MIN(O365, P365)</f>
        <v/>
      </c>
      <c r="R365" s="96">
        <f>ROUND((Q365*L365)/1000, 2)</f>
        <v/>
      </c>
      <c r="S365" s="79">
        <f>IF($C$8&gt;0, R365/$C$8, 0)</f>
        <v/>
      </c>
      <c r="T365" s="79">
        <f>IF(O365&gt;0, Q365/O365, 0)</f>
        <v/>
      </c>
      <c r="U365" s="12">
        <f>IF(Q365=0, "Exceeds Limit", IF(P365&lt;=O365, "Weight Limited", "Volume Limited"))</f>
        <v/>
      </c>
      <c r="V365" s="97">
        <f>B365&amp;"|"&amp;D365&amp;"|"&amp;F365</f>
        <v/>
      </c>
    </row>
    <row r="366" ht="19" customHeight="1">
      <c r="A366" s="98" t="n">
        <v>356</v>
      </c>
      <c r="B366" s="99" t="inlineStr">
        <is>
          <t>Carbon Steel</t>
        </is>
      </c>
      <c r="C366" s="19" t="inlineStr">
        <is>
          <t>ASME B36.10M / B36.19M</t>
        </is>
      </c>
      <c r="D366" s="18" t="inlineStr">
        <is>
          <t>30''</t>
        </is>
      </c>
      <c r="E366" s="98" t="n">
        <v>750</v>
      </c>
      <c r="F366" s="18" t="inlineStr">
        <is>
          <t>STD</t>
        </is>
      </c>
      <c r="G366" s="20" t="n">
        <v>30</v>
      </c>
      <c r="H366" s="82" t="n">
        <v>762</v>
      </c>
      <c r="I366" s="20" t="n">
        <v>0.375</v>
      </c>
      <c r="J366" s="82" t="n">
        <v>9.52</v>
      </c>
      <c r="K366" s="20">
        <f>ROUND((H366-J366)*J366*IF(B366="Carbon Steel",$K$7,IF(B366="Stainless Steel 304",$K$8,$L$8)), 3)</f>
        <v/>
      </c>
      <c r="L366" s="82">
        <f>ROUND(K366*$G$5, 2)</f>
        <v/>
      </c>
      <c r="M366" s="98">
        <f>INT($G$6/H366)</f>
        <v/>
      </c>
      <c r="N366" s="98">
        <f>IF(M366=0, 0, IF(OR($K$6="Square Grid", M366=1), INT($G$7/H366), IF($G$7&lt;H366, 0, 1+INT(($G$7-H366)/(0.8660254*H366)))))</f>
        <v/>
      </c>
      <c r="O366" s="84">
        <f>IF(OR(M366=0,N366=0), 0, IF(OR($K$6="Square Grid", M366=1), M366*N366*$K$5, (INT((N366+1)/2)*M366 + INT(N366/2)*IF(($G$6-M366*H366)&gt;=0.5*H366, M366, M366-1))*$K$5))</f>
        <v/>
      </c>
      <c r="P366" s="84">
        <f>IF(L366&lt;=0, 0, INT($G$8/L366))</f>
        <v/>
      </c>
      <c r="Q366" s="95">
        <f>MIN(O366, P366)</f>
        <v/>
      </c>
      <c r="R366" s="96">
        <f>ROUND((Q366*L366)/1000, 2)</f>
        <v/>
      </c>
      <c r="S366" s="85">
        <f>IF($C$8&gt;0, R366/$C$8, 0)</f>
        <v/>
      </c>
      <c r="T366" s="85">
        <f>IF(O366&gt;0, Q366/O366, 0)</f>
        <v/>
      </c>
      <c r="U366" s="18">
        <f>IF(Q366=0, "Exceeds Limit", IF(P366&lt;=O366, "Weight Limited", "Volume Limited"))</f>
        <v/>
      </c>
      <c r="V366" s="100">
        <f>B366&amp;"|"&amp;D366&amp;"|"&amp;F366</f>
        <v/>
      </c>
    </row>
    <row r="367" ht="19" customHeight="1">
      <c r="A367" s="93" t="n">
        <v>357</v>
      </c>
      <c r="B367" s="94" t="inlineStr">
        <is>
          <t>Carbon Steel</t>
        </is>
      </c>
      <c r="C367" s="13" t="inlineStr">
        <is>
          <t>ASME B36.10M / B36.19M</t>
        </is>
      </c>
      <c r="D367" s="12" t="inlineStr">
        <is>
          <t>30''</t>
        </is>
      </c>
      <c r="E367" s="93" t="n">
        <v>750</v>
      </c>
      <c r="F367" s="12" t="inlineStr">
        <is>
          <t>80S</t>
        </is>
      </c>
      <c r="G367" s="14" t="n">
        <v>30</v>
      </c>
      <c r="H367" s="78" t="n">
        <v>762</v>
      </c>
      <c r="I367" s="14" t="n">
        <v>0.5</v>
      </c>
      <c r="J367" s="78" t="n">
        <v>12.7</v>
      </c>
      <c r="K367" s="14">
        <f>ROUND((H367-J367)*J367*IF(B367="Carbon Steel",$K$7,IF(B367="Stainless Steel 304",$K$8,$L$8)), 3)</f>
        <v/>
      </c>
      <c r="L367" s="78">
        <f>ROUND(K367*$G$5, 2)</f>
        <v/>
      </c>
      <c r="M367" s="93">
        <f>INT($G$6/H367)</f>
        <v/>
      </c>
      <c r="N367" s="93">
        <f>IF(M367=0, 0, IF(OR($K$6="Square Grid", M367=1), INT($G$7/H367), IF($G$7&lt;H367, 0, 1+INT(($G$7-H367)/(0.8660254*H367)))))</f>
        <v/>
      </c>
      <c r="O367" s="59">
        <f>IF(OR(M367=0,N367=0), 0, IF(OR($K$6="Square Grid", M367=1), M367*N367*$K$5, (INT((N367+1)/2)*M367 + INT(N367/2)*IF(($G$6-M367*H367)&gt;=0.5*H367, M367, M367-1))*$K$5))</f>
        <v/>
      </c>
      <c r="P367" s="59">
        <f>IF(L367&lt;=0, 0, INT($G$8/L367))</f>
        <v/>
      </c>
      <c r="Q367" s="95">
        <f>MIN(O367, P367)</f>
        <v/>
      </c>
      <c r="R367" s="96">
        <f>ROUND((Q367*L367)/1000, 2)</f>
        <v/>
      </c>
      <c r="S367" s="79">
        <f>IF($C$8&gt;0, R367/$C$8, 0)</f>
        <v/>
      </c>
      <c r="T367" s="79">
        <f>IF(O367&gt;0, Q367/O367, 0)</f>
        <v/>
      </c>
      <c r="U367" s="12">
        <f>IF(Q367=0, "Exceeds Limit", IF(P367&lt;=O367, "Weight Limited", "Volume Limited"))</f>
        <v/>
      </c>
      <c r="V367" s="97">
        <f>B367&amp;"|"&amp;D367&amp;"|"&amp;F367</f>
        <v/>
      </c>
    </row>
    <row r="368" ht="19" customHeight="1">
      <c r="A368" s="98" t="n">
        <v>358</v>
      </c>
      <c r="B368" s="99" t="inlineStr">
        <is>
          <t>Carbon Steel</t>
        </is>
      </c>
      <c r="C368" s="19" t="inlineStr">
        <is>
          <t>ASME B36.10M / B36.19M</t>
        </is>
      </c>
      <c r="D368" s="18" t="inlineStr">
        <is>
          <t>30''</t>
        </is>
      </c>
      <c r="E368" s="98" t="n">
        <v>750</v>
      </c>
      <c r="F368" s="18" t="inlineStr">
        <is>
          <t>XS</t>
        </is>
      </c>
      <c r="G368" s="20" t="n">
        <v>30</v>
      </c>
      <c r="H368" s="82" t="n">
        <v>762</v>
      </c>
      <c r="I368" s="20" t="n">
        <v>0.5</v>
      </c>
      <c r="J368" s="82" t="n">
        <v>12.7</v>
      </c>
      <c r="K368" s="20">
        <f>ROUND((H368-J368)*J368*IF(B368="Carbon Steel",$K$7,IF(B368="Stainless Steel 304",$K$8,$L$8)), 3)</f>
        <v/>
      </c>
      <c r="L368" s="82">
        <f>ROUND(K368*$G$5, 2)</f>
        <v/>
      </c>
      <c r="M368" s="98">
        <f>INT($G$6/H368)</f>
        <v/>
      </c>
      <c r="N368" s="98">
        <f>IF(M368=0, 0, IF(OR($K$6="Square Grid", M368=1), INT($G$7/H368), IF($G$7&lt;H368, 0, 1+INT(($G$7-H368)/(0.8660254*H368)))))</f>
        <v/>
      </c>
      <c r="O368" s="84">
        <f>IF(OR(M368=0,N368=0), 0, IF(OR($K$6="Square Grid", M368=1), M368*N368*$K$5, (INT((N368+1)/2)*M368 + INT(N368/2)*IF(($G$6-M368*H368)&gt;=0.5*H368, M368, M368-1))*$K$5))</f>
        <v/>
      </c>
      <c r="P368" s="84">
        <f>IF(L368&lt;=0, 0, INT($G$8/L368))</f>
        <v/>
      </c>
      <c r="Q368" s="95">
        <f>MIN(O368, P368)</f>
        <v/>
      </c>
      <c r="R368" s="96">
        <f>ROUND((Q368*L368)/1000, 2)</f>
        <v/>
      </c>
      <c r="S368" s="85">
        <f>IF($C$8&gt;0, R368/$C$8, 0)</f>
        <v/>
      </c>
      <c r="T368" s="85">
        <f>IF(O368&gt;0, Q368/O368, 0)</f>
        <v/>
      </c>
      <c r="U368" s="18">
        <f>IF(Q368=0, "Exceeds Limit", IF(P368&lt;=O368, "Weight Limited", "Volume Limited"))</f>
        <v/>
      </c>
      <c r="V368" s="100">
        <f>B368&amp;"|"&amp;D368&amp;"|"&amp;F368</f>
        <v/>
      </c>
    </row>
    <row r="369" ht="19" customHeight="1">
      <c r="A369" s="93" t="n">
        <v>359</v>
      </c>
      <c r="B369" s="94" t="inlineStr">
        <is>
          <t>Carbon Steel</t>
        </is>
      </c>
      <c r="C369" s="13" t="inlineStr">
        <is>
          <t>ASME B36.10M / B36.19M</t>
        </is>
      </c>
      <c r="D369" s="12" t="inlineStr">
        <is>
          <t>32''</t>
        </is>
      </c>
      <c r="E369" s="93" t="n">
        <v>800</v>
      </c>
      <c r="F369" s="12" t="inlineStr">
        <is>
          <t>10</t>
        </is>
      </c>
      <c r="G369" s="14" t="n">
        <v>32</v>
      </c>
      <c r="H369" s="78" t="n">
        <v>812.8</v>
      </c>
      <c r="I369" s="14" t="n">
        <v>0.312</v>
      </c>
      <c r="J369" s="78" t="n">
        <v>7.92</v>
      </c>
      <c r="K369" s="14">
        <f>ROUND((H369-J369)*J369*IF(B369="Carbon Steel",$K$7,IF(B369="Stainless Steel 304",$K$8,$L$8)), 3)</f>
        <v/>
      </c>
      <c r="L369" s="78">
        <f>ROUND(K369*$G$5, 2)</f>
        <v/>
      </c>
      <c r="M369" s="93">
        <f>INT($G$6/H369)</f>
        <v/>
      </c>
      <c r="N369" s="93">
        <f>IF(M369=0, 0, IF(OR($K$6="Square Grid", M369=1), INT($G$7/H369), IF($G$7&lt;H369, 0, 1+INT(($G$7-H369)/(0.8660254*H369)))))</f>
        <v/>
      </c>
      <c r="O369" s="59">
        <f>IF(OR(M369=0,N369=0), 0, IF(OR($K$6="Square Grid", M369=1), M369*N369*$K$5, (INT((N369+1)/2)*M369 + INT(N369/2)*IF(($G$6-M369*H369)&gt;=0.5*H369, M369, M369-1))*$K$5))</f>
        <v/>
      </c>
      <c r="P369" s="59">
        <f>IF(L369&lt;=0, 0, INT($G$8/L369))</f>
        <v/>
      </c>
      <c r="Q369" s="95">
        <f>MIN(O369, P369)</f>
        <v/>
      </c>
      <c r="R369" s="96">
        <f>ROUND((Q369*L369)/1000, 2)</f>
        <v/>
      </c>
      <c r="S369" s="79">
        <f>IF($C$8&gt;0, R369/$C$8, 0)</f>
        <v/>
      </c>
      <c r="T369" s="79">
        <f>IF(O369&gt;0, Q369/O369, 0)</f>
        <v/>
      </c>
      <c r="U369" s="12">
        <f>IF(Q369=0, "Exceeds Limit", IF(P369&lt;=O369, "Weight Limited", "Volume Limited"))</f>
        <v/>
      </c>
      <c r="V369" s="97">
        <f>B369&amp;"|"&amp;D369&amp;"|"&amp;F369</f>
        <v/>
      </c>
    </row>
    <row r="370" ht="19" customHeight="1">
      <c r="A370" s="98" t="n">
        <v>360</v>
      </c>
      <c r="B370" s="99" t="inlineStr">
        <is>
          <t>Carbon Steel</t>
        </is>
      </c>
      <c r="C370" s="19" t="inlineStr">
        <is>
          <t>ASME B36.10M / B36.19M</t>
        </is>
      </c>
      <c r="D370" s="18" t="inlineStr">
        <is>
          <t>32''</t>
        </is>
      </c>
      <c r="E370" s="98" t="n">
        <v>800</v>
      </c>
      <c r="F370" s="18" t="inlineStr">
        <is>
          <t>20</t>
        </is>
      </c>
      <c r="G370" s="20" t="n">
        <v>32</v>
      </c>
      <c r="H370" s="82" t="n">
        <v>812.8</v>
      </c>
      <c r="I370" s="20" t="n">
        <v>0.5</v>
      </c>
      <c r="J370" s="82" t="n">
        <v>12.7</v>
      </c>
      <c r="K370" s="20">
        <f>ROUND((H370-J370)*J370*IF(B370="Carbon Steel",$K$7,IF(B370="Stainless Steel 304",$K$8,$L$8)), 3)</f>
        <v/>
      </c>
      <c r="L370" s="82">
        <f>ROUND(K370*$G$5, 2)</f>
        <v/>
      </c>
      <c r="M370" s="98">
        <f>INT($G$6/H370)</f>
        <v/>
      </c>
      <c r="N370" s="98">
        <f>IF(M370=0, 0, IF(OR($K$6="Square Grid", M370=1), INT($G$7/H370), IF($G$7&lt;H370, 0, 1+INT(($G$7-H370)/(0.8660254*H370)))))</f>
        <v/>
      </c>
      <c r="O370" s="84">
        <f>IF(OR(M370=0,N370=0), 0, IF(OR($K$6="Square Grid", M370=1), M370*N370*$K$5, (INT((N370+1)/2)*M370 + INT(N370/2)*IF(($G$6-M370*H370)&gt;=0.5*H370, M370, M370-1))*$K$5))</f>
        <v/>
      </c>
      <c r="P370" s="84">
        <f>IF(L370&lt;=0, 0, INT($G$8/L370))</f>
        <v/>
      </c>
      <c r="Q370" s="95">
        <f>MIN(O370, P370)</f>
        <v/>
      </c>
      <c r="R370" s="96">
        <f>ROUND((Q370*L370)/1000, 2)</f>
        <v/>
      </c>
      <c r="S370" s="85">
        <f>IF($C$8&gt;0, R370/$C$8, 0)</f>
        <v/>
      </c>
      <c r="T370" s="85">
        <f>IF(O370&gt;0, Q370/O370, 0)</f>
        <v/>
      </c>
      <c r="U370" s="18">
        <f>IF(Q370=0, "Exceeds Limit", IF(P370&lt;=O370, "Weight Limited", "Volume Limited"))</f>
        <v/>
      </c>
      <c r="V370" s="100">
        <f>B370&amp;"|"&amp;D370&amp;"|"&amp;F370</f>
        <v/>
      </c>
    </row>
    <row r="371" ht="19" customHeight="1">
      <c r="A371" s="93" t="n">
        <v>361</v>
      </c>
      <c r="B371" s="94" t="inlineStr">
        <is>
          <t>Carbon Steel</t>
        </is>
      </c>
      <c r="C371" s="13" t="inlineStr">
        <is>
          <t>ASME B36.10M / B36.19M</t>
        </is>
      </c>
      <c r="D371" s="12" t="inlineStr">
        <is>
          <t>32''</t>
        </is>
      </c>
      <c r="E371" s="93" t="n">
        <v>800</v>
      </c>
      <c r="F371" s="12" t="inlineStr">
        <is>
          <t>30</t>
        </is>
      </c>
      <c r="G371" s="14" t="n">
        <v>32</v>
      </c>
      <c r="H371" s="78" t="n">
        <v>812.8</v>
      </c>
      <c r="I371" s="14" t="n">
        <v>0.625</v>
      </c>
      <c r="J371" s="78" t="n">
        <v>15.88</v>
      </c>
      <c r="K371" s="14">
        <f>ROUND((H371-J371)*J371*IF(B371="Carbon Steel",$K$7,IF(B371="Stainless Steel 304",$K$8,$L$8)), 3)</f>
        <v/>
      </c>
      <c r="L371" s="78">
        <f>ROUND(K371*$G$5, 2)</f>
        <v/>
      </c>
      <c r="M371" s="93">
        <f>INT($G$6/H371)</f>
        <v/>
      </c>
      <c r="N371" s="93">
        <f>IF(M371=0, 0, IF(OR($K$6="Square Grid", M371=1), INT($G$7/H371), IF($G$7&lt;H371, 0, 1+INT(($G$7-H371)/(0.8660254*H371)))))</f>
        <v/>
      </c>
      <c r="O371" s="59">
        <f>IF(OR(M371=0,N371=0), 0, IF(OR($K$6="Square Grid", M371=1), M371*N371*$K$5, (INT((N371+1)/2)*M371 + INT(N371/2)*IF(($G$6-M371*H371)&gt;=0.5*H371, M371, M371-1))*$K$5))</f>
        <v/>
      </c>
      <c r="P371" s="59">
        <f>IF(L371&lt;=0, 0, INT($G$8/L371))</f>
        <v/>
      </c>
      <c r="Q371" s="95">
        <f>MIN(O371, P371)</f>
        <v/>
      </c>
      <c r="R371" s="96">
        <f>ROUND((Q371*L371)/1000, 2)</f>
        <v/>
      </c>
      <c r="S371" s="79">
        <f>IF($C$8&gt;0, R371/$C$8, 0)</f>
        <v/>
      </c>
      <c r="T371" s="79">
        <f>IF(O371&gt;0, Q371/O371, 0)</f>
        <v/>
      </c>
      <c r="U371" s="12">
        <f>IF(Q371=0, "Exceeds Limit", IF(P371&lt;=O371, "Weight Limited", "Volume Limited"))</f>
        <v/>
      </c>
      <c r="V371" s="97">
        <f>B371&amp;"|"&amp;D371&amp;"|"&amp;F371</f>
        <v/>
      </c>
    </row>
    <row r="372" ht="19" customHeight="1">
      <c r="A372" s="98" t="n">
        <v>362</v>
      </c>
      <c r="B372" s="99" t="inlineStr">
        <is>
          <t>Carbon Steel</t>
        </is>
      </c>
      <c r="C372" s="19" t="inlineStr">
        <is>
          <t>ASME B36.10M / B36.19M</t>
        </is>
      </c>
      <c r="D372" s="18" t="inlineStr">
        <is>
          <t>32''</t>
        </is>
      </c>
      <c r="E372" s="98" t="n">
        <v>800</v>
      </c>
      <c r="F372" s="18" t="inlineStr">
        <is>
          <t>STD</t>
        </is>
      </c>
      <c r="G372" s="20" t="n">
        <v>32</v>
      </c>
      <c r="H372" s="82" t="n">
        <v>812.8</v>
      </c>
      <c r="I372" s="20" t="n">
        <v>0.375</v>
      </c>
      <c r="J372" s="82" t="n">
        <v>9.52</v>
      </c>
      <c r="K372" s="20">
        <f>ROUND((H372-J372)*J372*IF(B372="Carbon Steel",$K$7,IF(B372="Stainless Steel 304",$K$8,$L$8)), 3)</f>
        <v/>
      </c>
      <c r="L372" s="82">
        <f>ROUND(K372*$G$5, 2)</f>
        <v/>
      </c>
      <c r="M372" s="98">
        <f>INT($G$6/H372)</f>
        <v/>
      </c>
      <c r="N372" s="98">
        <f>IF(M372=0, 0, IF(OR($K$6="Square Grid", M372=1), INT($G$7/H372), IF($G$7&lt;H372, 0, 1+INT(($G$7-H372)/(0.8660254*H372)))))</f>
        <v/>
      </c>
      <c r="O372" s="84">
        <f>IF(OR(M372=0,N372=0), 0, IF(OR($K$6="Square Grid", M372=1), M372*N372*$K$5, (INT((N372+1)/2)*M372 + INT(N372/2)*IF(($G$6-M372*H372)&gt;=0.5*H372, M372, M372-1))*$K$5))</f>
        <v/>
      </c>
      <c r="P372" s="84">
        <f>IF(L372&lt;=0, 0, INT($G$8/L372))</f>
        <v/>
      </c>
      <c r="Q372" s="95">
        <f>MIN(O372, P372)</f>
        <v/>
      </c>
      <c r="R372" s="96">
        <f>ROUND((Q372*L372)/1000, 2)</f>
        <v/>
      </c>
      <c r="S372" s="85">
        <f>IF($C$8&gt;0, R372/$C$8, 0)</f>
        <v/>
      </c>
      <c r="T372" s="85">
        <f>IF(O372&gt;0, Q372/O372, 0)</f>
        <v/>
      </c>
      <c r="U372" s="18">
        <f>IF(Q372=0, "Exceeds Limit", IF(P372&lt;=O372, "Weight Limited", "Volume Limited"))</f>
        <v/>
      </c>
      <c r="V372" s="100">
        <f>B372&amp;"|"&amp;D372&amp;"|"&amp;F372</f>
        <v/>
      </c>
    </row>
    <row r="373" ht="19" customHeight="1">
      <c r="A373" s="93" t="n">
        <v>363</v>
      </c>
      <c r="B373" s="94" t="inlineStr">
        <is>
          <t>Carbon Steel</t>
        </is>
      </c>
      <c r="C373" s="13" t="inlineStr">
        <is>
          <t>ASME B36.10M / B36.19M</t>
        </is>
      </c>
      <c r="D373" s="12" t="inlineStr">
        <is>
          <t>32''</t>
        </is>
      </c>
      <c r="E373" s="93" t="n">
        <v>800</v>
      </c>
      <c r="F373" s="12" t="inlineStr">
        <is>
          <t>40</t>
        </is>
      </c>
      <c r="G373" s="14" t="n">
        <v>32</v>
      </c>
      <c r="H373" s="78" t="n">
        <v>812.8</v>
      </c>
      <c r="I373" s="14" t="n">
        <v>0.6879999999999999</v>
      </c>
      <c r="J373" s="78" t="n">
        <v>17.48</v>
      </c>
      <c r="K373" s="14">
        <f>ROUND((H373-J373)*J373*IF(B373="Carbon Steel",$K$7,IF(B373="Stainless Steel 304",$K$8,$L$8)), 3)</f>
        <v/>
      </c>
      <c r="L373" s="78">
        <f>ROUND(K373*$G$5, 2)</f>
        <v/>
      </c>
      <c r="M373" s="93">
        <f>INT($G$6/H373)</f>
        <v/>
      </c>
      <c r="N373" s="93">
        <f>IF(M373=0, 0, IF(OR($K$6="Square Grid", M373=1), INT($G$7/H373), IF($G$7&lt;H373, 0, 1+INT(($G$7-H373)/(0.8660254*H373)))))</f>
        <v/>
      </c>
      <c r="O373" s="59">
        <f>IF(OR(M373=0,N373=0), 0, IF(OR($K$6="Square Grid", M373=1), M373*N373*$K$5, (INT((N373+1)/2)*M373 + INT(N373/2)*IF(($G$6-M373*H373)&gt;=0.5*H373, M373, M373-1))*$K$5))</f>
        <v/>
      </c>
      <c r="P373" s="59">
        <f>IF(L373&lt;=0, 0, INT($G$8/L373))</f>
        <v/>
      </c>
      <c r="Q373" s="95">
        <f>MIN(O373, P373)</f>
        <v/>
      </c>
      <c r="R373" s="96">
        <f>ROUND((Q373*L373)/1000, 2)</f>
        <v/>
      </c>
      <c r="S373" s="79">
        <f>IF($C$8&gt;0, R373/$C$8, 0)</f>
        <v/>
      </c>
      <c r="T373" s="79">
        <f>IF(O373&gt;0, Q373/O373, 0)</f>
        <v/>
      </c>
      <c r="U373" s="12">
        <f>IF(Q373=0, "Exceeds Limit", IF(P373&lt;=O373, "Weight Limited", "Volume Limited"))</f>
        <v/>
      </c>
      <c r="V373" s="97">
        <f>B373&amp;"|"&amp;D373&amp;"|"&amp;F373</f>
        <v/>
      </c>
    </row>
    <row r="374" ht="19" customHeight="1">
      <c r="A374" s="98" t="n">
        <v>364</v>
      </c>
      <c r="B374" s="99" t="inlineStr">
        <is>
          <t>Carbon Steel</t>
        </is>
      </c>
      <c r="C374" s="19" t="inlineStr">
        <is>
          <t>ASME B36.10M / B36.19M</t>
        </is>
      </c>
      <c r="D374" s="18" t="inlineStr">
        <is>
          <t>32''</t>
        </is>
      </c>
      <c r="E374" s="98" t="n">
        <v>800</v>
      </c>
      <c r="F374" s="18" t="inlineStr">
        <is>
          <t>XS</t>
        </is>
      </c>
      <c r="G374" s="20" t="n">
        <v>32</v>
      </c>
      <c r="H374" s="82" t="n">
        <v>812.8</v>
      </c>
      <c r="I374" s="20" t="n">
        <v>0.5</v>
      </c>
      <c r="J374" s="82" t="n">
        <v>12.7</v>
      </c>
      <c r="K374" s="20">
        <f>ROUND((H374-J374)*J374*IF(B374="Carbon Steel",$K$7,IF(B374="Stainless Steel 304",$K$8,$L$8)), 3)</f>
        <v/>
      </c>
      <c r="L374" s="82">
        <f>ROUND(K374*$G$5, 2)</f>
        <v/>
      </c>
      <c r="M374" s="98">
        <f>INT($G$6/H374)</f>
        <v/>
      </c>
      <c r="N374" s="98">
        <f>IF(M374=0, 0, IF(OR($K$6="Square Grid", M374=1), INT($G$7/H374), IF($G$7&lt;H374, 0, 1+INT(($G$7-H374)/(0.8660254*H374)))))</f>
        <v/>
      </c>
      <c r="O374" s="84">
        <f>IF(OR(M374=0,N374=0), 0, IF(OR($K$6="Square Grid", M374=1), M374*N374*$K$5, (INT((N374+1)/2)*M374 + INT(N374/2)*IF(($G$6-M374*H374)&gt;=0.5*H374, M374, M374-1))*$K$5))</f>
        <v/>
      </c>
      <c r="P374" s="84">
        <f>IF(L374&lt;=0, 0, INT($G$8/L374))</f>
        <v/>
      </c>
      <c r="Q374" s="95">
        <f>MIN(O374, P374)</f>
        <v/>
      </c>
      <c r="R374" s="96">
        <f>ROUND((Q374*L374)/1000, 2)</f>
        <v/>
      </c>
      <c r="S374" s="85">
        <f>IF($C$8&gt;0, R374/$C$8, 0)</f>
        <v/>
      </c>
      <c r="T374" s="85">
        <f>IF(O374&gt;0, Q374/O374, 0)</f>
        <v/>
      </c>
      <c r="U374" s="18">
        <f>IF(Q374=0, "Exceeds Limit", IF(P374&lt;=O374, "Weight Limited", "Volume Limited"))</f>
        <v/>
      </c>
      <c r="V374" s="100">
        <f>B374&amp;"|"&amp;D374&amp;"|"&amp;F374</f>
        <v/>
      </c>
    </row>
    <row r="375" ht="19" customHeight="1">
      <c r="A375" s="93" t="n">
        <v>365</v>
      </c>
      <c r="B375" s="94" t="inlineStr">
        <is>
          <t>Carbon Steel</t>
        </is>
      </c>
      <c r="C375" s="13" t="inlineStr">
        <is>
          <t>ASME B36.10M / B36.19M</t>
        </is>
      </c>
      <c r="D375" s="12" t="inlineStr">
        <is>
          <t>34''</t>
        </is>
      </c>
      <c r="E375" s="93" t="n">
        <v>850</v>
      </c>
      <c r="F375" s="12" t="inlineStr">
        <is>
          <t>10</t>
        </is>
      </c>
      <c r="G375" s="14" t="n">
        <v>34</v>
      </c>
      <c r="H375" s="78" t="n">
        <v>863.6</v>
      </c>
      <c r="I375" s="14" t="n">
        <v>0.312</v>
      </c>
      <c r="J375" s="78" t="n">
        <v>7.92</v>
      </c>
      <c r="K375" s="14">
        <f>ROUND((H375-J375)*J375*IF(B375="Carbon Steel",$K$7,IF(B375="Stainless Steel 304",$K$8,$L$8)), 3)</f>
        <v/>
      </c>
      <c r="L375" s="78">
        <f>ROUND(K375*$G$5, 2)</f>
        <v/>
      </c>
      <c r="M375" s="93">
        <f>INT($G$6/H375)</f>
        <v/>
      </c>
      <c r="N375" s="93">
        <f>IF(M375=0, 0, IF(OR($K$6="Square Grid", M375=1), INT($G$7/H375), IF($G$7&lt;H375, 0, 1+INT(($G$7-H375)/(0.8660254*H375)))))</f>
        <v/>
      </c>
      <c r="O375" s="59">
        <f>IF(OR(M375=0,N375=0), 0, IF(OR($K$6="Square Grid", M375=1), M375*N375*$K$5, (INT((N375+1)/2)*M375 + INT(N375/2)*IF(($G$6-M375*H375)&gt;=0.5*H375, M375, M375-1))*$K$5))</f>
        <v/>
      </c>
      <c r="P375" s="59">
        <f>IF(L375&lt;=0, 0, INT($G$8/L375))</f>
        <v/>
      </c>
      <c r="Q375" s="95">
        <f>MIN(O375, P375)</f>
        <v/>
      </c>
      <c r="R375" s="96">
        <f>ROUND((Q375*L375)/1000, 2)</f>
        <v/>
      </c>
      <c r="S375" s="79">
        <f>IF($C$8&gt;0, R375/$C$8, 0)</f>
        <v/>
      </c>
      <c r="T375" s="79">
        <f>IF(O375&gt;0, Q375/O375, 0)</f>
        <v/>
      </c>
      <c r="U375" s="12">
        <f>IF(Q375=0, "Exceeds Limit", IF(P375&lt;=O375, "Weight Limited", "Volume Limited"))</f>
        <v/>
      </c>
      <c r="V375" s="97">
        <f>B375&amp;"|"&amp;D375&amp;"|"&amp;F375</f>
        <v/>
      </c>
    </row>
    <row r="376" ht="19" customHeight="1">
      <c r="A376" s="98" t="n">
        <v>366</v>
      </c>
      <c r="B376" s="99" t="inlineStr">
        <is>
          <t>Carbon Steel</t>
        </is>
      </c>
      <c r="C376" s="19" t="inlineStr">
        <is>
          <t>ASME B36.10M / B36.19M</t>
        </is>
      </c>
      <c r="D376" s="18" t="inlineStr">
        <is>
          <t>34''</t>
        </is>
      </c>
      <c r="E376" s="98" t="n">
        <v>850</v>
      </c>
      <c r="F376" s="18" t="inlineStr">
        <is>
          <t>20</t>
        </is>
      </c>
      <c r="G376" s="20" t="n">
        <v>34</v>
      </c>
      <c r="H376" s="82" t="n">
        <v>863.6</v>
      </c>
      <c r="I376" s="20" t="n">
        <v>0.5</v>
      </c>
      <c r="J376" s="82" t="n">
        <v>12.7</v>
      </c>
      <c r="K376" s="20">
        <f>ROUND((H376-J376)*J376*IF(B376="Carbon Steel",$K$7,IF(B376="Stainless Steel 304",$K$8,$L$8)), 3)</f>
        <v/>
      </c>
      <c r="L376" s="82">
        <f>ROUND(K376*$G$5, 2)</f>
        <v/>
      </c>
      <c r="M376" s="98">
        <f>INT($G$6/H376)</f>
        <v/>
      </c>
      <c r="N376" s="98">
        <f>IF(M376=0, 0, IF(OR($K$6="Square Grid", M376=1), INT($G$7/H376), IF($G$7&lt;H376, 0, 1+INT(($G$7-H376)/(0.8660254*H376)))))</f>
        <v/>
      </c>
      <c r="O376" s="84">
        <f>IF(OR(M376=0,N376=0), 0, IF(OR($K$6="Square Grid", M376=1), M376*N376*$K$5, (INT((N376+1)/2)*M376 + INT(N376/2)*IF(($G$6-M376*H376)&gt;=0.5*H376, M376, M376-1))*$K$5))</f>
        <v/>
      </c>
      <c r="P376" s="84">
        <f>IF(L376&lt;=0, 0, INT($G$8/L376))</f>
        <v/>
      </c>
      <c r="Q376" s="95">
        <f>MIN(O376, P376)</f>
        <v/>
      </c>
      <c r="R376" s="96">
        <f>ROUND((Q376*L376)/1000, 2)</f>
        <v/>
      </c>
      <c r="S376" s="85">
        <f>IF($C$8&gt;0, R376/$C$8, 0)</f>
        <v/>
      </c>
      <c r="T376" s="85">
        <f>IF(O376&gt;0, Q376/O376, 0)</f>
        <v/>
      </c>
      <c r="U376" s="18">
        <f>IF(Q376=0, "Exceeds Limit", IF(P376&lt;=O376, "Weight Limited", "Volume Limited"))</f>
        <v/>
      </c>
      <c r="V376" s="100">
        <f>B376&amp;"|"&amp;D376&amp;"|"&amp;F376</f>
        <v/>
      </c>
    </row>
    <row r="377" ht="19" customHeight="1">
      <c r="A377" s="93" t="n">
        <v>367</v>
      </c>
      <c r="B377" s="94" t="inlineStr">
        <is>
          <t>Carbon Steel</t>
        </is>
      </c>
      <c r="C377" s="13" t="inlineStr">
        <is>
          <t>ASME B36.10M / B36.19M</t>
        </is>
      </c>
      <c r="D377" s="12" t="inlineStr">
        <is>
          <t>34''</t>
        </is>
      </c>
      <c r="E377" s="93" t="n">
        <v>850</v>
      </c>
      <c r="F377" s="12" t="inlineStr">
        <is>
          <t>30</t>
        </is>
      </c>
      <c r="G377" s="14" t="n">
        <v>34</v>
      </c>
      <c r="H377" s="78" t="n">
        <v>863.6</v>
      </c>
      <c r="I377" s="14" t="n">
        <v>0.625</v>
      </c>
      <c r="J377" s="78" t="n">
        <v>15.88</v>
      </c>
      <c r="K377" s="14">
        <f>ROUND((H377-J377)*J377*IF(B377="Carbon Steel",$K$7,IF(B377="Stainless Steel 304",$K$8,$L$8)), 3)</f>
        <v/>
      </c>
      <c r="L377" s="78">
        <f>ROUND(K377*$G$5, 2)</f>
        <v/>
      </c>
      <c r="M377" s="93">
        <f>INT($G$6/H377)</f>
        <v/>
      </c>
      <c r="N377" s="93">
        <f>IF(M377=0, 0, IF(OR($K$6="Square Grid", M377=1), INT($G$7/H377), IF($G$7&lt;H377, 0, 1+INT(($G$7-H377)/(0.8660254*H377)))))</f>
        <v/>
      </c>
      <c r="O377" s="59">
        <f>IF(OR(M377=0,N377=0), 0, IF(OR($K$6="Square Grid", M377=1), M377*N377*$K$5, (INT((N377+1)/2)*M377 + INT(N377/2)*IF(($G$6-M377*H377)&gt;=0.5*H377, M377, M377-1))*$K$5))</f>
        <v/>
      </c>
      <c r="P377" s="59">
        <f>IF(L377&lt;=0, 0, INT($G$8/L377))</f>
        <v/>
      </c>
      <c r="Q377" s="95">
        <f>MIN(O377, P377)</f>
        <v/>
      </c>
      <c r="R377" s="96">
        <f>ROUND((Q377*L377)/1000, 2)</f>
        <v/>
      </c>
      <c r="S377" s="79">
        <f>IF($C$8&gt;0, R377/$C$8, 0)</f>
        <v/>
      </c>
      <c r="T377" s="79">
        <f>IF(O377&gt;0, Q377/O377, 0)</f>
        <v/>
      </c>
      <c r="U377" s="12">
        <f>IF(Q377=0, "Exceeds Limit", IF(P377&lt;=O377, "Weight Limited", "Volume Limited"))</f>
        <v/>
      </c>
      <c r="V377" s="97">
        <f>B377&amp;"|"&amp;D377&amp;"|"&amp;F377</f>
        <v/>
      </c>
    </row>
    <row r="378" ht="19" customHeight="1">
      <c r="A378" s="98" t="n">
        <v>368</v>
      </c>
      <c r="B378" s="99" t="inlineStr">
        <is>
          <t>Carbon Steel</t>
        </is>
      </c>
      <c r="C378" s="19" t="inlineStr">
        <is>
          <t>ASME B36.10M / B36.19M</t>
        </is>
      </c>
      <c r="D378" s="18" t="inlineStr">
        <is>
          <t>34''</t>
        </is>
      </c>
      <c r="E378" s="98" t="n">
        <v>850</v>
      </c>
      <c r="F378" s="18" t="inlineStr">
        <is>
          <t>STD</t>
        </is>
      </c>
      <c r="G378" s="20" t="n">
        <v>34</v>
      </c>
      <c r="H378" s="82" t="n">
        <v>863.6</v>
      </c>
      <c r="I378" s="20" t="n">
        <v>0.375</v>
      </c>
      <c r="J378" s="82" t="n">
        <v>9.52</v>
      </c>
      <c r="K378" s="20">
        <f>ROUND((H378-J378)*J378*IF(B378="Carbon Steel",$K$7,IF(B378="Stainless Steel 304",$K$8,$L$8)), 3)</f>
        <v/>
      </c>
      <c r="L378" s="82">
        <f>ROUND(K378*$G$5, 2)</f>
        <v/>
      </c>
      <c r="M378" s="98">
        <f>INT($G$6/H378)</f>
        <v/>
      </c>
      <c r="N378" s="98">
        <f>IF(M378=0, 0, IF(OR($K$6="Square Grid", M378=1), INT($G$7/H378), IF($G$7&lt;H378, 0, 1+INT(($G$7-H378)/(0.8660254*H378)))))</f>
        <v/>
      </c>
      <c r="O378" s="84">
        <f>IF(OR(M378=0,N378=0), 0, IF(OR($K$6="Square Grid", M378=1), M378*N378*$K$5, (INT((N378+1)/2)*M378 + INT(N378/2)*IF(($G$6-M378*H378)&gt;=0.5*H378, M378, M378-1))*$K$5))</f>
        <v/>
      </c>
      <c r="P378" s="84">
        <f>IF(L378&lt;=0, 0, INT($G$8/L378))</f>
        <v/>
      </c>
      <c r="Q378" s="95">
        <f>MIN(O378, P378)</f>
        <v/>
      </c>
      <c r="R378" s="96">
        <f>ROUND((Q378*L378)/1000, 2)</f>
        <v/>
      </c>
      <c r="S378" s="85">
        <f>IF($C$8&gt;0, R378/$C$8, 0)</f>
        <v/>
      </c>
      <c r="T378" s="85">
        <f>IF(O378&gt;0, Q378/O378, 0)</f>
        <v/>
      </c>
      <c r="U378" s="18">
        <f>IF(Q378=0, "Exceeds Limit", IF(P378&lt;=O378, "Weight Limited", "Volume Limited"))</f>
        <v/>
      </c>
      <c r="V378" s="100">
        <f>B378&amp;"|"&amp;D378&amp;"|"&amp;F378</f>
        <v/>
      </c>
    </row>
    <row r="379" ht="19" customHeight="1">
      <c r="A379" s="93" t="n">
        <v>369</v>
      </c>
      <c r="B379" s="94" t="inlineStr">
        <is>
          <t>Carbon Steel</t>
        </is>
      </c>
      <c r="C379" s="13" t="inlineStr">
        <is>
          <t>ASME B36.10M / B36.19M</t>
        </is>
      </c>
      <c r="D379" s="12" t="inlineStr">
        <is>
          <t>34''</t>
        </is>
      </c>
      <c r="E379" s="93" t="n">
        <v>850</v>
      </c>
      <c r="F379" s="12" t="inlineStr">
        <is>
          <t>40</t>
        </is>
      </c>
      <c r="G379" s="14" t="n">
        <v>34</v>
      </c>
      <c r="H379" s="78" t="n">
        <v>863.6</v>
      </c>
      <c r="I379" s="14" t="n">
        <v>0.6879999999999999</v>
      </c>
      <c r="J379" s="78" t="n">
        <v>17.48</v>
      </c>
      <c r="K379" s="14">
        <f>ROUND((H379-J379)*J379*IF(B379="Carbon Steel",$K$7,IF(B379="Stainless Steel 304",$K$8,$L$8)), 3)</f>
        <v/>
      </c>
      <c r="L379" s="78">
        <f>ROUND(K379*$G$5, 2)</f>
        <v/>
      </c>
      <c r="M379" s="93">
        <f>INT($G$6/H379)</f>
        <v/>
      </c>
      <c r="N379" s="93">
        <f>IF(M379=0, 0, IF(OR($K$6="Square Grid", M379=1), INT($G$7/H379), IF($G$7&lt;H379, 0, 1+INT(($G$7-H379)/(0.8660254*H379)))))</f>
        <v/>
      </c>
      <c r="O379" s="59">
        <f>IF(OR(M379=0,N379=0), 0, IF(OR($K$6="Square Grid", M379=1), M379*N379*$K$5, (INT((N379+1)/2)*M379 + INT(N379/2)*IF(($G$6-M379*H379)&gt;=0.5*H379, M379, M379-1))*$K$5))</f>
        <v/>
      </c>
      <c r="P379" s="59">
        <f>IF(L379&lt;=0, 0, INT($G$8/L379))</f>
        <v/>
      </c>
      <c r="Q379" s="95">
        <f>MIN(O379, P379)</f>
        <v/>
      </c>
      <c r="R379" s="96">
        <f>ROUND((Q379*L379)/1000, 2)</f>
        <v/>
      </c>
      <c r="S379" s="79">
        <f>IF($C$8&gt;0, R379/$C$8, 0)</f>
        <v/>
      </c>
      <c r="T379" s="79">
        <f>IF(O379&gt;0, Q379/O379, 0)</f>
        <v/>
      </c>
      <c r="U379" s="12">
        <f>IF(Q379=0, "Exceeds Limit", IF(P379&lt;=O379, "Weight Limited", "Volume Limited"))</f>
        <v/>
      </c>
      <c r="V379" s="97">
        <f>B379&amp;"|"&amp;D379&amp;"|"&amp;F379</f>
        <v/>
      </c>
    </row>
    <row r="380" ht="19" customHeight="1">
      <c r="A380" s="98" t="n">
        <v>370</v>
      </c>
      <c r="B380" s="99" t="inlineStr">
        <is>
          <t>Carbon Steel</t>
        </is>
      </c>
      <c r="C380" s="19" t="inlineStr">
        <is>
          <t>ASME B36.10M / B36.19M</t>
        </is>
      </c>
      <c r="D380" s="18" t="inlineStr">
        <is>
          <t>34''</t>
        </is>
      </c>
      <c r="E380" s="98" t="n">
        <v>850</v>
      </c>
      <c r="F380" s="18" t="inlineStr">
        <is>
          <t>XS</t>
        </is>
      </c>
      <c r="G380" s="20" t="n">
        <v>34</v>
      </c>
      <c r="H380" s="82" t="n">
        <v>863.6</v>
      </c>
      <c r="I380" s="20" t="n">
        <v>0.5</v>
      </c>
      <c r="J380" s="82" t="n">
        <v>12.7</v>
      </c>
      <c r="K380" s="20">
        <f>ROUND((H380-J380)*J380*IF(B380="Carbon Steel",$K$7,IF(B380="Stainless Steel 304",$K$8,$L$8)), 3)</f>
        <v/>
      </c>
      <c r="L380" s="82">
        <f>ROUND(K380*$G$5, 2)</f>
        <v/>
      </c>
      <c r="M380" s="98">
        <f>INT($G$6/H380)</f>
        <v/>
      </c>
      <c r="N380" s="98">
        <f>IF(M380=0, 0, IF(OR($K$6="Square Grid", M380=1), INT($G$7/H380), IF($G$7&lt;H380, 0, 1+INT(($G$7-H380)/(0.8660254*H380)))))</f>
        <v/>
      </c>
      <c r="O380" s="84">
        <f>IF(OR(M380=0,N380=0), 0, IF(OR($K$6="Square Grid", M380=1), M380*N380*$K$5, (INT((N380+1)/2)*M380 + INT(N380/2)*IF(($G$6-M380*H380)&gt;=0.5*H380, M380, M380-1))*$K$5))</f>
        <v/>
      </c>
      <c r="P380" s="84">
        <f>IF(L380&lt;=0, 0, INT($G$8/L380))</f>
        <v/>
      </c>
      <c r="Q380" s="95">
        <f>MIN(O380, P380)</f>
        <v/>
      </c>
      <c r="R380" s="96">
        <f>ROUND((Q380*L380)/1000, 2)</f>
        <v/>
      </c>
      <c r="S380" s="85">
        <f>IF($C$8&gt;0, R380/$C$8, 0)</f>
        <v/>
      </c>
      <c r="T380" s="85">
        <f>IF(O380&gt;0, Q380/O380, 0)</f>
        <v/>
      </c>
      <c r="U380" s="18">
        <f>IF(Q380=0, "Exceeds Limit", IF(P380&lt;=O380, "Weight Limited", "Volume Limited"))</f>
        <v/>
      </c>
      <c r="V380" s="100">
        <f>B380&amp;"|"&amp;D380&amp;"|"&amp;F380</f>
        <v/>
      </c>
    </row>
    <row r="381" ht="19" customHeight="1">
      <c r="A381" s="93" t="n">
        <v>371</v>
      </c>
      <c r="B381" s="94" t="inlineStr">
        <is>
          <t>Carbon Steel</t>
        </is>
      </c>
      <c r="C381" s="13" t="inlineStr">
        <is>
          <t>ASME B36.10M / B36.19M</t>
        </is>
      </c>
      <c r="D381" s="12" t="inlineStr">
        <is>
          <t>36''</t>
        </is>
      </c>
      <c r="E381" s="93" t="n">
        <v>900</v>
      </c>
      <c r="F381" s="12" t="inlineStr">
        <is>
          <t>10</t>
        </is>
      </c>
      <c r="G381" s="14" t="n">
        <v>36</v>
      </c>
      <c r="H381" s="78" t="n">
        <v>914.4</v>
      </c>
      <c r="I381" s="14" t="n">
        <v>0.312</v>
      </c>
      <c r="J381" s="78" t="n">
        <v>7.92</v>
      </c>
      <c r="K381" s="14">
        <f>ROUND((H381-J381)*J381*IF(B381="Carbon Steel",$K$7,IF(B381="Stainless Steel 304",$K$8,$L$8)), 3)</f>
        <v/>
      </c>
      <c r="L381" s="78">
        <f>ROUND(K381*$G$5, 2)</f>
        <v/>
      </c>
      <c r="M381" s="93">
        <f>INT($G$6/H381)</f>
        <v/>
      </c>
      <c r="N381" s="93">
        <f>IF(M381=0, 0, IF(OR($K$6="Square Grid", M381=1), INT($G$7/H381), IF($G$7&lt;H381, 0, 1+INT(($G$7-H381)/(0.8660254*H381)))))</f>
        <v/>
      </c>
      <c r="O381" s="59">
        <f>IF(OR(M381=0,N381=0), 0, IF(OR($K$6="Square Grid", M381=1), M381*N381*$K$5, (INT((N381+1)/2)*M381 + INT(N381/2)*IF(($G$6-M381*H381)&gt;=0.5*H381, M381, M381-1))*$K$5))</f>
        <v/>
      </c>
      <c r="P381" s="59">
        <f>IF(L381&lt;=0, 0, INT($G$8/L381))</f>
        <v/>
      </c>
      <c r="Q381" s="95">
        <f>MIN(O381, P381)</f>
        <v/>
      </c>
      <c r="R381" s="96">
        <f>ROUND((Q381*L381)/1000, 2)</f>
        <v/>
      </c>
      <c r="S381" s="79">
        <f>IF($C$8&gt;0, R381/$C$8, 0)</f>
        <v/>
      </c>
      <c r="T381" s="79">
        <f>IF(O381&gt;0, Q381/O381, 0)</f>
        <v/>
      </c>
      <c r="U381" s="12">
        <f>IF(Q381=0, "Exceeds Limit", IF(P381&lt;=O381, "Weight Limited", "Volume Limited"))</f>
        <v/>
      </c>
      <c r="V381" s="97">
        <f>B381&amp;"|"&amp;D381&amp;"|"&amp;F381</f>
        <v/>
      </c>
    </row>
    <row r="382" ht="19" customHeight="1">
      <c r="A382" s="98" t="n">
        <v>372</v>
      </c>
      <c r="B382" s="99" t="inlineStr">
        <is>
          <t>Carbon Steel</t>
        </is>
      </c>
      <c r="C382" s="19" t="inlineStr">
        <is>
          <t>ASME B36.10M / B36.19M</t>
        </is>
      </c>
      <c r="D382" s="18" t="inlineStr">
        <is>
          <t>36''</t>
        </is>
      </c>
      <c r="E382" s="98" t="n">
        <v>900</v>
      </c>
      <c r="F382" s="18" t="inlineStr">
        <is>
          <t>20</t>
        </is>
      </c>
      <c r="G382" s="20" t="n">
        <v>36</v>
      </c>
      <c r="H382" s="82" t="n">
        <v>914.4</v>
      </c>
      <c r="I382" s="20" t="n">
        <v>0.5</v>
      </c>
      <c r="J382" s="82" t="n">
        <v>12.7</v>
      </c>
      <c r="K382" s="20">
        <f>ROUND((H382-J382)*J382*IF(B382="Carbon Steel",$K$7,IF(B382="Stainless Steel 304",$K$8,$L$8)), 3)</f>
        <v/>
      </c>
      <c r="L382" s="82">
        <f>ROUND(K382*$G$5, 2)</f>
        <v/>
      </c>
      <c r="M382" s="98">
        <f>INT($G$6/H382)</f>
        <v/>
      </c>
      <c r="N382" s="98">
        <f>IF(M382=0, 0, IF(OR($K$6="Square Grid", M382=1), INT($G$7/H382), IF($G$7&lt;H382, 0, 1+INT(($G$7-H382)/(0.8660254*H382)))))</f>
        <v/>
      </c>
      <c r="O382" s="84">
        <f>IF(OR(M382=0,N382=0), 0, IF(OR($K$6="Square Grid", M382=1), M382*N382*$K$5, (INT((N382+1)/2)*M382 + INT(N382/2)*IF(($G$6-M382*H382)&gt;=0.5*H382, M382, M382-1))*$K$5))</f>
        <v/>
      </c>
      <c r="P382" s="84">
        <f>IF(L382&lt;=0, 0, INT($G$8/L382))</f>
        <v/>
      </c>
      <c r="Q382" s="95">
        <f>MIN(O382, P382)</f>
        <v/>
      </c>
      <c r="R382" s="96">
        <f>ROUND((Q382*L382)/1000, 2)</f>
        <v/>
      </c>
      <c r="S382" s="85">
        <f>IF($C$8&gt;0, R382/$C$8, 0)</f>
        <v/>
      </c>
      <c r="T382" s="85">
        <f>IF(O382&gt;0, Q382/O382, 0)</f>
        <v/>
      </c>
      <c r="U382" s="18">
        <f>IF(Q382=0, "Exceeds Limit", IF(P382&lt;=O382, "Weight Limited", "Volume Limited"))</f>
        <v/>
      </c>
      <c r="V382" s="100">
        <f>B382&amp;"|"&amp;D382&amp;"|"&amp;F382</f>
        <v/>
      </c>
    </row>
    <row r="383" ht="19" customHeight="1">
      <c r="A383" s="93" t="n">
        <v>373</v>
      </c>
      <c r="B383" s="94" t="inlineStr">
        <is>
          <t>Carbon Steel</t>
        </is>
      </c>
      <c r="C383" s="13" t="inlineStr">
        <is>
          <t>ASME B36.10M / B36.19M</t>
        </is>
      </c>
      <c r="D383" s="12" t="inlineStr">
        <is>
          <t>36''</t>
        </is>
      </c>
      <c r="E383" s="93" t="n">
        <v>900</v>
      </c>
      <c r="F383" s="12" t="inlineStr">
        <is>
          <t>30</t>
        </is>
      </c>
      <c r="G383" s="14" t="n">
        <v>36</v>
      </c>
      <c r="H383" s="78" t="n">
        <v>914.4</v>
      </c>
      <c r="I383" s="14" t="n">
        <v>0.625</v>
      </c>
      <c r="J383" s="78" t="n">
        <v>15.88</v>
      </c>
      <c r="K383" s="14">
        <f>ROUND((H383-J383)*J383*IF(B383="Carbon Steel",$K$7,IF(B383="Stainless Steel 304",$K$8,$L$8)), 3)</f>
        <v/>
      </c>
      <c r="L383" s="78">
        <f>ROUND(K383*$G$5, 2)</f>
        <v/>
      </c>
      <c r="M383" s="93">
        <f>INT($G$6/H383)</f>
        <v/>
      </c>
      <c r="N383" s="93">
        <f>IF(M383=0, 0, IF(OR($K$6="Square Grid", M383=1), INT($G$7/H383), IF($G$7&lt;H383, 0, 1+INT(($G$7-H383)/(0.8660254*H383)))))</f>
        <v/>
      </c>
      <c r="O383" s="59">
        <f>IF(OR(M383=0,N383=0), 0, IF(OR($K$6="Square Grid", M383=1), M383*N383*$K$5, (INT((N383+1)/2)*M383 + INT(N383/2)*IF(($G$6-M383*H383)&gt;=0.5*H383, M383, M383-1))*$K$5))</f>
        <v/>
      </c>
      <c r="P383" s="59">
        <f>IF(L383&lt;=0, 0, INT($G$8/L383))</f>
        <v/>
      </c>
      <c r="Q383" s="95">
        <f>MIN(O383, P383)</f>
        <v/>
      </c>
      <c r="R383" s="96">
        <f>ROUND((Q383*L383)/1000, 2)</f>
        <v/>
      </c>
      <c r="S383" s="79">
        <f>IF($C$8&gt;0, R383/$C$8, 0)</f>
        <v/>
      </c>
      <c r="T383" s="79">
        <f>IF(O383&gt;0, Q383/O383, 0)</f>
        <v/>
      </c>
      <c r="U383" s="12">
        <f>IF(Q383=0, "Exceeds Limit", IF(P383&lt;=O383, "Weight Limited", "Volume Limited"))</f>
        <v/>
      </c>
      <c r="V383" s="97">
        <f>B383&amp;"|"&amp;D383&amp;"|"&amp;F383</f>
        <v/>
      </c>
    </row>
    <row r="384" ht="19" customHeight="1">
      <c r="A384" s="98" t="n">
        <v>374</v>
      </c>
      <c r="B384" s="99" t="inlineStr">
        <is>
          <t>Carbon Steel</t>
        </is>
      </c>
      <c r="C384" s="19" t="inlineStr">
        <is>
          <t>ASME B36.10M / B36.19M</t>
        </is>
      </c>
      <c r="D384" s="18" t="inlineStr">
        <is>
          <t>36''</t>
        </is>
      </c>
      <c r="E384" s="98" t="n">
        <v>900</v>
      </c>
      <c r="F384" s="18" t="inlineStr">
        <is>
          <t>40S</t>
        </is>
      </c>
      <c r="G384" s="20" t="n">
        <v>36</v>
      </c>
      <c r="H384" s="82" t="n">
        <v>914.4</v>
      </c>
      <c r="I384" s="20" t="n">
        <v>0.375</v>
      </c>
      <c r="J384" s="82" t="n">
        <v>9.52</v>
      </c>
      <c r="K384" s="20">
        <f>ROUND((H384-J384)*J384*IF(B384="Carbon Steel",$K$7,IF(B384="Stainless Steel 304",$K$8,$L$8)), 3)</f>
        <v/>
      </c>
      <c r="L384" s="82">
        <f>ROUND(K384*$G$5, 2)</f>
        <v/>
      </c>
      <c r="M384" s="98">
        <f>INT($G$6/H384)</f>
        <v/>
      </c>
      <c r="N384" s="98">
        <f>IF(M384=0, 0, IF(OR($K$6="Square Grid", M384=1), INT($G$7/H384), IF($G$7&lt;H384, 0, 1+INT(($G$7-H384)/(0.8660254*H384)))))</f>
        <v/>
      </c>
      <c r="O384" s="84">
        <f>IF(OR(M384=0,N384=0), 0, IF(OR($K$6="Square Grid", M384=1), M384*N384*$K$5, (INT((N384+1)/2)*M384 + INT(N384/2)*IF(($G$6-M384*H384)&gt;=0.5*H384, M384, M384-1))*$K$5))</f>
        <v/>
      </c>
      <c r="P384" s="84">
        <f>IF(L384&lt;=0, 0, INT($G$8/L384))</f>
        <v/>
      </c>
      <c r="Q384" s="95">
        <f>MIN(O384, P384)</f>
        <v/>
      </c>
      <c r="R384" s="96">
        <f>ROUND((Q384*L384)/1000, 2)</f>
        <v/>
      </c>
      <c r="S384" s="85">
        <f>IF($C$8&gt;0, R384/$C$8, 0)</f>
        <v/>
      </c>
      <c r="T384" s="85">
        <f>IF(O384&gt;0, Q384/O384, 0)</f>
        <v/>
      </c>
      <c r="U384" s="18">
        <f>IF(Q384=0, "Exceeds Limit", IF(P384&lt;=O384, "Weight Limited", "Volume Limited"))</f>
        <v/>
      </c>
      <c r="V384" s="100">
        <f>B384&amp;"|"&amp;D384&amp;"|"&amp;F384</f>
        <v/>
      </c>
    </row>
    <row r="385" ht="19" customHeight="1">
      <c r="A385" s="93" t="n">
        <v>375</v>
      </c>
      <c r="B385" s="94" t="inlineStr">
        <is>
          <t>Carbon Steel</t>
        </is>
      </c>
      <c r="C385" s="13" t="inlineStr">
        <is>
          <t>ASME B36.10M / B36.19M</t>
        </is>
      </c>
      <c r="D385" s="12" t="inlineStr">
        <is>
          <t>36''</t>
        </is>
      </c>
      <c r="E385" s="93" t="n">
        <v>900</v>
      </c>
      <c r="F385" s="12" t="inlineStr">
        <is>
          <t>STD</t>
        </is>
      </c>
      <c r="G385" s="14" t="n">
        <v>36</v>
      </c>
      <c r="H385" s="78" t="n">
        <v>914.4</v>
      </c>
      <c r="I385" s="14" t="n">
        <v>0.375</v>
      </c>
      <c r="J385" s="78" t="n">
        <v>9.52</v>
      </c>
      <c r="K385" s="14">
        <f>ROUND((H385-J385)*J385*IF(B385="Carbon Steel",$K$7,IF(B385="Stainless Steel 304",$K$8,$L$8)), 3)</f>
        <v/>
      </c>
      <c r="L385" s="78">
        <f>ROUND(K385*$G$5, 2)</f>
        <v/>
      </c>
      <c r="M385" s="93">
        <f>INT($G$6/H385)</f>
        <v/>
      </c>
      <c r="N385" s="93">
        <f>IF(M385=0, 0, IF(OR($K$6="Square Grid", M385=1), INT($G$7/H385), IF($G$7&lt;H385, 0, 1+INT(($G$7-H385)/(0.8660254*H385)))))</f>
        <v/>
      </c>
      <c r="O385" s="59">
        <f>IF(OR(M385=0,N385=0), 0, IF(OR($K$6="Square Grid", M385=1), M385*N385*$K$5, (INT((N385+1)/2)*M385 + INT(N385/2)*IF(($G$6-M385*H385)&gt;=0.5*H385, M385, M385-1))*$K$5))</f>
        <v/>
      </c>
      <c r="P385" s="59">
        <f>IF(L385&lt;=0, 0, INT($G$8/L385))</f>
        <v/>
      </c>
      <c r="Q385" s="95">
        <f>MIN(O385, P385)</f>
        <v/>
      </c>
      <c r="R385" s="96">
        <f>ROUND((Q385*L385)/1000, 2)</f>
        <v/>
      </c>
      <c r="S385" s="79">
        <f>IF($C$8&gt;0, R385/$C$8, 0)</f>
        <v/>
      </c>
      <c r="T385" s="79">
        <f>IF(O385&gt;0, Q385/O385, 0)</f>
        <v/>
      </c>
      <c r="U385" s="12">
        <f>IF(Q385=0, "Exceeds Limit", IF(P385&lt;=O385, "Weight Limited", "Volume Limited"))</f>
        <v/>
      </c>
      <c r="V385" s="97">
        <f>B385&amp;"|"&amp;D385&amp;"|"&amp;F385</f>
        <v/>
      </c>
    </row>
    <row r="386" ht="19" customHeight="1">
      <c r="A386" s="98" t="n">
        <v>376</v>
      </c>
      <c r="B386" s="99" t="inlineStr">
        <is>
          <t>Carbon Steel</t>
        </is>
      </c>
      <c r="C386" s="19" t="inlineStr">
        <is>
          <t>ASME B36.10M / B36.19M</t>
        </is>
      </c>
      <c r="D386" s="18" t="inlineStr">
        <is>
          <t>36''</t>
        </is>
      </c>
      <c r="E386" s="98" t="n">
        <v>900</v>
      </c>
      <c r="F386" s="18" t="inlineStr">
        <is>
          <t>40</t>
        </is>
      </c>
      <c r="G386" s="20" t="n">
        <v>36</v>
      </c>
      <c r="H386" s="82" t="n">
        <v>914.4</v>
      </c>
      <c r="I386" s="20" t="n">
        <v>0.75</v>
      </c>
      <c r="J386" s="82" t="n">
        <v>19.05</v>
      </c>
      <c r="K386" s="20">
        <f>ROUND((H386-J386)*J386*IF(B386="Carbon Steel",$K$7,IF(B386="Stainless Steel 304",$K$8,$L$8)), 3)</f>
        <v/>
      </c>
      <c r="L386" s="82">
        <f>ROUND(K386*$G$5, 2)</f>
        <v/>
      </c>
      <c r="M386" s="98">
        <f>INT($G$6/H386)</f>
        <v/>
      </c>
      <c r="N386" s="98">
        <f>IF(M386=0, 0, IF(OR($K$6="Square Grid", M386=1), INT($G$7/H386), IF($G$7&lt;H386, 0, 1+INT(($G$7-H386)/(0.8660254*H386)))))</f>
        <v/>
      </c>
      <c r="O386" s="84">
        <f>IF(OR(M386=0,N386=0), 0, IF(OR($K$6="Square Grid", M386=1), M386*N386*$K$5, (INT((N386+1)/2)*M386 + INT(N386/2)*IF(($G$6-M386*H386)&gt;=0.5*H386, M386, M386-1))*$K$5))</f>
        <v/>
      </c>
      <c r="P386" s="84">
        <f>IF(L386&lt;=0, 0, INT($G$8/L386))</f>
        <v/>
      </c>
      <c r="Q386" s="95">
        <f>MIN(O386, P386)</f>
        <v/>
      </c>
      <c r="R386" s="96">
        <f>ROUND((Q386*L386)/1000, 2)</f>
        <v/>
      </c>
      <c r="S386" s="85">
        <f>IF($C$8&gt;0, R386/$C$8, 0)</f>
        <v/>
      </c>
      <c r="T386" s="85">
        <f>IF(O386&gt;0, Q386/O386, 0)</f>
        <v/>
      </c>
      <c r="U386" s="18">
        <f>IF(Q386=0, "Exceeds Limit", IF(P386&lt;=O386, "Weight Limited", "Volume Limited"))</f>
        <v/>
      </c>
      <c r="V386" s="100">
        <f>B386&amp;"|"&amp;D386&amp;"|"&amp;F386</f>
        <v/>
      </c>
    </row>
    <row r="387" ht="19" customHeight="1">
      <c r="A387" s="93" t="n">
        <v>377</v>
      </c>
      <c r="B387" s="94" t="inlineStr">
        <is>
          <t>Carbon Steel</t>
        </is>
      </c>
      <c r="C387" s="13" t="inlineStr">
        <is>
          <t>ASME B36.10M / B36.19M</t>
        </is>
      </c>
      <c r="D387" s="12" t="inlineStr">
        <is>
          <t>36''</t>
        </is>
      </c>
      <c r="E387" s="93" t="n">
        <v>900</v>
      </c>
      <c r="F387" s="12" t="inlineStr">
        <is>
          <t>80S</t>
        </is>
      </c>
      <c r="G387" s="14" t="n">
        <v>36</v>
      </c>
      <c r="H387" s="78" t="n">
        <v>914.4</v>
      </c>
      <c r="I387" s="14" t="n">
        <v>0.5</v>
      </c>
      <c r="J387" s="78" t="n">
        <v>12.7</v>
      </c>
      <c r="K387" s="14">
        <f>ROUND((H387-J387)*J387*IF(B387="Carbon Steel",$K$7,IF(B387="Stainless Steel 304",$K$8,$L$8)), 3)</f>
        <v/>
      </c>
      <c r="L387" s="78">
        <f>ROUND(K387*$G$5, 2)</f>
        <v/>
      </c>
      <c r="M387" s="93">
        <f>INT($G$6/H387)</f>
        <v/>
      </c>
      <c r="N387" s="93">
        <f>IF(M387=0, 0, IF(OR($K$6="Square Grid", M387=1), INT($G$7/H387), IF($G$7&lt;H387, 0, 1+INT(($G$7-H387)/(0.8660254*H387)))))</f>
        <v/>
      </c>
      <c r="O387" s="59">
        <f>IF(OR(M387=0,N387=0), 0, IF(OR($K$6="Square Grid", M387=1), M387*N387*$K$5, (INT((N387+1)/2)*M387 + INT(N387/2)*IF(($G$6-M387*H387)&gt;=0.5*H387, M387, M387-1))*$K$5))</f>
        <v/>
      </c>
      <c r="P387" s="59">
        <f>IF(L387&lt;=0, 0, INT($G$8/L387))</f>
        <v/>
      </c>
      <c r="Q387" s="95">
        <f>MIN(O387, P387)</f>
        <v/>
      </c>
      <c r="R387" s="96">
        <f>ROUND((Q387*L387)/1000, 2)</f>
        <v/>
      </c>
      <c r="S387" s="79">
        <f>IF($C$8&gt;0, R387/$C$8, 0)</f>
        <v/>
      </c>
      <c r="T387" s="79">
        <f>IF(O387&gt;0, Q387/O387, 0)</f>
        <v/>
      </c>
      <c r="U387" s="12">
        <f>IF(Q387=0, "Exceeds Limit", IF(P387&lt;=O387, "Weight Limited", "Volume Limited"))</f>
        <v/>
      </c>
      <c r="V387" s="97">
        <f>B387&amp;"|"&amp;D387&amp;"|"&amp;F387</f>
        <v/>
      </c>
    </row>
    <row r="388" ht="19" customHeight="1">
      <c r="A388" s="98" t="n">
        <v>378</v>
      </c>
      <c r="B388" s="99" t="inlineStr">
        <is>
          <t>Carbon Steel</t>
        </is>
      </c>
      <c r="C388" s="19" t="inlineStr">
        <is>
          <t>ASME B36.10M / B36.19M</t>
        </is>
      </c>
      <c r="D388" s="18" t="inlineStr">
        <is>
          <t>36''</t>
        </is>
      </c>
      <c r="E388" s="98" t="n">
        <v>900</v>
      </c>
      <c r="F388" s="18" t="inlineStr">
        <is>
          <t>XS</t>
        </is>
      </c>
      <c r="G388" s="20" t="n">
        <v>36</v>
      </c>
      <c r="H388" s="82" t="n">
        <v>914.4</v>
      </c>
      <c r="I388" s="20" t="n">
        <v>0.5</v>
      </c>
      <c r="J388" s="82" t="n">
        <v>12.7</v>
      </c>
      <c r="K388" s="20">
        <f>ROUND((H388-J388)*J388*IF(B388="Carbon Steel",$K$7,IF(B388="Stainless Steel 304",$K$8,$L$8)), 3)</f>
        <v/>
      </c>
      <c r="L388" s="82">
        <f>ROUND(K388*$G$5, 2)</f>
        <v/>
      </c>
      <c r="M388" s="98">
        <f>INT($G$6/H388)</f>
        <v/>
      </c>
      <c r="N388" s="98">
        <f>IF(M388=0, 0, IF(OR($K$6="Square Grid", M388=1), INT($G$7/H388), IF($G$7&lt;H388, 0, 1+INT(($G$7-H388)/(0.8660254*H388)))))</f>
        <v/>
      </c>
      <c r="O388" s="84">
        <f>IF(OR(M388=0,N388=0), 0, IF(OR($K$6="Square Grid", M388=1), M388*N388*$K$5, (INT((N388+1)/2)*M388 + INT(N388/2)*IF(($G$6-M388*H388)&gt;=0.5*H388, M388, M388-1))*$K$5))</f>
        <v/>
      </c>
      <c r="P388" s="84">
        <f>IF(L388&lt;=0, 0, INT($G$8/L388))</f>
        <v/>
      </c>
      <c r="Q388" s="95">
        <f>MIN(O388, P388)</f>
        <v/>
      </c>
      <c r="R388" s="96">
        <f>ROUND((Q388*L388)/1000, 2)</f>
        <v/>
      </c>
      <c r="S388" s="85">
        <f>IF($C$8&gt;0, R388/$C$8, 0)</f>
        <v/>
      </c>
      <c r="T388" s="85">
        <f>IF(O388&gt;0, Q388/O388, 0)</f>
        <v/>
      </c>
      <c r="U388" s="18">
        <f>IF(Q388=0, "Exceeds Limit", IF(P388&lt;=O388, "Weight Limited", "Volume Limited"))</f>
        <v/>
      </c>
      <c r="V388" s="100">
        <f>B388&amp;"|"&amp;D388&amp;"|"&amp;F388</f>
        <v/>
      </c>
    </row>
    <row r="389" ht="19" customHeight="1">
      <c r="A389" s="93" t="n">
        <v>379</v>
      </c>
      <c r="B389" s="94" t="inlineStr">
        <is>
          <t>Carbon Steel</t>
        </is>
      </c>
      <c r="C389" s="13" t="inlineStr">
        <is>
          <t>ASME B36.10M / B36.19M</t>
        </is>
      </c>
      <c r="D389" s="12" t="inlineStr">
        <is>
          <t>38''</t>
        </is>
      </c>
      <c r="E389" s="93" t="n">
        <v>950</v>
      </c>
      <c r="F389" s="12" t="inlineStr">
        <is>
          <t>STD</t>
        </is>
      </c>
      <c r="G389" s="14" t="n">
        <v>38</v>
      </c>
      <c r="H389" s="78" t="n">
        <v>965.2</v>
      </c>
      <c r="I389" s="14" t="n">
        <v>0.375</v>
      </c>
      <c r="J389" s="78" t="n">
        <v>9.52</v>
      </c>
      <c r="K389" s="14">
        <f>ROUND((H389-J389)*J389*IF(B389="Carbon Steel",$K$7,IF(B389="Stainless Steel 304",$K$8,$L$8)), 3)</f>
        <v/>
      </c>
      <c r="L389" s="78">
        <f>ROUND(K389*$G$5, 2)</f>
        <v/>
      </c>
      <c r="M389" s="93">
        <f>INT($G$6/H389)</f>
        <v/>
      </c>
      <c r="N389" s="93">
        <f>IF(M389=0, 0, IF(OR($K$6="Square Grid", M389=1), INT($G$7/H389), IF($G$7&lt;H389, 0, 1+INT(($G$7-H389)/(0.8660254*H389)))))</f>
        <v/>
      </c>
      <c r="O389" s="59">
        <f>IF(OR(M389=0,N389=0), 0, IF(OR($K$6="Square Grid", M389=1), M389*N389*$K$5, (INT((N389+1)/2)*M389 + INT(N389/2)*IF(($G$6-M389*H389)&gt;=0.5*H389, M389, M389-1))*$K$5))</f>
        <v/>
      </c>
      <c r="P389" s="59">
        <f>IF(L389&lt;=0, 0, INT($G$8/L389))</f>
        <v/>
      </c>
      <c r="Q389" s="95">
        <f>MIN(O389, P389)</f>
        <v/>
      </c>
      <c r="R389" s="96">
        <f>ROUND((Q389*L389)/1000, 2)</f>
        <v/>
      </c>
      <c r="S389" s="79">
        <f>IF($C$8&gt;0, R389/$C$8, 0)</f>
        <v/>
      </c>
      <c r="T389" s="79">
        <f>IF(O389&gt;0, Q389/O389, 0)</f>
        <v/>
      </c>
      <c r="U389" s="12">
        <f>IF(Q389=0, "Exceeds Limit", IF(P389&lt;=O389, "Weight Limited", "Volume Limited"))</f>
        <v/>
      </c>
      <c r="V389" s="97">
        <f>B389&amp;"|"&amp;D389&amp;"|"&amp;F389</f>
        <v/>
      </c>
    </row>
    <row r="390" ht="19" customHeight="1">
      <c r="A390" s="98" t="n">
        <v>380</v>
      </c>
      <c r="B390" s="99" t="inlineStr">
        <is>
          <t>Carbon Steel</t>
        </is>
      </c>
      <c r="C390" s="19" t="inlineStr">
        <is>
          <t>ASME B36.10M / B36.19M</t>
        </is>
      </c>
      <c r="D390" s="18" t="inlineStr">
        <is>
          <t>38''</t>
        </is>
      </c>
      <c r="E390" s="98" t="n">
        <v>950</v>
      </c>
      <c r="F390" s="18" t="inlineStr">
        <is>
          <t>XS</t>
        </is>
      </c>
      <c r="G390" s="20" t="n">
        <v>38</v>
      </c>
      <c r="H390" s="82" t="n">
        <v>965.2</v>
      </c>
      <c r="I390" s="20" t="n">
        <v>0.5</v>
      </c>
      <c r="J390" s="82" t="n">
        <v>12.7</v>
      </c>
      <c r="K390" s="20">
        <f>ROUND((H390-J390)*J390*IF(B390="Carbon Steel",$K$7,IF(B390="Stainless Steel 304",$K$8,$L$8)), 3)</f>
        <v/>
      </c>
      <c r="L390" s="82">
        <f>ROUND(K390*$G$5, 2)</f>
        <v/>
      </c>
      <c r="M390" s="98">
        <f>INT($G$6/H390)</f>
        <v/>
      </c>
      <c r="N390" s="98">
        <f>IF(M390=0, 0, IF(OR($K$6="Square Grid", M390=1), INT($G$7/H390), IF($G$7&lt;H390, 0, 1+INT(($G$7-H390)/(0.8660254*H390)))))</f>
        <v/>
      </c>
      <c r="O390" s="84">
        <f>IF(OR(M390=0,N390=0), 0, IF(OR($K$6="Square Grid", M390=1), M390*N390*$K$5, (INT((N390+1)/2)*M390 + INT(N390/2)*IF(($G$6-M390*H390)&gt;=0.5*H390, M390, M390-1))*$K$5))</f>
        <v/>
      </c>
      <c r="P390" s="84">
        <f>IF(L390&lt;=0, 0, INT($G$8/L390))</f>
        <v/>
      </c>
      <c r="Q390" s="95">
        <f>MIN(O390, P390)</f>
        <v/>
      </c>
      <c r="R390" s="96">
        <f>ROUND((Q390*L390)/1000, 2)</f>
        <v/>
      </c>
      <c r="S390" s="85">
        <f>IF($C$8&gt;0, R390/$C$8, 0)</f>
        <v/>
      </c>
      <c r="T390" s="85">
        <f>IF(O390&gt;0, Q390/O390, 0)</f>
        <v/>
      </c>
      <c r="U390" s="18">
        <f>IF(Q390=0, "Exceeds Limit", IF(P390&lt;=O390, "Weight Limited", "Volume Limited"))</f>
        <v/>
      </c>
      <c r="V390" s="100">
        <f>B390&amp;"|"&amp;D390&amp;"|"&amp;F390</f>
        <v/>
      </c>
    </row>
    <row r="391" ht="19" customHeight="1">
      <c r="A391" s="93" t="n">
        <v>381</v>
      </c>
      <c r="B391" s="94" t="inlineStr">
        <is>
          <t>Carbon Steel</t>
        </is>
      </c>
      <c r="C391" s="13" t="inlineStr">
        <is>
          <t>ASME B36.10M / B36.19M</t>
        </is>
      </c>
      <c r="D391" s="12" t="inlineStr">
        <is>
          <t>40''</t>
        </is>
      </c>
      <c r="E391" s="93" t="n">
        <v>1000</v>
      </c>
      <c r="F391" s="12" t="inlineStr">
        <is>
          <t>STD</t>
        </is>
      </c>
      <c r="G391" s="14" t="n">
        <v>40</v>
      </c>
      <c r="H391" s="78" t="n">
        <v>1016</v>
      </c>
      <c r="I391" s="14" t="n">
        <v>0.375</v>
      </c>
      <c r="J391" s="78" t="n">
        <v>9.52</v>
      </c>
      <c r="K391" s="14">
        <f>ROUND((H391-J391)*J391*IF(B391="Carbon Steel",$K$7,IF(B391="Stainless Steel 304",$K$8,$L$8)), 3)</f>
        <v/>
      </c>
      <c r="L391" s="78">
        <f>ROUND(K391*$G$5, 2)</f>
        <v/>
      </c>
      <c r="M391" s="93">
        <f>INT($G$6/H391)</f>
        <v/>
      </c>
      <c r="N391" s="93">
        <f>IF(M391=0, 0, IF(OR($K$6="Square Grid", M391=1), INT($G$7/H391), IF($G$7&lt;H391, 0, 1+INT(($G$7-H391)/(0.8660254*H391)))))</f>
        <v/>
      </c>
      <c r="O391" s="59">
        <f>IF(OR(M391=0,N391=0), 0, IF(OR($K$6="Square Grid", M391=1), M391*N391*$K$5, (INT((N391+1)/2)*M391 + INT(N391/2)*IF(($G$6-M391*H391)&gt;=0.5*H391, M391, M391-1))*$K$5))</f>
        <v/>
      </c>
      <c r="P391" s="59">
        <f>IF(L391&lt;=0, 0, INT($G$8/L391))</f>
        <v/>
      </c>
      <c r="Q391" s="95">
        <f>MIN(O391, P391)</f>
        <v/>
      </c>
      <c r="R391" s="96">
        <f>ROUND((Q391*L391)/1000, 2)</f>
        <v/>
      </c>
      <c r="S391" s="79">
        <f>IF($C$8&gt;0, R391/$C$8, 0)</f>
        <v/>
      </c>
      <c r="T391" s="79">
        <f>IF(O391&gt;0, Q391/O391, 0)</f>
        <v/>
      </c>
      <c r="U391" s="12">
        <f>IF(Q391=0, "Exceeds Limit", IF(P391&lt;=O391, "Weight Limited", "Volume Limited"))</f>
        <v/>
      </c>
      <c r="V391" s="97">
        <f>B391&amp;"|"&amp;D391&amp;"|"&amp;F391</f>
        <v/>
      </c>
    </row>
    <row r="392" ht="19" customHeight="1">
      <c r="A392" s="98" t="n">
        <v>382</v>
      </c>
      <c r="B392" s="99" t="inlineStr">
        <is>
          <t>Carbon Steel</t>
        </is>
      </c>
      <c r="C392" s="19" t="inlineStr">
        <is>
          <t>ASME B36.10M / B36.19M</t>
        </is>
      </c>
      <c r="D392" s="18" t="inlineStr">
        <is>
          <t>40''</t>
        </is>
      </c>
      <c r="E392" s="98" t="n">
        <v>1000</v>
      </c>
      <c r="F392" s="18" t="inlineStr">
        <is>
          <t>XS</t>
        </is>
      </c>
      <c r="G392" s="20" t="n">
        <v>40</v>
      </c>
      <c r="H392" s="82" t="n">
        <v>1016</v>
      </c>
      <c r="I392" s="20" t="n">
        <v>0.5</v>
      </c>
      <c r="J392" s="82" t="n">
        <v>12.7</v>
      </c>
      <c r="K392" s="20">
        <f>ROUND((H392-J392)*J392*IF(B392="Carbon Steel",$K$7,IF(B392="Stainless Steel 304",$K$8,$L$8)), 3)</f>
        <v/>
      </c>
      <c r="L392" s="82">
        <f>ROUND(K392*$G$5, 2)</f>
        <v/>
      </c>
      <c r="M392" s="98">
        <f>INT($G$6/H392)</f>
        <v/>
      </c>
      <c r="N392" s="98">
        <f>IF(M392=0, 0, IF(OR($K$6="Square Grid", M392=1), INT($G$7/H392), IF($G$7&lt;H392, 0, 1+INT(($G$7-H392)/(0.8660254*H392)))))</f>
        <v/>
      </c>
      <c r="O392" s="84">
        <f>IF(OR(M392=0,N392=0), 0, IF(OR($K$6="Square Grid", M392=1), M392*N392*$K$5, (INT((N392+1)/2)*M392 + INT(N392/2)*IF(($G$6-M392*H392)&gt;=0.5*H392, M392, M392-1))*$K$5))</f>
        <v/>
      </c>
      <c r="P392" s="84">
        <f>IF(L392&lt;=0, 0, INT($G$8/L392))</f>
        <v/>
      </c>
      <c r="Q392" s="95">
        <f>MIN(O392, P392)</f>
        <v/>
      </c>
      <c r="R392" s="96">
        <f>ROUND((Q392*L392)/1000, 2)</f>
        <v/>
      </c>
      <c r="S392" s="85">
        <f>IF($C$8&gt;0, R392/$C$8, 0)</f>
        <v/>
      </c>
      <c r="T392" s="85">
        <f>IF(O392&gt;0, Q392/O392, 0)</f>
        <v/>
      </c>
      <c r="U392" s="18">
        <f>IF(Q392=0, "Exceeds Limit", IF(P392&lt;=O392, "Weight Limited", "Volume Limited"))</f>
        <v/>
      </c>
      <c r="V392" s="100">
        <f>B392&amp;"|"&amp;D392&amp;"|"&amp;F392</f>
        <v/>
      </c>
    </row>
    <row r="393" ht="19" customHeight="1">
      <c r="A393" s="93" t="n">
        <v>383</v>
      </c>
      <c r="B393" s="94" t="inlineStr">
        <is>
          <t>Carbon Steel</t>
        </is>
      </c>
      <c r="C393" s="13" t="inlineStr">
        <is>
          <t>ASME B36.10M / B36.19M</t>
        </is>
      </c>
      <c r="D393" s="12" t="inlineStr">
        <is>
          <t>42''</t>
        </is>
      </c>
      <c r="E393" s="93" t="n">
        <v>1050</v>
      </c>
      <c r="F393" s="12" t="inlineStr">
        <is>
          <t>STD</t>
        </is>
      </c>
      <c r="G393" s="14" t="n">
        <v>42</v>
      </c>
      <c r="H393" s="78" t="n">
        <v>1066.8</v>
      </c>
      <c r="I393" s="14" t="n">
        <v>0.375</v>
      </c>
      <c r="J393" s="78" t="n">
        <v>9.52</v>
      </c>
      <c r="K393" s="14">
        <f>ROUND((H393-J393)*J393*IF(B393="Carbon Steel",$K$7,IF(B393="Stainless Steel 304",$K$8,$L$8)), 3)</f>
        <v/>
      </c>
      <c r="L393" s="78">
        <f>ROUND(K393*$G$5, 2)</f>
        <v/>
      </c>
      <c r="M393" s="93">
        <f>INT($G$6/H393)</f>
        <v/>
      </c>
      <c r="N393" s="93">
        <f>IF(M393=0, 0, IF(OR($K$6="Square Grid", M393=1), INT($G$7/H393), IF($G$7&lt;H393, 0, 1+INT(($G$7-H393)/(0.8660254*H393)))))</f>
        <v/>
      </c>
      <c r="O393" s="59">
        <f>IF(OR(M393=0,N393=0), 0, IF(OR($K$6="Square Grid", M393=1), M393*N393*$K$5, (INT((N393+1)/2)*M393 + INT(N393/2)*IF(($G$6-M393*H393)&gt;=0.5*H393, M393, M393-1))*$K$5))</f>
        <v/>
      </c>
      <c r="P393" s="59">
        <f>IF(L393&lt;=0, 0, INT($G$8/L393))</f>
        <v/>
      </c>
      <c r="Q393" s="95">
        <f>MIN(O393, P393)</f>
        <v/>
      </c>
      <c r="R393" s="96">
        <f>ROUND((Q393*L393)/1000, 2)</f>
        <v/>
      </c>
      <c r="S393" s="79">
        <f>IF($C$8&gt;0, R393/$C$8, 0)</f>
        <v/>
      </c>
      <c r="T393" s="79">
        <f>IF(O393&gt;0, Q393/O393, 0)</f>
        <v/>
      </c>
      <c r="U393" s="12">
        <f>IF(Q393=0, "Exceeds Limit", IF(P393&lt;=O393, "Weight Limited", "Volume Limited"))</f>
        <v/>
      </c>
      <c r="V393" s="97">
        <f>B393&amp;"|"&amp;D393&amp;"|"&amp;F393</f>
        <v/>
      </c>
    </row>
    <row r="394" ht="19" customHeight="1">
      <c r="A394" s="98" t="n">
        <v>384</v>
      </c>
      <c r="B394" s="99" t="inlineStr">
        <is>
          <t>Carbon Steel</t>
        </is>
      </c>
      <c r="C394" s="19" t="inlineStr">
        <is>
          <t>ASME B36.10M / B36.19M</t>
        </is>
      </c>
      <c r="D394" s="18" t="inlineStr">
        <is>
          <t>42''</t>
        </is>
      </c>
      <c r="E394" s="98" t="n">
        <v>1050</v>
      </c>
      <c r="F394" s="18" t="inlineStr">
        <is>
          <t>XS</t>
        </is>
      </c>
      <c r="G394" s="20" t="n">
        <v>42</v>
      </c>
      <c r="H394" s="82" t="n">
        <v>1066.8</v>
      </c>
      <c r="I394" s="20" t="n">
        <v>0.5</v>
      </c>
      <c r="J394" s="82" t="n">
        <v>12.7</v>
      </c>
      <c r="K394" s="20">
        <f>ROUND((H394-J394)*J394*IF(B394="Carbon Steel",$K$7,IF(B394="Stainless Steel 304",$K$8,$L$8)), 3)</f>
        <v/>
      </c>
      <c r="L394" s="82">
        <f>ROUND(K394*$G$5, 2)</f>
        <v/>
      </c>
      <c r="M394" s="98">
        <f>INT($G$6/H394)</f>
        <v/>
      </c>
      <c r="N394" s="98">
        <f>IF(M394=0, 0, IF(OR($K$6="Square Grid", M394=1), INT($G$7/H394), IF($G$7&lt;H394, 0, 1+INT(($G$7-H394)/(0.8660254*H394)))))</f>
        <v/>
      </c>
      <c r="O394" s="84">
        <f>IF(OR(M394=0,N394=0), 0, IF(OR($K$6="Square Grid", M394=1), M394*N394*$K$5, (INT((N394+1)/2)*M394 + INT(N394/2)*IF(($G$6-M394*H394)&gt;=0.5*H394, M394, M394-1))*$K$5))</f>
        <v/>
      </c>
      <c r="P394" s="84">
        <f>IF(L394&lt;=0, 0, INT($G$8/L394))</f>
        <v/>
      </c>
      <c r="Q394" s="95">
        <f>MIN(O394, P394)</f>
        <v/>
      </c>
      <c r="R394" s="96">
        <f>ROUND((Q394*L394)/1000, 2)</f>
        <v/>
      </c>
      <c r="S394" s="85">
        <f>IF($C$8&gt;0, R394/$C$8, 0)</f>
        <v/>
      </c>
      <c r="T394" s="85">
        <f>IF(O394&gt;0, Q394/O394, 0)</f>
        <v/>
      </c>
      <c r="U394" s="18">
        <f>IF(Q394=0, "Exceeds Limit", IF(P394&lt;=O394, "Weight Limited", "Volume Limited"))</f>
        <v/>
      </c>
      <c r="V394" s="100">
        <f>B394&amp;"|"&amp;D394&amp;"|"&amp;F394</f>
        <v/>
      </c>
    </row>
    <row r="395" ht="19" customHeight="1">
      <c r="A395" s="93" t="n">
        <v>385</v>
      </c>
      <c r="B395" s="94" t="inlineStr">
        <is>
          <t>Carbon Steel</t>
        </is>
      </c>
      <c r="C395" s="13" t="inlineStr">
        <is>
          <t>ASME B36.10M / B36.19M</t>
        </is>
      </c>
      <c r="D395" s="12" t="inlineStr">
        <is>
          <t>44''</t>
        </is>
      </c>
      <c r="E395" s="93" t="n">
        <v>1100</v>
      </c>
      <c r="F395" s="12" t="inlineStr">
        <is>
          <t>STD</t>
        </is>
      </c>
      <c r="G395" s="14" t="n">
        <v>44</v>
      </c>
      <c r="H395" s="78" t="n">
        <v>1117.6</v>
      </c>
      <c r="I395" s="14" t="n">
        <v>0.375</v>
      </c>
      <c r="J395" s="78" t="n">
        <v>9.52</v>
      </c>
      <c r="K395" s="14">
        <f>ROUND((H395-J395)*J395*IF(B395="Carbon Steel",$K$7,IF(B395="Stainless Steel 304",$K$8,$L$8)), 3)</f>
        <v/>
      </c>
      <c r="L395" s="78">
        <f>ROUND(K395*$G$5, 2)</f>
        <v/>
      </c>
      <c r="M395" s="93">
        <f>INT($G$6/H395)</f>
        <v/>
      </c>
      <c r="N395" s="93">
        <f>IF(M395=0, 0, IF(OR($K$6="Square Grid", M395=1), INT($G$7/H395), IF($G$7&lt;H395, 0, 1+INT(($G$7-H395)/(0.8660254*H395)))))</f>
        <v/>
      </c>
      <c r="O395" s="59">
        <f>IF(OR(M395=0,N395=0), 0, IF(OR($K$6="Square Grid", M395=1), M395*N395*$K$5, (INT((N395+1)/2)*M395 + INT(N395/2)*IF(($G$6-M395*H395)&gt;=0.5*H395, M395, M395-1))*$K$5))</f>
        <v/>
      </c>
      <c r="P395" s="59">
        <f>IF(L395&lt;=0, 0, INT($G$8/L395))</f>
        <v/>
      </c>
      <c r="Q395" s="95">
        <f>MIN(O395, P395)</f>
        <v/>
      </c>
      <c r="R395" s="96">
        <f>ROUND((Q395*L395)/1000, 2)</f>
        <v/>
      </c>
      <c r="S395" s="79">
        <f>IF($C$8&gt;0, R395/$C$8, 0)</f>
        <v/>
      </c>
      <c r="T395" s="79">
        <f>IF(O395&gt;0, Q395/O395, 0)</f>
        <v/>
      </c>
      <c r="U395" s="12">
        <f>IF(Q395=0, "Exceeds Limit", IF(P395&lt;=O395, "Weight Limited", "Volume Limited"))</f>
        <v/>
      </c>
      <c r="V395" s="97">
        <f>B395&amp;"|"&amp;D395&amp;"|"&amp;F395</f>
        <v/>
      </c>
    </row>
    <row r="396" ht="19" customHeight="1">
      <c r="A396" s="98" t="n">
        <v>386</v>
      </c>
      <c r="B396" s="99" t="inlineStr">
        <is>
          <t>Carbon Steel</t>
        </is>
      </c>
      <c r="C396" s="19" t="inlineStr">
        <is>
          <t>ASME B36.10M / B36.19M</t>
        </is>
      </c>
      <c r="D396" s="18" t="inlineStr">
        <is>
          <t>44''</t>
        </is>
      </c>
      <c r="E396" s="98" t="n">
        <v>1100</v>
      </c>
      <c r="F396" s="18" t="inlineStr">
        <is>
          <t>XS</t>
        </is>
      </c>
      <c r="G396" s="20" t="n">
        <v>44</v>
      </c>
      <c r="H396" s="82" t="n">
        <v>1117.6</v>
      </c>
      <c r="I396" s="20" t="n">
        <v>0.5</v>
      </c>
      <c r="J396" s="82" t="n">
        <v>12.7</v>
      </c>
      <c r="K396" s="20">
        <f>ROUND((H396-J396)*J396*IF(B396="Carbon Steel",$K$7,IF(B396="Stainless Steel 304",$K$8,$L$8)), 3)</f>
        <v/>
      </c>
      <c r="L396" s="82">
        <f>ROUND(K396*$G$5, 2)</f>
        <v/>
      </c>
      <c r="M396" s="98">
        <f>INT($G$6/H396)</f>
        <v/>
      </c>
      <c r="N396" s="98">
        <f>IF(M396=0, 0, IF(OR($K$6="Square Grid", M396=1), INT($G$7/H396), IF($G$7&lt;H396, 0, 1+INT(($G$7-H396)/(0.8660254*H396)))))</f>
        <v/>
      </c>
      <c r="O396" s="84">
        <f>IF(OR(M396=0,N396=0), 0, IF(OR($K$6="Square Grid", M396=1), M396*N396*$K$5, (INT((N396+1)/2)*M396 + INT(N396/2)*IF(($G$6-M396*H396)&gt;=0.5*H396, M396, M396-1))*$K$5))</f>
        <v/>
      </c>
      <c r="P396" s="84">
        <f>IF(L396&lt;=0, 0, INT($G$8/L396))</f>
        <v/>
      </c>
      <c r="Q396" s="95">
        <f>MIN(O396, P396)</f>
        <v/>
      </c>
      <c r="R396" s="96">
        <f>ROUND((Q396*L396)/1000, 2)</f>
        <v/>
      </c>
      <c r="S396" s="85">
        <f>IF($C$8&gt;0, R396/$C$8, 0)</f>
        <v/>
      </c>
      <c r="T396" s="85">
        <f>IF(O396&gt;0, Q396/O396, 0)</f>
        <v/>
      </c>
      <c r="U396" s="18">
        <f>IF(Q396=0, "Exceeds Limit", IF(P396&lt;=O396, "Weight Limited", "Volume Limited"))</f>
        <v/>
      </c>
      <c r="V396" s="100">
        <f>B396&amp;"|"&amp;D396&amp;"|"&amp;F396</f>
        <v/>
      </c>
    </row>
    <row r="397" ht="19" customHeight="1">
      <c r="A397" s="93" t="n">
        <v>387</v>
      </c>
      <c r="B397" s="94" t="inlineStr">
        <is>
          <t>Carbon Steel</t>
        </is>
      </c>
      <c r="C397" s="13" t="inlineStr">
        <is>
          <t>ASME B36.10M / B36.19M</t>
        </is>
      </c>
      <c r="D397" s="12" t="inlineStr">
        <is>
          <t>46''</t>
        </is>
      </c>
      <c r="E397" s="93" t="n">
        <v>1150</v>
      </c>
      <c r="F397" s="12" t="inlineStr">
        <is>
          <t>STD</t>
        </is>
      </c>
      <c r="G397" s="14" t="n">
        <v>46</v>
      </c>
      <c r="H397" s="78" t="n">
        <v>1168.4</v>
      </c>
      <c r="I397" s="14" t="n">
        <v>0.375</v>
      </c>
      <c r="J397" s="78" t="n">
        <v>9.52</v>
      </c>
      <c r="K397" s="14">
        <f>ROUND((H397-J397)*J397*IF(B397="Carbon Steel",$K$7,IF(B397="Stainless Steel 304",$K$8,$L$8)), 3)</f>
        <v/>
      </c>
      <c r="L397" s="78">
        <f>ROUND(K397*$G$5, 2)</f>
        <v/>
      </c>
      <c r="M397" s="93">
        <f>INT($G$6/H397)</f>
        <v/>
      </c>
      <c r="N397" s="93">
        <f>IF(M397=0, 0, IF(OR($K$6="Square Grid", M397=1), INT($G$7/H397), IF($G$7&lt;H397, 0, 1+INT(($G$7-H397)/(0.8660254*H397)))))</f>
        <v/>
      </c>
      <c r="O397" s="59">
        <f>IF(OR(M397=0,N397=0), 0, IF(OR($K$6="Square Grid", M397=1), M397*N397*$K$5, (INT((N397+1)/2)*M397 + INT(N397/2)*IF(($G$6-M397*H397)&gt;=0.5*H397, M397, M397-1))*$K$5))</f>
        <v/>
      </c>
      <c r="P397" s="59">
        <f>IF(L397&lt;=0, 0, INT($G$8/L397))</f>
        <v/>
      </c>
      <c r="Q397" s="95">
        <f>MIN(O397, P397)</f>
        <v/>
      </c>
      <c r="R397" s="96">
        <f>ROUND((Q397*L397)/1000, 2)</f>
        <v/>
      </c>
      <c r="S397" s="79">
        <f>IF($C$8&gt;0, R397/$C$8, 0)</f>
        <v/>
      </c>
      <c r="T397" s="79">
        <f>IF(O397&gt;0, Q397/O397, 0)</f>
        <v/>
      </c>
      <c r="U397" s="12">
        <f>IF(Q397=0, "Exceeds Limit", IF(P397&lt;=O397, "Weight Limited", "Volume Limited"))</f>
        <v/>
      </c>
      <c r="V397" s="97">
        <f>B397&amp;"|"&amp;D397&amp;"|"&amp;F397</f>
        <v/>
      </c>
    </row>
    <row r="398" ht="19" customHeight="1">
      <c r="A398" s="98" t="n">
        <v>388</v>
      </c>
      <c r="B398" s="99" t="inlineStr">
        <is>
          <t>Carbon Steel</t>
        </is>
      </c>
      <c r="C398" s="19" t="inlineStr">
        <is>
          <t>ASME B36.10M / B36.19M</t>
        </is>
      </c>
      <c r="D398" s="18" t="inlineStr">
        <is>
          <t>46''</t>
        </is>
      </c>
      <c r="E398" s="98" t="n">
        <v>1150</v>
      </c>
      <c r="F398" s="18" t="inlineStr">
        <is>
          <t>XS</t>
        </is>
      </c>
      <c r="G398" s="20" t="n">
        <v>46</v>
      </c>
      <c r="H398" s="82" t="n">
        <v>1168.4</v>
      </c>
      <c r="I398" s="20" t="n">
        <v>0.5</v>
      </c>
      <c r="J398" s="82" t="n">
        <v>12.7</v>
      </c>
      <c r="K398" s="20">
        <f>ROUND((H398-J398)*J398*IF(B398="Carbon Steel",$K$7,IF(B398="Stainless Steel 304",$K$8,$L$8)), 3)</f>
        <v/>
      </c>
      <c r="L398" s="82">
        <f>ROUND(K398*$G$5, 2)</f>
        <v/>
      </c>
      <c r="M398" s="98">
        <f>INT($G$6/H398)</f>
        <v/>
      </c>
      <c r="N398" s="98">
        <f>IF(M398=0, 0, IF(OR($K$6="Square Grid", M398=1), INT($G$7/H398), IF($G$7&lt;H398, 0, 1+INT(($G$7-H398)/(0.8660254*H398)))))</f>
        <v/>
      </c>
      <c r="O398" s="84">
        <f>IF(OR(M398=0,N398=0), 0, IF(OR($K$6="Square Grid", M398=1), M398*N398*$K$5, (INT((N398+1)/2)*M398 + INT(N398/2)*IF(($G$6-M398*H398)&gt;=0.5*H398, M398, M398-1))*$K$5))</f>
        <v/>
      </c>
      <c r="P398" s="84">
        <f>IF(L398&lt;=0, 0, INT($G$8/L398))</f>
        <v/>
      </c>
      <c r="Q398" s="95">
        <f>MIN(O398, P398)</f>
        <v/>
      </c>
      <c r="R398" s="96">
        <f>ROUND((Q398*L398)/1000, 2)</f>
        <v/>
      </c>
      <c r="S398" s="85">
        <f>IF($C$8&gt;0, R398/$C$8, 0)</f>
        <v/>
      </c>
      <c r="T398" s="85">
        <f>IF(O398&gt;0, Q398/O398, 0)</f>
        <v/>
      </c>
      <c r="U398" s="18">
        <f>IF(Q398=0, "Exceeds Limit", IF(P398&lt;=O398, "Weight Limited", "Volume Limited"))</f>
        <v/>
      </c>
      <c r="V398" s="100">
        <f>B398&amp;"|"&amp;D398&amp;"|"&amp;F398</f>
        <v/>
      </c>
    </row>
    <row r="399" ht="19" customHeight="1">
      <c r="A399" s="93" t="n">
        <v>389</v>
      </c>
      <c r="B399" s="94" t="inlineStr">
        <is>
          <t>Carbon Steel</t>
        </is>
      </c>
      <c r="C399" s="13" t="inlineStr">
        <is>
          <t>ASME B36.10M / B36.19M</t>
        </is>
      </c>
      <c r="D399" s="12" t="inlineStr">
        <is>
          <t>48''</t>
        </is>
      </c>
      <c r="E399" s="93" t="n">
        <v>1200</v>
      </c>
      <c r="F399" s="12" t="inlineStr">
        <is>
          <t>40S</t>
        </is>
      </c>
      <c r="G399" s="14" t="n">
        <v>48</v>
      </c>
      <c r="H399" s="78" t="n">
        <v>1219.2</v>
      </c>
      <c r="I399" s="14" t="n">
        <v>0.375</v>
      </c>
      <c r="J399" s="78" t="n">
        <v>9.52</v>
      </c>
      <c r="K399" s="14">
        <f>ROUND((H399-J399)*J399*IF(B399="Carbon Steel",$K$7,IF(B399="Stainless Steel 304",$K$8,$L$8)), 3)</f>
        <v/>
      </c>
      <c r="L399" s="78">
        <f>ROUND(K399*$G$5, 2)</f>
        <v/>
      </c>
      <c r="M399" s="93">
        <f>INT($G$6/H399)</f>
        <v/>
      </c>
      <c r="N399" s="93">
        <f>IF(M399=0, 0, IF(OR($K$6="Square Grid", M399=1), INT($G$7/H399), IF($G$7&lt;H399, 0, 1+INT(($G$7-H399)/(0.8660254*H399)))))</f>
        <v/>
      </c>
      <c r="O399" s="59">
        <f>IF(OR(M399=0,N399=0), 0, IF(OR($K$6="Square Grid", M399=1), M399*N399*$K$5, (INT((N399+1)/2)*M399 + INT(N399/2)*IF(($G$6-M399*H399)&gt;=0.5*H399, M399, M399-1))*$K$5))</f>
        <v/>
      </c>
      <c r="P399" s="59">
        <f>IF(L399&lt;=0, 0, INT($G$8/L399))</f>
        <v/>
      </c>
      <c r="Q399" s="95">
        <f>MIN(O399, P399)</f>
        <v/>
      </c>
      <c r="R399" s="96">
        <f>ROUND((Q399*L399)/1000, 2)</f>
        <v/>
      </c>
      <c r="S399" s="79">
        <f>IF($C$8&gt;0, R399/$C$8, 0)</f>
        <v/>
      </c>
      <c r="T399" s="79">
        <f>IF(O399&gt;0, Q399/O399, 0)</f>
        <v/>
      </c>
      <c r="U399" s="12">
        <f>IF(Q399=0, "Exceeds Limit", IF(P399&lt;=O399, "Weight Limited", "Volume Limited"))</f>
        <v/>
      </c>
      <c r="V399" s="97">
        <f>B399&amp;"|"&amp;D399&amp;"|"&amp;F399</f>
        <v/>
      </c>
    </row>
    <row r="400" ht="19" customHeight="1">
      <c r="A400" s="98" t="n">
        <v>390</v>
      </c>
      <c r="B400" s="99" t="inlineStr">
        <is>
          <t>Carbon Steel</t>
        </is>
      </c>
      <c r="C400" s="19" t="inlineStr">
        <is>
          <t>ASME B36.10M / B36.19M</t>
        </is>
      </c>
      <c r="D400" s="18" t="inlineStr">
        <is>
          <t>48''</t>
        </is>
      </c>
      <c r="E400" s="98" t="n">
        <v>1200</v>
      </c>
      <c r="F400" s="18" t="inlineStr">
        <is>
          <t>STD</t>
        </is>
      </c>
      <c r="G400" s="20" t="n">
        <v>48</v>
      </c>
      <c r="H400" s="82" t="n">
        <v>1219.2</v>
      </c>
      <c r="I400" s="20" t="n">
        <v>0.375</v>
      </c>
      <c r="J400" s="82" t="n">
        <v>9.52</v>
      </c>
      <c r="K400" s="20">
        <f>ROUND((H400-J400)*J400*IF(B400="Carbon Steel",$K$7,IF(B400="Stainless Steel 304",$K$8,$L$8)), 3)</f>
        <v/>
      </c>
      <c r="L400" s="82">
        <f>ROUND(K400*$G$5, 2)</f>
        <v/>
      </c>
      <c r="M400" s="98">
        <f>INT($G$6/H400)</f>
        <v/>
      </c>
      <c r="N400" s="98">
        <f>IF(M400=0, 0, IF(OR($K$6="Square Grid", M400=1), INT($G$7/H400), IF($G$7&lt;H400, 0, 1+INT(($G$7-H400)/(0.8660254*H400)))))</f>
        <v/>
      </c>
      <c r="O400" s="84">
        <f>IF(OR(M400=0,N400=0), 0, IF(OR($K$6="Square Grid", M400=1), M400*N400*$K$5, (INT((N400+1)/2)*M400 + INT(N400/2)*IF(($G$6-M400*H400)&gt;=0.5*H400, M400, M400-1))*$K$5))</f>
        <v/>
      </c>
      <c r="P400" s="84">
        <f>IF(L400&lt;=0, 0, INT($G$8/L400))</f>
        <v/>
      </c>
      <c r="Q400" s="95">
        <f>MIN(O400, P400)</f>
        <v/>
      </c>
      <c r="R400" s="96">
        <f>ROUND((Q400*L400)/1000, 2)</f>
        <v/>
      </c>
      <c r="S400" s="85">
        <f>IF($C$8&gt;0, R400/$C$8, 0)</f>
        <v/>
      </c>
      <c r="T400" s="85">
        <f>IF(O400&gt;0, Q400/O400, 0)</f>
        <v/>
      </c>
      <c r="U400" s="18">
        <f>IF(Q400=0, "Exceeds Limit", IF(P400&lt;=O400, "Weight Limited", "Volume Limited"))</f>
        <v/>
      </c>
      <c r="V400" s="100">
        <f>B400&amp;"|"&amp;D400&amp;"|"&amp;F400</f>
        <v/>
      </c>
    </row>
    <row r="401" ht="19" customHeight="1">
      <c r="A401" s="93" t="n">
        <v>391</v>
      </c>
      <c r="B401" s="94" t="inlineStr">
        <is>
          <t>Carbon Steel</t>
        </is>
      </c>
      <c r="C401" s="13" t="inlineStr">
        <is>
          <t>ASME B36.10M / B36.19M</t>
        </is>
      </c>
      <c r="D401" s="12" t="inlineStr">
        <is>
          <t>48''</t>
        </is>
      </c>
      <c r="E401" s="93" t="n">
        <v>1200</v>
      </c>
      <c r="F401" s="12" t="inlineStr">
        <is>
          <t>80S</t>
        </is>
      </c>
      <c r="G401" s="14" t="n">
        <v>48</v>
      </c>
      <c r="H401" s="78" t="n">
        <v>1219.2</v>
      </c>
      <c r="I401" s="14" t="n">
        <v>0.5</v>
      </c>
      <c r="J401" s="78" t="n">
        <v>12.7</v>
      </c>
      <c r="K401" s="14">
        <f>ROUND((H401-J401)*J401*IF(B401="Carbon Steel",$K$7,IF(B401="Stainless Steel 304",$K$8,$L$8)), 3)</f>
        <v/>
      </c>
      <c r="L401" s="78">
        <f>ROUND(K401*$G$5, 2)</f>
        <v/>
      </c>
      <c r="M401" s="93">
        <f>INT($G$6/H401)</f>
        <v/>
      </c>
      <c r="N401" s="93">
        <f>IF(M401=0, 0, IF(OR($K$6="Square Grid", M401=1), INT($G$7/H401), IF($G$7&lt;H401, 0, 1+INT(($G$7-H401)/(0.8660254*H401)))))</f>
        <v/>
      </c>
      <c r="O401" s="59">
        <f>IF(OR(M401=0,N401=0), 0, IF(OR($K$6="Square Grid", M401=1), M401*N401*$K$5, (INT((N401+1)/2)*M401 + INT(N401/2)*IF(($G$6-M401*H401)&gt;=0.5*H401, M401, M401-1))*$K$5))</f>
        <v/>
      </c>
      <c r="P401" s="59">
        <f>IF(L401&lt;=0, 0, INT($G$8/L401))</f>
        <v/>
      </c>
      <c r="Q401" s="95">
        <f>MIN(O401, P401)</f>
        <v/>
      </c>
      <c r="R401" s="96">
        <f>ROUND((Q401*L401)/1000, 2)</f>
        <v/>
      </c>
      <c r="S401" s="79">
        <f>IF($C$8&gt;0, R401/$C$8, 0)</f>
        <v/>
      </c>
      <c r="T401" s="79">
        <f>IF(O401&gt;0, Q401/O401, 0)</f>
        <v/>
      </c>
      <c r="U401" s="12">
        <f>IF(Q401=0, "Exceeds Limit", IF(P401&lt;=O401, "Weight Limited", "Volume Limited"))</f>
        <v/>
      </c>
      <c r="V401" s="97">
        <f>B401&amp;"|"&amp;D401&amp;"|"&amp;F401</f>
        <v/>
      </c>
    </row>
    <row r="402" ht="19" customHeight="1">
      <c r="A402" s="98" t="n">
        <v>392</v>
      </c>
      <c r="B402" s="99" t="inlineStr">
        <is>
          <t>Carbon Steel</t>
        </is>
      </c>
      <c r="C402" s="19" t="inlineStr">
        <is>
          <t>ASME B36.10M / B36.19M</t>
        </is>
      </c>
      <c r="D402" s="18" t="inlineStr">
        <is>
          <t>48''</t>
        </is>
      </c>
      <c r="E402" s="98" t="n">
        <v>1200</v>
      </c>
      <c r="F402" s="18" t="inlineStr">
        <is>
          <t>XS</t>
        </is>
      </c>
      <c r="G402" s="20" t="n">
        <v>48</v>
      </c>
      <c r="H402" s="82" t="n">
        <v>1219.2</v>
      </c>
      <c r="I402" s="20" t="n">
        <v>0.5</v>
      </c>
      <c r="J402" s="82" t="n">
        <v>12.7</v>
      </c>
      <c r="K402" s="20">
        <f>ROUND((H402-J402)*J402*IF(B402="Carbon Steel",$K$7,IF(B402="Stainless Steel 304",$K$8,$L$8)), 3)</f>
        <v/>
      </c>
      <c r="L402" s="82">
        <f>ROUND(K402*$G$5, 2)</f>
        <v/>
      </c>
      <c r="M402" s="98">
        <f>INT($G$6/H402)</f>
        <v/>
      </c>
      <c r="N402" s="98">
        <f>IF(M402=0, 0, IF(OR($K$6="Square Grid", M402=1), INT($G$7/H402), IF($G$7&lt;H402, 0, 1+INT(($G$7-H402)/(0.8660254*H402)))))</f>
        <v/>
      </c>
      <c r="O402" s="84">
        <f>IF(OR(M402=0,N402=0), 0, IF(OR($K$6="Square Grid", M402=1), M402*N402*$K$5, (INT((N402+1)/2)*M402 + INT(N402/2)*IF(($G$6-M402*H402)&gt;=0.5*H402, M402, M402-1))*$K$5))</f>
        <v/>
      </c>
      <c r="P402" s="84">
        <f>IF(L402&lt;=0, 0, INT($G$8/L402))</f>
        <v/>
      </c>
      <c r="Q402" s="95">
        <f>MIN(O402, P402)</f>
        <v/>
      </c>
      <c r="R402" s="96">
        <f>ROUND((Q402*L402)/1000, 2)</f>
        <v/>
      </c>
      <c r="S402" s="85">
        <f>IF($C$8&gt;0, R402/$C$8, 0)</f>
        <v/>
      </c>
      <c r="T402" s="85">
        <f>IF(O402&gt;0, Q402/O402, 0)</f>
        <v/>
      </c>
      <c r="U402" s="18">
        <f>IF(Q402=0, "Exceeds Limit", IF(P402&lt;=O402, "Weight Limited", "Volume Limited"))</f>
        <v/>
      </c>
      <c r="V402" s="100">
        <f>B402&amp;"|"&amp;D402&amp;"|"&amp;F402</f>
        <v/>
      </c>
    </row>
    <row r="403" ht="19" customHeight="1">
      <c r="A403" s="93" t="n">
        <v>393</v>
      </c>
      <c r="B403" s="101" t="inlineStr">
        <is>
          <t>Stainless Steel 304</t>
        </is>
      </c>
      <c r="C403" s="13" t="inlineStr">
        <is>
          <t>ASME B36.19M / B36.10M</t>
        </is>
      </c>
      <c r="D403" s="12" t="inlineStr">
        <is>
          <t>1/8''</t>
        </is>
      </c>
      <c r="E403" s="93" t="n">
        <v>6</v>
      </c>
      <c r="F403" s="12" t="inlineStr">
        <is>
          <t>10S</t>
        </is>
      </c>
      <c r="G403" s="14" t="n">
        <v>0.405</v>
      </c>
      <c r="H403" s="78" t="n">
        <v>10.29</v>
      </c>
      <c r="I403" s="14" t="n">
        <v>0.049</v>
      </c>
      <c r="J403" s="78" t="n">
        <v>1.24</v>
      </c>
      <c r="K403" s="14">
        <f>ROUND((H403-J403)*J403*IF(B403="Carbon Steel",$K$7,IF(B403="Stainless Steel 304",$K$8,$L$8)), 3)</f>
        <v/>
      </c>
      <c r="L403" s="78">
        <f>ROUND(K403*$G$5, 2)</f>
        <v/>
      </c>
      <c r="M403" s="93">
        <f>INT($G$6/H403)</f>
        <v/>
      </c>
      <c r="N403" s="93">
        <f>IF(M403=0, 0, IF(OR($K$6="Square Grid", M403=1), INT($G$7/H403), IF($G$7&lt;H403, 0, 1+INT(($G$7-H403)/(0.8660254*H403)))))</f>
        <v/>
      </c>
      <c r="O403" s="59">
        <f>IF(OR(M403=0,N403=0), 0, IF(OR($K$6="Square Grid", M403=1), M403*N403*$K$5, (INT((N403+1)/2)*M403 + INT(N403/2)*IF(($G$6-M403*H403)&gt;=0.5*H403, M403, M403-1))*$K$5))</f>
        <v/>
      </c>
      <c r="P403" s="59">
        <f>IF(L403&lt;=0, 0, INT($G$8/L403))</f>
        <v/>
      </c>
      <c r="Q403" s="95">
        <f>MIN(O403, P403)</f>
        <v/>
      </c>
      <c r="R403" s="96">
        <f>ROUND((Q403*L403)/1000, 2)</f>
        <v/>
      </c>
      <c r="S403" s="79">
        <f>IF($C$8&gt;0, R403/$C$8, 0)</f>
        <v/>
      </c>
      <c r="T403" s="79">
        <f>IF(O403&gt;0, Q403/O403, 0)</f>
        <v/>
      </c>
      <c r="U403" s="12">
        <f>IF(Q403=0, "Exceeds Limit", IF(P403&lt;=O403, "Weight Limited", "Volume Limited"))</f>
        <v/>
      </c>
      <c r="V403" s="97">
        <f>B403&amp;"|"&amp;D403&amp;"|"&amp;F403</f>
        <v/>
      </c>
    </row>
    <row r="404" ht="19" customHeight="1">
      <c r="A404" s="98" t="n">
        <v>394</v>
      </c>
      <c r="B404" s="102" t="inlineStr">
        <is>
          <t>Stainless Steel 304</t>
        </is>
      </c>
      <c r="C404" s="19" t="inlineStr">
        <is>
          <t>ASME B36.19M / B36.10M</t>
        </is>
      </c>
      <c r="D404" s="18" t="inlineStr">
        <is>
          <t>1/8''</t>
        </is>
      </c>
      <c r="E404" s="98" t="n">
        <v>6</v>
      </c>
      <c r="F404" s="18" t="inlineStr">
        <is>
          <t>10</t>
        </is>
      </c>
      <c r="G404" s="20" t="n">
        <v>0.405</v>
      </c>
      <c r="H404" s="82" t="n">
        <v>10.29</v>
      </c>
      <c r="I404" s="20" t="n">
        <v>0.049</v>
      </c>
      <c r="J404" s="82" t="n">
        <v>1.24</v>
      </c>
      <c r="K404" s="20">
        <f>ROUND((H404-J404)*J404*IF(B404="Carbon Steel",$K$7,IF(B404="Stainless Steel 304",$K$8,$L$8)), 3)</f>
        <v/>
      </c>
      <c r="L404" s="82">
        <f>ROUND(K404*$G$5, 2)</f>
        <v/>
      </c>
      <c r="M404" s="98">
        <f>INT($G$6/H404)</f>
        <v/>
      </c>
      <c r="N404" s="98">
        <f>IF(M404=0, 0, IF(OR($K$6="Square Grid", M404=1), INT($G$7/H404), IF($G$7&lt;H404, 0, 1+INT(($G$7-H404)/(0.8660254*H404)))))</f>
        <v/>
      </c>
      <c r="O404" s="84">
        <f>IF(OR(M404=0,N404=0), 0, IF(OR($K$6="Square Grid", M404=1), M404*N404*$K$5, (INT((N404+1)/2)*M404 + INT(N404/2)*IF(($G$6-M404*H404)&gt;=0.5*H404, M404, M404-1))*$K$5))</f>
        <v/>
      </c>
      <c r="P404" s="84">
        <f>IF(L404&lt;=0, 0, INT($G$8/L404))</f>
        <v/>
      </c>
      <c r="Q404" s="95">
        <f>MIN(O404, P404)</f>
        <v/>
      </c>
      <c r="R404" s="96">
        <f>ROUND((Q404*L404)/1000, 2)</f>
        <v/>
      </c>
      <c r="S404" s="85">
        <f>IF($C$8&gt;0, R404/$C$8, 0)</f>
        <v/>
      </c>
      <c r="T404" s="85">
        <f>IF(O404&gt;0, Q404/O404, 0)</f>
        <v/>
      </c>
      <c r="U404" s="18">
        <f>IF(Q404=0, "Exceeds Limit", IF(P404&lt;=O404, "Weight Limited", "Volume Limited"))</f>
        <v/>
      </c>
      <c r="V404" s="100">
        <f>B404&amp;"|"&amp;D404&amp;"|"&amp;F404</f>
        <v/>
      </c>
    </row>
    <row r="405" ht="19" customHeight="1">
      <c r="A405" s="93" t="n">
        <v>395</v>
      </c>
      <c r="B405" s="101" t="inlineStr">
        <is>
          <t>Stainless Steel 304</t>
        </is>
      </c>
      <c r="C405" s="13" t="inlineStr">
        <is>
          <t>ASME B36.19M / B36.10M</t>
        </is>
      </c>
      <c r="D405" s="12" t="inlineStr">
        <is>
          <t>1/8''</t>
        </is>
      </c>
      <c r="E405" s="93" t="n">
        <v>6</v>
      </c>
      <c r="F405" s="12" t="inlineStr">
        <is>
          <t>30</t>
        </is>
      </c>
      <c r="G405" s="14" t="n">
        <v>0.405</v>
      </c>
      <c r="H405" s="78" t="n">
        <v>10.29</v>
      </c>
      <c r="I405" s="14" t="n">
        <v>0.057</v>
      </c>
      <c r="J405" s="78" t="n">
        <v>1.45</v>
      </c>
      <c r="K405" s="14">
        <f>ROUND((H405-J405)*J405*IF(B405="Carbon Steel",$K$7,IF(B405="Stainless Steel 304",$K$8,$L$8)), 3)</f>
        <v/>
      </c>
      <c r="L405" s="78">
        <f>ROUND(K405*$G$5, 2)</f>
        <v/>
      </c>
      <c r="M405" s="93">
        <f>INT($G$6/H405)</f>
        <v/>
      </c>
      <c r="N405" s="93">
        <f>IF(M405=0, 0, IF(OR($K$6="Square Grid", M405=1), INT($G$7/H405), IF($G$7&lt;H405, 0, 1+INT(($G$7-H405)/(0.8660254*H405)))))</f>
        <v/>
      </c>
      <c r="O405" s="59">
        <f>IF(OR(M405=0,N405=0), 0, IF(OR($K$6="Square Grid", M405=1), M405*N405*$K$5, (INT((N405+1)/2)*M405 + INT(N405/2)*IF(($G$6-M405*H405)&gt;=0.5*H405, M405, M405-1))*$K$5))</f>
        <v/>
      </c>
      <c r="P405" s="59">
        <f>IF(L405&lt;=0, 0, INT($G$8/L405))</f>
        <v/>
      </c>
      <c r="Q405" s="95">
        <f>MIN(O405, P405)</f>
        <v/>
      </c>
      <c r="R405" s="96">
        <f>ROUND((Q405*L405)/1000, 2)</f>
        <v/>
      </c>
      <c r="S405" s="79">
        <f>IF($C$8&gt;0, R405/$C$8, 0)</f>
        <v/>
      </c>
      <c r="T405" s="79">
        <f>IF(O405&gt;0, Q405/O405, 0)</f>
        <v/>
      </c>
      <c r="U405" s="12">
        <f>IF(Q405=0, "Exceeds Limit", IF(P405&lt;=O405, "Weight Limited", "Volume Limited"))</f>
        <v/>
      </c>
      <c r="V405" s="97">
        <f>B405&amp;"|"&amp;D405&amp;"|"&amp;F405</f>
        <v/>
      </c>
    </row>
    <row r="406" ht="19" customHeight="1">
      <c r="A406" s="98" t="n">
        <v>396</v>
      </c>
      <c r="B406" s="102" t="inlineStr">
        <is>
          <t>Stainless Steel 304</t>
        </is>
      </c>
      <c r="C406" s="19" t="inlineStr">
        <is>
          <t>ASME B36.19M / B36.10M</t>
        </is>
      </c>
      <c r="D406" s="18" t="inlineStr">
        <is>
          <t>1/8''</t>
        </is>
      </c>
      <c r="E406" s="98" t="n">
        <v>6</v>
      </c>
      <c r="F406" s="18" t="inlineStr">
        <is>
          <t>40S</t>
        </is>
      </c>
      <c r="G406" s="20" t="n">
        <v>0.405</v>
      </c>
      <c r="H406" s="82" t="n">
        <v>10.29</v>
      </c>
      <c r="I406" s="20" t="n">
        <v>0.068</v>
      </c>
      <c r="J406" s="82" t="n">
        <v>1.73</v>
      </c>
      <c r="K406" s="20">
        <f>ROUND((H406-J406)*J406*IF(B406="Carbon Steel",$K$7,IF(B406="Stainless Steel 304",$K$8,$L$8)), 3)</f>
        <v/>
      </c>
      <c r="L406" s="82">
        <f>ROUND(K406*$G$5, 2)</f>
        <v/>
      </c>
      <c r="M406" s="98">
        <f>INT($G$6/H406)</f>
        <v/>
      </c>
      <c r="N406" s="98">
        <f>IF(M406=0, 0, IF(OR($K$6="Square Grid", M406=1), INT($G$7/H406), IF($G$7&lt;H406, 0, 1+INT(($G$7-H406)/(0.8660254*H406)))))</f>
        <v/>
      </c>
      <c r="O406" s="84">
        <f>IF(OR(M406=0,N406=0), 0, IF(OR($K$6="Square Grid", M406=1), M406*N406*$K$5, (INT((N406+1)/2)*M406 + INT(N406/2)*IF(($G$6-M406*H406)&gt;=0.5*H406, M406, M406-1))*$K$5))</f>
        <v/>
      </c>
      <c r="P406" s="84">
        <f>IF(L406&lt;=0, 0, INT($G$8/L406))</f>
        <v/>
      </c>
      <c r="Q406" s="95">
        <f>MIN(O406, P406)</f>
        <v/>
      </c>
      <c r="R406" s="96">
        <f>ROUND((Q406*L406)/1000, 2)</f>
        <v/>
      </c>
      <c r="S406" s="85">
        <f>IF($C$8&gt;0, R406/$C$8, 0)</f>
        <v/>
      </c>
      <c r="T406" s="85">
        <f>IF(O406&gt;0, Q406/O406, 0)</f>
        <v/>
      </c>
      <c r="U406" s="18">
        <f>IF(Q406=0, "Exceeds Limit", IF(P406&lt;=O406, "Weight Limited", "Volume Limited"))</f>
        <v/>
      </c>
      <c r="V406" s="100">
        <f>B406&amp;"|"&amp;D406&amp;"|"&amp;F406</f>
        <v/>
      </c>
    </row>
    <row r="407" ht="19" customHeight="1">
      <c r="A407" s="93" t="n">
        <v>397</v>
      </c>
      <c r="B407" s="101" t="inlineStr">
        <is>
          <t>Stainless Steel 304</t>
        </is>
      </c>
      <c r="C407" s="13" t="inlineStr">
        <is>
          <t>ASME B36.19M / B36.10M</t>
        </is>
      </c>
      <c r="D407" s="12" t="inlineStr">
        <is>
          <t>1/8''</t>
        </is>
      </c>
      <c r="E407" s="93" t="n">
        <v>6</v>
      </c>
      <c r="F407" s="12" t="inlineStr">
        <is>
          <t>STD</t>
        </is>
      </c>
      <c r="G407" s="14" t="n">
        <v>0.405</v>
      </c>
      <c r="H407" s="78" t="n">
        <v>10.29</v>
      </c>
      <c r="I407" s="14" t="n">
        <v>0.068</v>
      </c>
      <c r="J407" s="78" t="n">
        <v>1.73</v>
      </c>
      <c r="K407" s="14">
        <f>ROUND((H407-J407)*J407*IF(B407="Carbon Steel",$K$7,IF(B407="Stainless Steel 304",$K$8,$L$8)), 3)</f>
        <v/>
      </c>
      <c r="L407" s="78">
        <f>ROUND(K407*$G$5, 2)</f>
        <v/>
      </c>
      <c r="M407" s="93">
        <f>INT($G$6/H407)</f>
        <v/>
      </c>
      <c r="N407" s="93">
        <f>IF(M407=0, 0, IF(OR($K$6="Square Grid", M407=1), INT($G$7/H407), IF($G$7&lt;H407, 0, 1+INT(($G$7-H407)/(0.8660254*H407)))))</f>
        <v/>
      </c>
      <c r="O407" s="59">
        <f>IF(OR(M407=0,N407=0), 0, IF(OR($K$6="Square Grid", M407=1), M407*N407*$K$5, (INT((N407+1)/2)*M407 + INT(N407/2)*IF(($G$6-M407*H407)&gt;=0.5*H407, M407, M407-1))*$K$5))</f>
        <v/>
      </c>
      <c r="P407" s="59">
        <f>IF(L407&lt;=0, 0, INT($G$8/L407))</f>
        <v/>
      </c>
      <c r="Q407" s="95">
        <f>MIN(O407, P407)</f>
        <v/>
      </c>
      <c r="R407" s="96">
        <f>ROUND((Q407*L407)/1000, 2)</f>
        <v/>
      </c>
      <c r="S407" s="79">
        <f>IF($C$8&gt;0, R407/$C$8, 0)</f>
        <v/>
      </c>
      <c r="T407" s="79">
        <f>IF(O407&gt;0, Q407/O407, 0)</f>
        <v/>
      </c>
      <c r="U407" s="12">
        <f>IF(Q407=0, "Exceeds Limit", IF(P407&lt;=O407, "Weight Limited", "Volume Limited"))</f>
        <v/>
      </c>
      <c r="V407" s="97">
        <f>B407&amp;"|"&amp;D407&amp;"|"&amp;F407</f>
        <v/>
      </c>
    </row>
    <row r="408" ht="19" customHeight="1">
      <c r="A408" s="98" t="n">
        <v>398</v>
      </c>
      <c r="B408" s="102" t="inlineStr">
        <is>
          <t>Stainless Steel 304</t>
        </is>
      </c>
      <c r="C408" s="19" t="inlineStr">
        <is>
          <t>ASME B36.19M / B36.10M</t>
        </is>
      </c>
      <c r="D408" s="18" t="inlineStr">
        <is>
          <t>1/8''</t>
        </is>
      </c>
      <c r="E408" s="98" t="n">
        <v>6</v>
      </c>
      <c r="F408" s="18" t="inlineStr">
        <is>
          <t>40</t>
        </is>
      </c>
      <c r="G408" s="20" t="n">
        <v>0.405</v>
      </c>
      <c r="H408" s="82" t="n">
        <v>10.29</v>
      </c>
      <c r="I408" s="20" t="n">
        <v>0.068</v>
      </c>
      <c r="J408" s="82" t="n">
        <v>1.73</v>
      </c>
      <c r="K408" s="20">
        <f>ROUND((H408-J408)*J408*IF(B408="Carbon Steel",$K$7,IF(B408="Stainless Steel 304",$K$8,$L$8)), 3)</f>
        <v/>
      </c>
      <c r="L408" s="82">
        <f>ROUND(K408*$G$5, 2)</f>
        <v/>
      </c>
      <c r="M408" s="98">
        <f>INT($G$6/H408)</f>
        <v/>
      </c>
      <c r="N408" s="98">
        <f>IF(M408=0, 0, IF(OR($K$6="Square Grid", M408=1), INT($G$7/H408), IF($G$7&lt;H408, 0, 1+INT(($G$7-H408)/(0.8660254*H408)))))</f>
        <v/>
      </c>
      <c r="O408" s="84">
        <f>IF(OR(M408=0,N408=0), 0, IF(OR($K$6="Square Grid", M408=1), M408*N408*$K$5, (INT((N408+1)/2)*M408 + INT(N408/2)*IF(($G$6-M408*H408)&gt;=0.5*H408, M408, M408-1))*$K$5))</f>
        <v/>
      </c>
      <c r="P408" s="84">
        <f>IF(L408&lt;=0, 0, INT($G$8/L408))</f>
        <v/>
      </c>
      <c r="Q408" s="95">
        <f>MIN(O408, P408)</f>
        <v/>
      </c>
      <c r="R408" s="96">
        <f>ROUND((Q408*L408)/1000, 2)</f>
        <v/>
      </c>
      <c r="S408" s="85">
        <f>IF($C$8&gt;0, R408/$C$8, 0)</f>
        <v/>
      </c>
      <c r="T408" s="85">
        <f>IF(O408&gt;0, Q408/O408, 0)</f>
        <v/>
      </c>
      <c r="U408" s="18">
        <f>IF(Q408=0, "Exceeds Limit", IF(P408&lt;=O408, "Weight Limited", "Volume Limited"))</f>
        <v/>
      </c>
      <c r="V408" s="100">
        <f>B408&amp;"|"&amp;D408&amp;"|"&amp;F408</f>
        <v/>
      </c>
    </row>
    <row r="409" ht="19" customHeight="1">
      <c r="A409" s="93" t="n">
        <v>399</v>
      </c>
      <c r="B409" s="101" t="inlineStr">
        <is>
          <t>Stainless Steel 304</t>
        </is>
      </c>
      <c r="C409" s="13" t="inlineStr">
        <is>
          <t>ASME B36.19M / B36.10M</t>
        </is>
      </c>
      <c r="D409" s="12" t="inlineStr">
        <is>
          <t>1/8''</t>
        </is>
      </c>
      <c r="E409" s="93" t="n">
        <v>6</v>
      </c>
      <c r="F409" s="12" t="inlineStr">
        <is>
          <t>80S</t>
        </is>
      </c>
      <c r="G409" s="14" t="n">
        <v>0.405</v>
      </c>
      <c r="H409" s="78" t="n">
        <v>10.29</v>
      </c>
      <c r="I409" s="14" t="n">
        <v>0.095</v>
      </c>
      <c r="J409" s="78" t="n">
        <v>2.41</v>
      </c>
      <c r="K409" s="14">
        <f>ROUND((H409-J409)*J409*IF(B409="Carbon Steel",$K$7,IF(B409="Stainless Steel 304",$K$8,$L$8)), 3)</f>
        <v/>
      </c>
      <c r="L409" s="78">
        <f>ROUND(K409*$G$5, 2)</f>
        <v/>
      </c>
      <c r="M409" s="93">
        <f>INT($G$6/H409)</f>
        <v/>
      </c>
      <c r="N409" s="93">
        <f>IF(M409=0, 0, IF(OR($K$6="Square Grid", M409=1), INT($G$7/H409), IF($G$7&lt;H409, 0, 1+INT(($G$7-H409)/(0.8660254*H409)))))</f>
        <v/>
      </c>
      <c r="O409" s="59">
        <f>IF(OR(M409=0,N409=0), 0, IF(OR($K$6="Square Grid", M409=1), M409*N409*$K$5, (INT((N409+1)/2)*M409 + INT(N409/2)*IF(($G$6-M409*H409)&gt;=0.5*H409, M409, M409-1))*$K$5))</f>
        <v/>
      </c>
      <c r="P409" s="59">
        <f>IF(L409&lt;=0, 0, INT($G$8/L409))</f>
        <v/>
      </c>
      <c r="Q409" s="95">
        <f>MIN(O409, P409)</f>
        <v/>
      </c>
      <c r="R409" s="96">
        <f>ROUND((Q409*L409)/1000, 2)</f>
        <v/>
      </c>
      <c r="S409" s="79">
        <f>IF($C$8&gt;0, R409/$C$8, 0)</f>
        <v/>
      </c>
      <c r="T409" s="79">
        <f>IF(O409&gt;0, Q409/O409, 0)</f>
        <v/>
      </c>
      <c r="U409" s="12">
        <f>IF(Q409=0, "Exceeds Limit", IF(P409&lt;=O409, "Weight Limited", "Volume Limited"))</f>
        <v/>
      </c>
      <c r="V409" s="97">
        <f>B409&amp;"|"&amp;D409&amp;"|"&amp;F409</f>
        <v/>
      </c>
    </row>
    <row r="410" ht="19" customHeight="1">
      <c r="A410" s="98" t="n">
        <v>400</v>
      </c>
      <c r="B410" s="102" t="inlineStr">
        <is>
          <t>Stainless Steel 304</t>
        </is>
      </c>
      <c r="C410" s="19" t="inlineStr">
        <is>
          <t>ASME B36.19M / B36.10M</t>
        </is>
      </c>
      <c r="D410" s="18" t="inlineStr">
        <is>
          <t>1/8''</t>
        </is>
      </c>
      <c r="E410" s="98" t="n">
        <v>6</v>
      </c>
      <c r="F410" s="18" t="inlineStr">
        <is>
          <t>XS</t>
        </is>
      </c>
      <c r="G410" s="20" t="n">
        <v>0.405</v>
      </c>
      <c r="H410" s="82" t="n">
        <v>10.29</v>
      </c>
      <c r="I410" s="20" t="n">
        <v>0.095</v>
      </c>
      <c r="J410" s="82" t="n">
        <v>2.41</v>
      </c>
      <c r="K410" s="20">
        <f>ROUND((H410-J410)*J410*IF(B410="Carbon Steel",$K$7,IF(B410="Stainless Steel 304",$K$8,$L$8)), 3)</f>
        <v/>
      </c>
      <c r="L410" s="82">
        <f>ROUND(K410*$G$5, 2)</f>
        <v/>
      </c>
      <c r="M410" s="98">
        <f>INT($G$6/H410)</f>
        <v/>
      </c>
      <c r="N410" s="98">
        <f>IF(M410=0, 0, IF(OR($K$6="Square Grid", M410=1), INT($G$7/H410), IF($G$7&lt;H410, 0, 1+INT(($G$7-H410)/(0.8660254*H410)))))</f>
        <v/>
      </c>
      <c r="O410" s="84">
        <f>IF(OR(M410=0,N410=0), 0, IF(OR($K$6="Square Grid", M410=1), M410*N410*$K$5, (INT((N410+1)/2)*M410 + INT(N410/2)*IF(($G$6-M410*H410)&gt;=0.5*H410, M410, M410-1))*$K$5))</f>
        <v/>
      </c>
      <c r="P410" s="84">
        <f>IF(L410&lt;=0, 0, INT($G$8/L410))</f>
        <v/>
      </c>
      <c r="Q410" s="95">
        <f>MIN(O410, P410)</f>
        <v/>
      </c>
      <c r="R410" s="96">
        <f>ROUND((Q410*L410)/1000, 2)</f>
        <v/>
      </c>
      <c r="S410" s="85">
        <f>IF($C$8&gt;0, R410/$C$8, 0)</f>
        <v/>
      </c>
      <c r="T410" s="85">
        <f>IF(O410&gt;0, Q410/O410, 0)</f>
        <v/>
      </c>
      <c r="U410" s="18">
        <f>IF(Q410=0, "Exceeds Limit", IF(P410&lt;=O410, "Weight Limited", "Volume Limited"))</f>
        <v/>
      </c>
      <c r="V410" s="100">
        <f>B410&amp;"|"&amp;D410&amp;"|"&amp;F410</f>
        <v/>
      </c>
    </row>
    <row r="411" ht="19" customHeight="1">
      <c r="A411" s="93" t="n">
        <v>401</v>
      </c>
      <c r="B411" s="101" t="inlineStr">
        <is>
          <t>Stainless Steel 304</t>
        </is>
      </c>
      <c r="C411" s="13" t="inlineStr">
        <is>
          <t>ASME B36.19M / B36.10M</t>
        </is>
      </c>
      <c r="D411" s="12" t="inlineStr">
        <is>
          <t>1/8''</t>
        </is>
      </c>
      <c r="E411" s="93" t="n">
        <v>6</v>
      </c>
      <c r="F411" s="12" t="inlineStr">
        <is>
          <t>80</t>
        </is>
      </c>
      <c r="G411" s="14" t="n">
        <v>0.405</v>
      </c>
      <c r="H411" s="78" t="n">
        <v>10.29</v>
      </c>
      <c r="I411" s="14" t="n">
        <v>0.095</v>
      </c>
      <c r="J411" s="78" t="n">
        <v>2.41</v>
      </c>
      <c r="K411" s="14">
        <f>ROUND((H411-J411)*J411*IF(B411="Carbon Steel",$K$7,IF(B411="Stainless Steel 304",$K$8,$L$8)), 3)</f>
        <v/>
      </c>
      <c r="L411" s="78">
        <f>ROUND(K411*$G$5, 2)</f>
        <v/>
      </c>
      <c r="M411" s="93">
        <f>INT($G$6/H411)</f>
        <v/>
      </c>
      <c r="N411" s="93">
        <f>IF(M411=0, 0, IF(OR($K$6="Square Grid", M411=1), INT($G$7/H411), IF($G$7&lt;H411, 0, 1+INT(($G$7-H411)/(0.8660254*H411)))))</f>
        <v/>
      </c>
      <c r="O411" s="59">
        <f>IF(OR(M411=0,N411=0), 0, IF(OR($K$6="Square Grid", M411=1), M411*N411*$K$5, (INT((N411+1)/2)*M411 + INT(N411/2)*IF(($G$6-M411*H411)&gt;=0.5*H411, M411, M411-1))*$K$5))</f>
        <v/>
      </c>
      <c r="P411" s="59">
        <f>IF(L411&lt;=0, 0, INT($G$8/L411))</f>
        <v/>
      </c>
      <c r="Q411" s="95">
        <f>MIN(O411, P411)</f>
        <v/>
      </c>
      <c r="R411" s="96">
        <f>ROUND((Q411*L411)/1000, 2)</f>
        <v/>
      </c>
      <c r="S411" s="79">
        <f>IF($C$8&gt;0, R411/$C$8, 0)</f>
        <v/>
      </c>
      <c r="T411" s="79">
        <f>IF(O411&gt;0, Q411/O411, 0)</f>
        <v/>
      </c>
      <c r="U411" s="12">
        <f>IF(Q411=0, "Exceeds Limit", IF(P411&lt;=O411, "Weight Limited", "Volume Limited"))</f>
        <v/>
      </c>
      <c r="V411" s="97">
        <f>B411&amp;"|"&amp;D411&amp;"|"&amp;F411</f>
        <v/>
      </c>
    </row>
    <row r="412" ht="19" customHeight="1">
      <c r="A412" s="98" t="n">
        <v>402</v>
      </c>
      <c r="B412" s="102" t="inlineStr">
        <is>
          <t>Stainless Steel 304</t>
        </is>
      </c>
      <c r="C412" s="19" t="inlineStr">
        <is>
          <t>ASME B36.19M / B36.10M</t>
        </is>
      </c>
      <c r="D412" s="18" t="inlineStr">
        <is>
          <t>1/4''</t>
        </is>
      </c>
      <c r="E412" s="98" t="n">
        <v>8</v>
      </c>
      <c r="F412" s="18" t="inlineStr">
        <is>
          <t>10S</t>
        </is>
      </c>
      <c r="G412" s="20" t="n">
        <v>0.54</v>
      </c>
      <c r="H412" s="82" t="n">
        <v>13.72</v>
      </c>
      <c r="I412" s="20" t="n">
        <v>0.065</v>
      </c>
      <c r="J412" s="82" t="n">
        <v>1.65</v>
      </c>
      <c r="K412" s="20">
        <f>ROUND((H412-J412)*J412*IF(B412="Carbon Steel",$K$7,IF(B412="Stainless Steel 304",$K$8,$L$8)), 3)</f>
        <v/>
      </c>
      <c r="L412" s="82">
        <f>ROUND(K412*$G$5, 2)</f>
        <v/>
      </c>
      <c r="M412" s="98">
        <f>INT($G$6/H412)</f>
        <v/>
      </c>
      <c r="N412" s="98">
        <f>IF(M412=0, 0, IF(OR($K$6="Square Grid", M412=1), INT($G$7/H412), IF($G$7&lt;H412, 0, 1+INT(($G$7-H412)/(0.8660254*H412)))))</f>
        <v/>
      </c>
      <c r="O412" s="84">
        <f>IF(OR(M412=0,N412=0), 0, IF(OR($K$6="Square Grid", M412=1), M412*N412*$K$5, (INT((N412+1)/2)*M412 + INT(N412/2)*IF(($G$6-M412*H412)&gt;=0.5*H412, M412, M412-1))*$K$5))</f>
        <v/>
      </c>
      <c r="P412" s="84">
        <f>IF(L412&lt;=0, 0, INT($G$8/L412))</f>
        <v/>
      </c>
      <c r="Q412" s="95">
        <f>MIN(O412, P412)</f>
        <v/>
      </c>
      <c r="R412" s="96">
        <f>ROUND((Q412*L412)/1000, 2)</f>
        <v/>
      </c>
      <c r="S412" s="85">
        <f>IF($C$8&gt;0, R412/$C$8, 0)</f>
        <v/>
      </c>
      <c r="T412" s="85">
        <f>IF(O412&gt;0, Q412/O412, 0)</f>
        <v/>
      </c>
      <c r="U412" s="18">
        <f>IF(Q412=0, "Exceeds Limit", IF(P412&lt;=O412, "Weight Limited", "Volume Limited"))</f>
        <v/>
      </c>
      <c r="V412" s="100">
        <f>B412&amp;"|"&amp;D412&amp;"|"&amp;F412</f>
        <v/>
      </c>
    </row>
    <row r="413" ht="19" customHeight="1">
      <c r="A413" s="93" t="n">
        <v>403</v>
      </c>
      <c r="B413" s="101" t="inlineStr">
        <is>
          <t>Stainless Steel 304</t>
        </is>
      </c>
      <c r="C413" s="13" t="inlineStr">
        <is>
          <t>ASME B36.19M / B36.10M</t>
        </is>
      </c>
      <c r="D413" s="12" t="inlineStr">
        <is>
          <t>1/4''</t>
        </is>
      </c>
      <c r="E413" s="93" t="n">
        <v>8</v>
      </c>
      <c r="F413" s="12" t="inlineStr">
        <is>
          <t>10</t>
        </is>
      </c>
      <c r="G413" s="14" t="n">
        <v>0.54</v>
      </c>
      <c r="H413" s="78" t="n">
        <v>13.72</v>
      </c>
      <c r="I413" s="14" t="n">
        <v>0.065</v>
      </c>
      <c r="J413" s="78" t="n">
        <v>1.65</v>
      </c>
      <c r="K413" s="14">
        <f>ROUND((H413-J413)*J413*IF(B413="Carbon Steel",$K$7,IF(B413="Stainless Steel 304",$K$8,$L$8)), 3)</f>
        <v/>
      </c>
      <c r="L413" s="78">
        <f>ROUND(K413*$G$5, 2)</f>
        <v/>
      </c>
      <c r="M413" s="93">
        <f>INT($G$6/H413)</f>
        <v/>
      </c>
      <c r="N413" s="93">
        <f>IF(M413=0, 0, IF(OR($K$6="Square Grid", M413=1), INT($G$7/H413), IF($G$7&lt;H413, 0, 1+INT(($G$7-H413)/(0.8660254*H413)))))</f>
        <v/>
      </c>
      <c r="O413" s="59">
        <f>IF(OR(M413=0,N413=0), 0, IF(OR($K$6="Square Grid", M413=1), M413*N413*$K$5, (INT((N413+1)/2)*M413 + INT(N413/2)*IF(($G$6-M413*H413)&gt;=0.5*H413, M413, M413-1))*$K$5))</f>
        <v/>
      </c>
      <c r="P413" s="59">
        <f>IF(L413&lt;=0, 0, INT($G$8/L413))</f>
        <v/>
      </c>
      <c r="Q413" s="95">
        <f>MIN(O413, P413)</f>
        <v/>
      </c>
      <c r="R413" s="96">
        <f>ROUND((Q413*L413)/1000, 2)</f>
        <v/>
      </c>
      <c r="S413" s="79">
        <f>IF($C$8&gt;0, R413/$C$8, 0)</f>
        <v/>
      </c>
      <c r="T413" s="79">
        <f>IF(O413&gt;0, Q413/O413, 0)</f>
        <v/>
      </c>
      <c r="U413" s="12">
        <f>IF(Q413=0, "Exceeds Limit", IF(P413&lt;=O413, "Weight Limited", "Volume Limited"))</f>
        <v/>
      </c>
      <c r="V413" s="97">
        <f>B413&amp;"|"&amp;D413&amp;"|"&amp;F413</f>
        <v/>
      </c>
    </row>
    <row r="414" ht="19" customHeight="1">
      <c r="A414" s="98" t="n">
        <v>404</v>
      </c>
      <c r="B414" s="102" t="inlineStr">
        <is>
          <t>Stainless Steel 304</t>
        </is>
      </c>
      <c r="C414" s="19" t="inlineStr">
        <is>
          <t>ASME B36.19M / B36.10M</t>
        </is>
      </c>
      <c r="D414" s="18" t="inlineStr">
        <is>
          <t>1/4''</t>
        </is>
      </c>
      <c r="E414" s="98" t="n">
        <v>8</v>
      </c>
      <c r="F414" s="18" t="inlineStr">
        <is>
          <t>30</t>
        </is>
      </c>
      <c r="G414" s="20" t="n">
        <v>0.54</v>
      </c>
      <c r="H414" s="82" t="n">
        <v>13.72</v>
      </c>
      <c r="I414" s="20" t="n">
        <v>0.073</v>
      </c>
      <c r="J414" s="82" t="n">
        <v>1.85</v>
      </c>
      <c r="K414" s="20">
        <f>ROUND((H414-J414)*J414*IF(B414="Carbon Steel",$K$7,IF(B414="Stainless Steel 304",$K$8,$L$8)), 3)</f>
        <v/>
      </c>
      <c r="L414" s="82">
        <f>ROUND(K414*$G$5, 2)</f>
        <v/>
      </c>
      <c r="M414" s="98">
        <f>INT($G$6/H414)</f>
        <v/>
      </c>
      <c r="N414" s="98">
        <f>IF(M414=0, 0, IF(OR($K$6="Square Grid", M414=1), INT($G$7/H414), IF($G$7&lt;H414, 0, 1+INT(($G$7-H414)/(0.8660254*H414)))))</f>
        <v/>
      </c>
      <c r="O414" s="84">
        <f>IF(OR(M414=0,N414=0), 0, IF(OR($K$6="Square Grid", M414=1), M414*N414*$K$5, (INT((N414+1)/2)*M414 + INT(N414/2)*IF(($G$6-M414*H414)&gt;=0.5*H414, M414, M414-1))*$K$5))</f>
        <v/>
      </c>
      <c r="P414" s="84">
        <f>IF(L414&lt;=0, 0, INT($G$8/L414))</f>
        <v/>
      </c>
      <c r="Q414" s="95">
        <f>MIN(O414, P414)</f>
        <v/>
      </c>
      <c r="R414" s="96">
        <f>ROUND((Q414*L414)/1000, 2)</f>
        <v/>
      </c>
      <c r="S414" s="85">
        <f>IF($C$8&gt;0, R414/$C$8, 0)</f>
        <v/>
      </c>
      <c r="T414" s="85">
        <f>IF(O414&gt;0, Q414/O414, 0)</f>
        <v/>
      </c>
      <c r="U414" s="18">
        <f>IF(Q414=0, "Exceeds Limit", IF(P414&lt;=O414, "Weight Limited", "Volume Limited"))</f>
        <v/>
      </c>
      <c r="V414" s="100">
        <f>B414&amp;"|"&amp;D414&amp;"|"&amp;F414</f>
        <v/>
      </c>
    </row>
    <row r="415" ht="19" customHeight="1">
      <c r="A415" s="93" t="n">
        <v>405</v>
      </c>
      <c r="B415" s="101" t="inlineStr">
        <is>
          <t>Stainless Steel 304</t>
        </is>
      </c>
      <c r="C415" s="13" t="inlineStr">
        <is>
          <t>ASME B36.19M / B36.10M</t>
        </is>
      </c>
      <c r="D415" s="12" t="inlineStr">
        <is>
          <t>1/4''</t>
        </is>
      </c>
      <c r="E415" s="93" t="n">
        <v>8</v>
      </c>
      <c r="F415" s="12" t="inlineStr">
        <is>
          <t>40S</t>
        </is>
      </c>
      <c r="G415" s="14" t="n">
        <v>0.54</v>
      </c>
      <c r="H415" s="78" t="n">
        <v>13.72</v>
      </c>
      <c r="I415" s="14" t="n">
        <v>0.08799999999999999</v>
      </c>
      <c r="J415" s="78" t="n">
        <v>2.24</v>
      </c>
      <c r="K415" s="14">
        <f>ROUND((H415-J415)*J415*IF(B415="Carbon Steel",$K$7,IF(B415="Stainless Steel 304",$K$8,$L$8)), 3)</f>
        <v/>
      </c>
      <c r="L415" s="78">
        <f>ROUND(K415*$G$5, 2)</f>
        <v/>
      </c>
      <c r="M415" s="93">
        <f>INT($G$6/H415)</f>
        <v/>
      </c>
      <c r="N415" s="93">
        <f>IF(M415=0, 0, IF(OR($K$6="Square Grid", M415=1), INT($G$7/H415), IF($G$7&lt;H415, 0, 1+INT(($G$7-H415)/(0.8660254*H415)))))</f>
        <v/>
      </c>
      <c r="O415" s="59">
        <f>IF(OR(M415=0,N415=0), 0, IF(OR($K$6="Square Grid", M415=1), M415*N415*$K$5, (INT((N415+1)/2)*M415 + INT(N415/2)*IF(($G$6-M415*H415)&gt;=0.5*H415, M415, M415-1))*$K$5))</f>
        <v/>
      </c>
      <c r="P415" s="59">
        <f>IF(L415&lt;=0, 0, INT($G$8/L415))</f>
        <v/>
      </c>
      <c r="Q415" s="95">
        <f>MIN(O415, P415)</f>
        <v/>
      </c>
      <c r="R415" s="96">
        <f>ROUND((Q415*L415)/1000, 2)</f>
        <v/>
      </c>
      <c r="S415" s="79">
        <f>IF($C$8&gt;0, R415/$C$8, 0)</f>
        <v/>
      </c>
      <c r="T415" s="79">
        <f>IF(O415&gt;0, Q415/O415, 0)</f>
        <v/>
      </c>
      <c r="U415" s="12">
        <f>IF(Q415=0, "Exceeds Limit", IF(P415&lt;=O415, "Weight Limited", "Volume Limited"))</f>
        <v/>
      </c>
      <c r="V415" s="97">
        <f>B415&amp;"|"&amp;D415&amp;"|"&amp;F415</f>
        <v/>
      </c>
    </row>
    <row r="416" ht="19" customHeight="1">
      <c r="A416" s="98" t="n">
        <v>406</v>
      </c>
      <c r="B416" s="102" t="inlineStr">
        <is>
          <t>Stainless Steel 304</t>
        </is>
      </c>
      <c r="C416" s="19" t="inlineStr">
        <is>
          <t>ASME B36.19M / B36.10M</t>
        </is>
      </c>
      <c r="D416" s="18" t="inlineStr">
        <is>
          <t>1/4''</t>
        </is>
      </c>
      <c r="E416" s="98" t="n">
        <v>8</v>
      </c>
      <c r="F416" s="18" t="inlineStr">
        <is>
          <t>STD</t>
        </is>
      </c>
      <c r="G416" s="20" t="n">
        <v>0.54</v>
      </c>
      <c r="H416" s="82" t="n">
        <v>13.72</v>
      </c>
      <c r="I416" s="20" t="n">
        <v>0.08799999999999999</v>
      </c>
      <c r="J416" s="82" t="n">
        <v>2.24</v>
      </c>
      <c r="K416" s="20">
        <f>ROUND((H416-J416)*J416*IF(B416="Carbon Steel",$K$7,IF(B416="Stainless Steel 304",$K$8,$L$8)), 3)</f>
        <v/>
      </c>
      <c r="L416" s="82">
        <f>ROUND(K416*$G$5, 2)</f>
        <v/>
      </c>
      <c r="M416" s="98">
        <f>INT($G$6/H416)</f>
        <v/>
      </c>
      <c r="N416" s="98">
        <f>IF(M416=0, 0, IF(OR($K$6="Square Grid", M416=1), INT($G$7/H416), IF($G$7&lt;H416, 0, 1+INT(($G$7-H416)/(0.8660254*H416)))))</f>
        <v/>
      </c>
      <c r="O416" s="84">
        <f>IF(OR(M416=0,N416=0), 0, IF(OR($K$6="Square Grid", M416=1), M416*N416*$K$5, (INT((N416+1)/2)*M416 + INT(N416/2)*IF(($G$6-M416*H416)&gt;=0.5*H416, M416, M416-1))*$K$5))</f>
        <v/>
      </c>
      <c r="P416" s="84">
        <f>IF(L416&lt;=0, 0, INT($G$8/L416))</f>
        <v/>
      </c>
      <c r="Q416" s="95">
        <f>MIN(O416, P416)</f>
        <v/>
      </c>
      <c r="R416" s="96">
        <f>ROUND((Q416*L416)/1000, 2)</f>
        <v/>
      </c>
      <c r="S416" s="85">
        <f>IF($C$8&gt;0, R416/$C$8, 0)</f>
        <v/>
      </c>
      <c r="T416" s="85">
        <f>IF(O416&gt;0, Q416/O416, 0)</f>
        <v/>
      </c>
      <c r="U416" s="18">
        <f>IF(Q416=0, "Exceeds Limit", IF(P416&lt;=O416, "Weight Limited", "Volume Limited"))</f>
        <v/>
      </c>
      <c r="V416" s="100">
        <f>B416&amp;"|"&amp;D416&amp;"|"&amp;F416</f>
        <v/>
      </c>
    </row>
    <row r="417" ht="19" customHeight="1">
      <c r="A417" s="93" t="n">
        <v>407</v>
      </c>
      <c r="B417" s="101" t="inlineStr">
        <is>
          <t>Stainless Steel 304</t>
        </is>
      </c>
      <c r="C417" s="13" t="inlineStr">
        <is>
          <t>ASME B36.19M / B36.10M</t>
        </is>
      </c>
      <c r="D417" s="12" t="inlineStr">
        <is>
          <t>1/4''</t>
        </is>
      </c>
      <c r="E417" s="93" t="n">
        <v>8</v>
      </c>
      <c r="F417" s="12" t="inlineStr">
        <is>
          <t>40</t>
        </is>
      </c>
      <c r="G417" s="14" t="n">
        <v>0.54</v>
      </c>
      <c r="H417" s="78" t="n">
        <v>13.72</v>
      </c>
      <c r="I417" s="14" t="n">
        <v>0.08799999999999999</v>
      </c>
      <c r="J417" s="78" t="n">
        <v>2.24</v>
      </c>
      <c r="K417" s="14">
        <f>ROUND((H417-J417)*J417*IF(B417="Carbon Steel",$K$7,IF(B417="Stainless Steel 304",$K$8,$L$8)), 3)</f>
        <v/>
      </c>
      <c r="L417" s="78">
        <f>ROUND(K417*$G$5, 2)</f>
        <v/>
      </c>
      <c r="M417" s="93">
        <f>INT($G$6/H417)</f>
        <v/>
      </c>
      <c r="N417" s="93">
        <f>IF(M417=0, 0, IF(OR($K$6="Square Grid", M417=1), INT($G$7/H417), IF($G$7&lt;H417, 0, 1+INT(($G$7-H417)/(0.8660254*H417)))))</f>
        <v/>
      </c>
      <c r="O417" s="59">
        <f>IF(OR(M417=0,N417=0), 0, IF(OR($K$6="Square Grid", M417=1), M417*N417*$K$5, (INT((N417+1)/2)*M417 + INT(N417/2)*IF(($G$6-M417*H417)&gt;=0.5*H417, M417, M417-1))*$K$5))</f>
        <v/>
      </c>
      <c r="P417" s="59">
        <f>IF(L417&lt;=0, 0, INT($G$8/L417))</f>
        <v/>
      </c>
      <c r="Q417" s="95">
        <f>MIN(O417, P417)</f>
        <v/>
      </c>
      <c r="R417" s="96">
        <f>ROUND((Q417*L417)/1000, 2)</f>
        <v/>
      </c>
      <c r="S417" s="79">
        <f>IF($C$8&gt;0, R417/$C$8, 0)</f>
        <v/>
      </c>
      <c r="T417" s="79">
        <f>IF(O417&gt;0, Q417/O417, 0)</f>
        <v/>
      </c>
      <c r="U417" s="12">
        <f>IF(Q417=0, "Exceeds Limit", IF(P417&lt;=O417, "Weight Limited", "Volume Limited"))</f>
        <v/>
      </c>
      <c r="V417" s="97">
        <f>B417&amp;"|"&amp;D417&amp;"|"&amp;F417</f>
        <v/>
      </c>
    </row>
    <row r="418" ht="19" customHeight="1">
      <c r="A418" s="98" t="n">
        <v>408</v>
      </c>
      <c r="B418" s="102" t="inlineStr">
        <is>
          <t>Stainless Steel 304</t>
        </is>
      </c>
      <c r="C418" s="19" t="inlineStr">
        <is>
          <t>ASME B36.19M / B36.10M</t>
        </is>
      </c>
      <c r="D418" s="18" t="inlineStr">
        <is>
          <t>1/4''</t>
        </is>
      </c>
      <c r="E418" s="98" t="n">
        <v>8</v>
      </c>
      <c r="F418" s="18" t="inlineStr">
        <is>
          <t>80S</t>
        </is>
      </c>
      <c r="G418" s="20" t="n">
        <v>0.54</v>
      </c>
      <c r="H418" s="82" t="n">
        <v>13.72</v>
      </c>
      <c r="I418" s="20" t="n">
        <v>0.119</v>
      </c>
      <c r="J418" s="82" t="n">
        <v>3.02</v>
      </c>
      <c r="K418" s="20">
        <f>ROUND((H418-J418)*J418*IF(B418="Carbon Steel",$K$7,IF(B418="Stainless Steel 304",$K$8,$L$8)), 3)</f>
        <v/>
      </c>
      <c r="L418" s="82">
        <f>ROUND(K418*$G$5, 2)</f>
        <v/>
      </c>
      <c r="M418" s="98">
        <f>INT($G$6/H418)</f>
        <v/>
      </c>
      <c r="N418" s="98">
        <f>IF(M418=0, 0, IF(OR($K$6="Square Grid", M418=1), INT($G$7/H418), IF($G$7&lt;H418, 0, 1+INT(($G$7-H418)/(0.8660254*H418)))))</f>
        <v/>
      </c>
      <c r="O418" s="84">
        <f>IF(OR(M418=0,N418=0), 0, IF(OR($K$6="Square Grid", M418=1), M418*N418*$K$5, (INT((N418+1)/2)*M418 + INT(N418/2)*IF(($G$6-M418*H418)&gt;=0.5*H418, M418, M418-1))*$K$5))</f>
        <v/>
      </c>
      <c r="P418" s="84">
        <f>IF(L418&lt;=0, 0, INT($G$8/L418))</f>
        <v/>
      </c>
      <c r="Q418" s="95">
        <f>MIN(O418, P418)</f>
        <v/>
      </c>
      <c r="R418" s="96">
        <f>ROUND((Q418*L418)/1000, 2)</f>
        <v/>
      </c>
      <c r="S418" s="85">
        <f>IF($C$8&gt;0, R418/$C$8, 0)</f>
        <v/>
      </c>
      <c r="T418" s="85">
        <f>IF(O418&gt;0, Q418/O418, 0)</f>
        <v/>
      </c>
      <c r="U418" s="18">
        <f>IF(Q418=0, "Exceeds Limit", IF(P418&lt;=O418, "Weight Limited", "Volume Limited"))</f>
        <v/>
      </c>
      <c r="V418" s="100">
        <f>B418&amp;"|"&amp;D418&amp;"|"&amp;F418</f>
        <v/>
      </c>
    </row>
    <row r="419" ht="19" customHeight="1">
      <c r="A419" s="93" t="n">
        <v>409</v>
      </c>
      <c r="B419" s="101" t="inlineStr">
        <is>
          <t>Stainless Steel 304</t>
        </is>
      </c>
      <c r="C419" s="13" t="inlineStr">
        <is>
          <t>ASME B36.19M / B36.10M</t>
        </is>
      </c>
      <c r="D419" s="12" t="inlineStr">
        <is>
          <t>1/4''</t>
        </is>
      </c>
      <c r="E419" s="93" t="n">
        <v>8</v>
      </c>
      <c r="F419" s="12" t="inlineStr">
        <is>
          <t>XS</t>
        </is>
      </c>
      <c r="G419" s="14" t="n">
        <v>0.54</v>
      </c>
      <c r="H419" s="78" t="n">
        <v>13.72</v>
      </c>
      <c r="I419" s="14" t="n">
        <v>0.119</v>
      </c>
      <c r="J419" s="78" t="n">
        <v>3.02</v>
      </c>
      <c r="K419" s="14">
        <f>ROUND((H419-J419)*J419*IF(B419="Carbon Steel",$K$7,IF(B419="Stainless Steel 304",$K$8,$L$8)), 3)</f>
        <v/>
      </c>
      <c r="L419" s="78">
        <f>ROUND(K419*$G$5, 2)</f>
        <v/>
      </c>
      <c r="M419" s="93">
        <f>INT($G$6/H419)</f>
        <v/>
      </c>
      <c r="N419" s="93">
        <f>IF(M419=0, 0, IF(OR($K$6="Square Grid", M419=1), INT($G$7/H419), IF($G$7&lt;H419, 0, 1+INT(($G$7-H419)/(0.8660254*H419)))))</f>
        <v/>
      </c>
      <c r="O419" s="59">
        <f>IF(OR(M419=0,N419=0), 0, IF(OR($K$6="Square Grid", M419=1), M419*N419*$K$5, (INT((N419+1)/2)*M419 + INT(N419/2)*IF(($G$6-M419*H419)&gt;=0.5*H419, M419, M419-1))*$K$5))</f>
        <v/>
      </c>
      <c r="P419" s="59">
        <f>IF(L419&lt;=0, 0, INT($G$8/L419))</f>
        <v/>
      </c>
      <c r="Q419" s="95">
        <f>MIN(O419, P419)</f>
        <v/>
      </c>
      <c r="R419" s="96">
        <f>ROUND((Q419*L419)/1000, 2)</f>
        <v/>
      </c>
      <c r="S419" s="79">
        <f>IF($C$8&gt;0, R419/$C$8, 0)</f>
        <v/>
      </c>
      <c r="T419" s="79">
        <f>IF(O419&gt;0, Q419/O419, 0)</f>
        <v/>
      </c>
      <c r="U419" s="12">
        <f>IF(Q419=0, "Exceeds Limit", IF(P419&lt;=O419, "Weight Limited", "Volume Limited"))</f>
        <v/>
      </c>
      <c r="V419" s="97">
        <f>B419&amp;"|"&amp;D419&amp;"|"&amp;F419</f>
        <v/>
      </c>
    </row>
    <row r="420" ht="19" customHeight="1">
      <c r="A420" s="98" t="n">
        <v>410</v>
      </c>
      <c r="B420" s="102" t="inlineStr">
        <is>
          <t>Stainless Steel 304</t>
        </is>
      </c>
      <c r="C420" s="19" t="inlineStr">
        <is>
          <t>ASME B36.19M / B36.10M</t>
        </is>
      </c>
      <c r="D420" s="18" t="inlineStr">
        <is>
          <t>1/4''</t>
        </is>
      </c>
      <c r="E420" s="98" t="n">
        <v>8</v>
      </c>
      <c r="F420" s="18" t="inlineStr">
        <is>
          <t>80</t>
        </is>
      </c>
      <c r="G420" s="20" t="n">
        <v>0.54</v>
      </c>
      <c r="H420" s="82" t="n">
        <v>13.72</v>
      </c>
      <c r="I420" s="20" t="n">
        <v>0.119</v>
      </c>
      <c r="J420" s="82" t="n">
        <v>3.02</v>
      </c>
      <c r="K420" s="20">
        <f>ROUND((H420-J420)*J420*IF(B420="Carbon Steel",$K$7,IF(B420="Stainless Steel 304",$K$8,$L$8)), 3)</f>
        <v/>
      </c>
      <c r="L420" s="82">
        <f>ROUND(K420*$G$5, 2)</f>
        <v/>
      </c>
      <c r="M420" s="98">
        <f>INT($G$6/H420)</f>
        <v/>
      </c>
      <c r="N420" s="98">
        <f>IF(M420=0, 0, IF(OR($K$6="Square Grid", M420=1), INT($G$7/H420), IF($G$7&lt;H420, 0, 1+INT(($G$7-H420)/(0.8660254*H420)))))</f>
        <v/>
      </c>
      <c r="O420" s="84">
        <f>IF(OR(M420=0,N420=0), 0, IF(OR($K$6="Square Grid", M420=1), M420*N420*$K$5, (INT((N420+1)/2)*M420 + INT(N420/2)*IF(($G$6-M420*H420)&gt;=0.5*H420, M420, M420-1))*$K$5))</f>
        <v/>
      </c>
      <c r="P420" s="84">
        <f>IF(L420&lt;=0, 0, INT($G$8/L420))</f>
        <v/>
      </c>
      <c r="Q420" s="95">
        <f>MIN(O420, P420)</f>
        <v/>
      </c>
      <c r="R420" s="96">
        <f>ROUND((Q420*L420)/1000, 2)</f>
        <v/>
      </c>
      <c r="S420" s="85">
        <f>IF($C$8&gt;0, R420/$C$8, 0)</f>
        <v/>
      </c>
      <c r="T420" s="85">
        <f>IF(O420&gt;0, Q420/O420, 0)</f>
        <v/>
      </c>
      <c r="U420" s="18">
        <f>IF(Q420=0, "Exceeds Limit", IF(P420&lt;=O420, "Weight Limited", "Volume Limited"))</f>
        <v/>
      </c>
      <c r="V420" s="100">
        <f>B420&amp;"|"&amp;D420&amp;"|"&amp;F420</f>
        <v/>
      </c>
    </row>
    <row r="421" ht="19" customHeight="1">
      <c r="A421" s="93" t="n">
        <v>411</v>
      </c>
      <c r="B421" s="101" t="inlineStr">
        <is>
          <t>Stainless Steel 304</t>
        </is>
      </c>
      <c r="C421" s="13" t="inlineStr">
        <is>
          <t>ASME B36.19M / B36.10M</t>
        </is>
      </c>
      <c r="D421" s="12" t="inlineStr">
        <is>
          <t>3/8''</t>
        </is>
      </c>
      <c r="E421" s="93" t="n">
        <v>10</v>
      </c>
      <c r="F421" s="12" t="inlineStr">
        <is>
          <t>10S</t>
        </is>
      </c>
      <c r="G421" s="14" t="n">
        <v>0.675</v>
      </c>
      <c r="H421" s="78" t="n">
        <v>17.14</v>
      </c>
      <c r="I421" s="14" t="n">
        <v>0.065</v>
      </c>
      <c r="J421" s="78" t="n">
        <v>1.65</v>
      </c>
      <c r="K421" s="14">
        <f>ROUND((H421-J421)*J421*IF(B421="Carbon Steel",$K$7,IF(B421="Stainless Steel 304",$K$8,$L$8)), 3)</f>
        <v/>
      </c>
      <c r="L421" s="78">
        <f>ROUND(K421*$G$5, 2)</f>
        <v/>
      </c>
      <c r="M421" s="93">
        <f>INT($G$6/H421)</f>
        <v/>
      </c>
      <c r="N421" s="93">
        <f>IF(M421=0, 0, IF(OR($K$6="Square Grid", M421=1), INT($G$7/H421), IF($G$7&lt;H421, 0, 1+INT(($G$7-H421)/(0.8660254*H421)))))</f>
        <v/>
      </c>
      <c r="O421" s="59">
        <f>IF(OR(M421=0,N421=0), 0, IF(OR($K$6="Square Grid", M421=1), M421*N421*$K$5, (INT((N421+1)/2)*M421 + INT(N421/2)*IF(($G$6-M421*H421)&gt;=0.5*H421, M421, M421-1))*$K$5))</f>
        <v/>
      </c>
      <c r="P421" s="59">
        <f>IF(L421&lt;=0, 0, INT($G$8/L421))</f>
        <v/>
      </c>
      <c r="Q421" s="95">
        <f>MIN(O421, P421)</f>
        <v/>
      </c>
      <c r="R421" s="96">
        <f>ROUND((Q421*L421)/1000, 2)</f>
        <v/>
      </c>
      <c r="S421" s="79">
        <f>IF($C$8&gt;0, R421/$C$8, 0)</f>
        <v/>
      </c>
      <c r="T421" s="79">
        <f>IF(O421&gt;0, Q421/O421, 0)</f>
        <v/>
      </c>
      <c r="U421" s="12">
        <f>IF(Q421=0, "Exceeds Limit", IF(P421&lt;=O421, "Weight Limited", "Volume Limited"))</f>
        <v/>
      </c>
      <c r="V421" s="97">
        <f>B421&amp;"|"&amp;D421&amp;"|"&amp;F421</f>
        <v/>
      </c>
    </row>
    <row r="422" ht="19" customHeight="1">
      <c r="A422" s="98" t="n">
        <v>412</v>
      </c>
      <c r="B422" s="102" t="inlineStr">
        <is>
          <t>Stainless Steel 304</t>
        </is>
      </c>
      <c r="C422" s="19" t="inlineStr">
        <is>
          <t>ASME B36.19M / B36.10M</t>
        </is>
      </c>
      <c r="D422" s="18" t="inlineStr">
        <is>
          <t>3/8''</t>
        </is>
      </c>
      <c r="E422" s="98" t="n">
        <v>10</v>
      </c>
      <c r="F422" s="18" t="inlineStr">
        <is>
          <t>10</t>
        </is>
      </c>
      <c r="G422" s="20" t="n">
        <v>0.675</v>
      </c>
      <c r="H422" s="82" t="n">
        <v>17.14</v>
      </c>
      <c r="I422" s="20" t="n">
        <v>0.065</v>
      </c>
      <c r="J422" s="82" t="n">
        <v>1.65</v>
      </c>
      <c r="K422" s="20">
        <f>ROUND((H422-J422)*J422*IF(B422="Carbon Steel",$K$7,IF(B422="Stainless Steel 304",$K$8,$L$8)), 3)</f>
        <v/>
      </c>
      <c r="L422" s="82">
        <f>ROUND(K422*$G$5, 2)</f>
        <v/>
      </c>
      <c r="M422" s="98">
        <f>INT($G$6/H422)</f>
        <v/>
      </c>
      <c r="N422" s="98">
        <f>IF(M422=0, 0, IF(OR($K$6="Square Grid", M422=1), INT($G$7/H422), IF($G$7&lt;H422, 0, 1+INT(($G$7-H422)/(0.8660254*H422)))))</f>
        <v/>
      </c>
      <c r="O422" s="84">
        <f>IF(OR(M422=0,N422=0), 0, IF(OR($K$6="Square Grid", M422=1), M422*N422*$K$5, (INT((N422+1)/2)*M422 + INT(N422/2)*IF(($G$6-M422*H422)&gt;=0.5*H422, M422, M422-1))*$K$5))</f>
        <v/>
      </c>
      <c r="P422" s="84">
        <f>IF(L422&lt;=0, 0, INT($G$8/L422))</f>
        <v/>
      </c>
      <c r="Q422" s="95">
        <f>MIN(O422, P422)</f>
        <v/>
      </c>
      <c r="R422" s="96">
        <f>ROUND((Q422*L422)/1000, 2)</f>
        <v/>
      </c>
      <c r="S422" s="85">
        <f>IF($C$8&gt;0, R422/$C$8, 0)</f>
        <v/>
      </c>
      <c r="T422" s="85">
        <f>IF(O422&gt;0, Q422/O422, 0)</f>
        <v/>
      </c>
      <c r="U422" s="18">
        <f>IF(Q422=0, "Exceeds Limit", IF(P422&lt;=O422, "Weight Limited", "Volume Limited"))</f>
        <v/>
      </c>
      <c r="V422" s="100">
        <f>B422&amp;"|"&amp;D422&amp;"|"&amp;F422</f>
        <v/>
      </c>
    </row>
    <row r="423" ht="19" customHeight="1">
      <c r="A423" s="93" t="n">
        <v>413</v>
      </c>
      <c r="B423" s="101" t="inlineStr">
        <is>
          <t>Stainless Steel 304</t>
        </is>
      </c>
      <c r="C423" s="13" t="inlineStr">
        <is>
          <t>ASME B36.19M / B36.10M</t>
        </is>
      </c>
      <c r="D423" s="12" t="inlineStr">
        <is>
          <t>3/8''</t>
        </is>
      </c>
      <c r="E423" s="93" t="n">
        <v>10</v>
      </c>
      <c r="F423" s="12" t="inlineStr">
        <is>
          <t>30</t>
        </is>
      </c>
      <c r="G423" s="14" t="n">
        <v>0.675</v>
      </c>
      <c r="H423" s="78" t="n">
        <v>17.14</v>
      </c>
      <c r="I423" s="14" t="n">
        <v>0.073</v>
      </c>
      <c r="J423" s="78" t="n">
        <v>1.85</v>
      </c>
      <c r="K423" s="14">
        <f>ROUND((H423-J423)*J423*IF(B423="Carbon Steel",$K$7,IF(B423="Stainless Steel 304",$K$8,$L$8)), 3)</f>
        <v/>
      </c>
      <c r="L423" s="78">
        <f>ROUND(K423*$G$5, 2)</f>
        <v/>
      </c>
      <c r="M423" s="93">
        <f>INT($G$6/H423)</f>
        <v/>
      </c>
      <c r="N423" s="93">
        <f>IF(M423=0, 0, IF(OR($K$6="Square Grid", M423=1), INT($G$7/H423), IF($G$7&lt;H423, 0, 1+INT(($G$7-H423)/(0.8660254*H423)))))</f>
        <v/>
      </c>
      <c r="O423" s="59">
        <f>IF(OR(M423=0,N423=0), 0, IF(OR($K$6="Square Grid", M423=1), M423*N423*$K$5, (INT((N423+1)/2)*M423 + INT(N423/2)*IF(($G$6-M423*H423)&gt;=0.5*H423, M423, M423-1))*$K$5))</f>
        <v/>
      </c>
      <c r="P423" s="59">
        <f>IF(L423&lt;=0, 0, INT($G$8/L423))</f>
        <v/>
      </c>
      <c r="Q423" s="95">
        <f>MIN(O423, P423)</f>
        <v/>
      </c>
      <c r="R423" s="96">
        <f>ROUND((Q423*L423)/1000, 2)</f>
        <v/>
      </c>
      <c r="S423" s="79">
        <f>IF($C$8&gt;0, R423/$C$8, 0)</f>
        <v/>
      </c>
      <c r="T423" s="79">
        <f>IF(O423&gt;0, Q423/O423, 0)</f>
        <v/>
      </c>
      <c r="U423" s="12">
        <f>IF(Q423=0, "Exceeds Limit", IF(P423&lt;=O423, "Weight Limited", "Volume Limited"))</f>
        <v/>
      </c>
      <c r="V423" s="97">
        <f>B423&amp;"|"&amp;D423&amp;"|"&amp;F423</f>
        <v/>
      </c>
    </row>
    <row r="424" ht="19" customHeight="1">
      <c r="A424" s="98" t="n">
        <v>414</v>
      </c>
      <c r="B424" s="102" t="inlineStr">
        <is>
          <t>Stainless Steel 304</t>
        </is>
      </c>
      <c r="C424" s="19" t="inlineStr">
        <is>
          <t>ASME B36.19M / B36.10M</t>
        </is>
      </c>
      <c r="D424" s="18" t="inlineStr">
        <is>
          <t>3/8''</t>
        </is>
      </c>
      <c r="E424" s="98" t="n">
        <v>10</v>
      </c>
      <c r="F424" s="18" t="inlineStr">
        <is>
          <t>40S</t>
        </is>
      </c>
      <c r="G424" s="20" t="n">
        <v>0.675</v>
      </c>
      <c r="H424" s="82" t="n">
        <v>17.14</v>
      </c>
      <c r="I424" s="20" t="n">
        <v>0.091</v>
      </c>
      <c r="J424" s="82" t="n">
        <v>2.31</v>
      </c>
      <c r="K424" s="20">
        <f>ROUND((H424-J424)*J424*IF(B424="Carbon Steel",$K$7,IF(B424="Stainless Steel 304",$K$8,$L$8)), 3)</f>
        <v/>
      </c>
      <c r="L424" s="82">
        <f>ROUND(K424*$G$5, 2)</f>
        <v/>
      </c>
      <c r="M424" s="98">
        <f>INT($G$6/H424)</f>
        <v/>
      </c>
      <c r="N424" s="98">
        <f>IF(M424=0, 0, IF(OR($K$6="Square Grid", M424=1), INT($G$7/H424), IF($G$7&lt;H424, 0, 1+INT(($G$7-H424)/(0.8660254*H424)))))</f>
        <v/>
      </c>
      <c r="O424" s="84">
        <f>IF(OR(M424=0,N424=0), 0, IF(OR($K$6="Square Grid", M424=1), M424*N424*$K$5, (INT((N424+1)/2)*M424 + INT(N424/2)*IF(($G$6-M424*H424)&gt;=0.5*H424, M424, M424-1))*$K$5))</f>
        <v/>
      </c>
      <c r="P424" s="84">
        <f>IF(L424&lt;=0, 0, INT($G$8/L424))</f>
        <v/>
      </c>
      <c r="Q424" s="95">
        <f>MIN(O424, P424)</f>
        <v/>
      </c>
      <c r="R424" s="96">
        <f>ROUND((Q424*L424)/1000, 2)</f>
        <v/>
      </c>
      <c r="S424" s="85">
        <f>IF($C$8&gt;0, R424/$C$8, 0)</f>
        <v/>
      </c>
      <c r="T424" s="85">
        <f>IF(O424&gt;0, Q424/O424, 0)</f>
        <v/>
      </c>
      <c r="U424" s="18">
        <f>IF(Q424=0, "Exceeds Limit", IF(P424&lt;=O424, "Weight Limited", "Volume Limited"))</f>
        <v/>
      </c>
      <c r="V424" s="100">
        <f>B424&amp;"|"&amp;D424&amp;"|"&amp;F424</f>
        <v/>
      </c>
    </row>
    <row r="425" ht="19" customHeight="1">
      <c r="A425" s="93" t="n">
        <v>415</v>
      </c>
      <c r="B425" s="101" t="inlineStr">
        <is>
          <t>Stainless Steel 304</t>
        </is>
      </c>
      <c r="C425" s="13" t="inlineStr">
        <is>
          <t>ASME B36.19M / B36.10M</t>
        </is>
      </c>
      <c r="D425" s="12" t="inlineStr">
        <is>
          <t>3/8''</t>
        </is>
      </c>
      <c r="E425" s="93" t="n">
        <v>10</v>
      </c>
      <c r="F425" s="12" t="inlineStr">
        <is>
          <t>STD</t>
        </is>
      </c>
      <c r="G425" s="14" t="n">
        <v>0.675</v>
      </c>
      <c r="H425" s="78" t="n">
        <v>17.14</v>
      </c>
      <c r="I425" s="14" t="n">
        <v>0.091</v>
      </c>
      <c r="J425" s="78" t="n">
        <v>2.31</v>
      </c>
      <c r="K425" s="14">
        <f>ROUND((H425-J425)*J425*IF(B425="Carbon Steel",$K$7,IF(B425="Stainless Steel 304",$K$8,$L$8)), 3)</f>
        <v/>
      </c>
      <c r="L425" s="78">
        <f>ROUND(K425*$G$5, 2)</f>
        <v/>
      </c>
      <c r="M425" s="93">
        <f>INT($G$6/H425)</f>
        <v/>
      </c>
      <c r="N425" s="93">
        <f>IF(M425=0, 0, IF(OR($K$6="Square Grid", M425=1), INT($G$7/H425), IF($G$7&lt;H425, 0, 1+INT(($G$7-H425)/(0.8660254*H425)))))</f>
        <v/>
      </c>
      <c r="O425" s="59">
        <f>IF(OR(M425=0,N425=0), 0, IF(OR($K$6="Square Grid", M425=1), M425*N425*$K$5, (INT((N425+1)/2)*M425 + INT(N425/2)*IF(($G$6-M425*H425)&gt;=0.5*H425, M425, M425-1))*$K$5))</f>
        <v/>
      </c>
      <c r="P425" s="59">
        <f>IF(L425&lt;=0, 0, INT($G$8/L425))</f>
        <v/>
      </c>
      <c r="Q425" s="95">
        <f>MIN(O425, P425)</f>
        <v/>
      </c>
      <c r="R425" s="96">
        <f>ROUND((Q425*L425)/1000, 2)</f>
        <v/>
      </c>
      <c r="S425" s="79">
        <f>IF($C$8&gt;0, R425/$C$8, 0)</f>
        <v/>
      </c>
      <c r="T425" s="79">
        <f>IF(O425&gt;0, Q425/O425, 0)</f>
        <v/>
      </c>
      <c r="U425" s="12">
        <f>IF(Q425=0, "Exceeds Limit", IF(P425&lt;=O425, "Weight Limited", "Volume Limited"))</f>
        <v/>
      </c>
      <c r="V425" s="97">
        <f>B425&amp;"|"&amp;D425&amp;"|"&amp;F425</f>
        <v/>
      </c>
    </row>
    <row r="426" ht="19" customHeight="1">
      <c r="A426" s="98" t="n">
        <v>416</v>
      </c>
      <c r="B426" s="102" t="inlineStr">
        <is>
          <t>Stainless Steel 304</t>
        </is>
      </c>
      <c r="C426" s="19" t="inlineStr">
        <is>
          <t>ASME B36.19M / B36.10M</t>
        </is>
      </c>
      <c r="D426" s="18" t="inlineStr">
        <is>
          <t>3/8''</t>
        </is>
      </c>
      <c r="E426" s="98" t="n">
        <v>10</v>
      </c>
      <c r="F426" s="18" t="inlineStr">
        <is>
          <t>40</t>
        </is>
      </c>
      <c r="G426" s="20" t="n">
        <v>0.675</v>
      </c>
      <c r="H426" s="82" t="n">
        <v>17.14</v>
      </c>
      <c r="I426" s="20" t="n">
        <v>0.091</v>
      </c>
      <c r="J426" s="82" t="n">
        <v>2.31</v>
      </c>
      <c r="K426" s="20">
        <f>ROUND((H426-J426)*J426*IF(B426="Carbon Steel",$K$7,IF(B426="Stainless Steel 304",$K$8,$L$8)), 3)</f>
        <v/>
      </c>
      <c r="L426" s="82">
        <f>ROUND(K426*$G$5, 2)</f>
        <v/>
      </c>
      <c r="M426" s="98">
        <f>INT($G$6/H426)</f>
        <v/>
      </c>
      <c r="N426" s="98">
        <f>IF(M426=0, 0, IF(OR($K$6="Square Grid", M426=1), INT($G$7/H426), IF($G$7&lt;H426, 0, 1+INT(($G$7-H426)/(0.8660254*H426)))))</f>
        <v/>
      </c>
      <c r="O426" s="84">
        <f>IF(OR(M426=0,N426=0), 0, IF(OR($K$6="Square Grid", M426=1), M426*N426*$K$5, (INT((N426+1)/2)*M426 + INT(N426/2)*IF(($G$6-M426*H426)&gt;=0.5*H426, M426, M426-1))*$K$5))</f>
        <v/>
      </c>
      <c r="P426" s="84">
        <f>IF(L426&lt;=0, 0, INT($G$8/L426))</f>
        <v/>
      </c>
      <c r="Q426" s="95">
        <f>MIN(O426, P426)</f>
        <v/>
      </c>
      <c r="R426" s="96">
        <f>ROUND((Q426*L426)/1000, 2)</f>
        <v/>
      </c>
      <c r="S426" s="85">
        <f>IF($C$8&gt;0, R426/$C$8, 0)</f>
        <v/>
      </c>
      <c r="T426" s="85">
        <f>IF(O426&gt;0, Q426/O426, 0)</f>
        <v/>
      </c>
      <c r="U426" s="18">
        <f>IF(Q426=0, "Exceeds Limit", IF(P426&lt;=O426, "Weight Limited", "Volume Limited"))</f>
        <v/>
      </c>
      <c r="V426" s="100">
        <f>B426&amp;"|"&amp;D426&amp;"|"&amp;F426</f>
        <v/>
      </c>
    </row>
    <row r="427" ht="19" customHeight="1">
      <c r="A427" s="93" t="n">
        <v>417</v>
      </c>
      <c r="B427" s="101" t="inlineStr">
        <is>
          <t>Stainless Steel 304</t>
        </is>
      </c>
      <c r="C427" s="13" t="inlineStr">
        <is>
          <t>ASME B36.19M / B36.10M</t>
        </is>
      </c>
      <c r="D427" s="12" t="inlineStr">
        <is>
          <t>3/8''</t>
        </is>
      </c>
      <c r="E427" s="93" t="n">
        <v>10</v>
      </c>
      <c r="F427" s="12" t="inlineStr">
        <is>
          <t>80S</t>
        </is>
      </c>
      <c r="G427" s="14" t="n">
        <v>0.675</v>
      </c>
      <c r="H427" s="78" t="n">
        <v>17.14</v>
      </c>
      <c r="I427" s="14" t="n">
        <v>0.126</v>
      </c>
      <c r="J427" s="78" t="n">
        <v>3.2</v>
      </c>
      <c r="K427" s="14">
        <f>ROUND((H427-J427)*J427*IF(B427="Carbon Steel",$K$7,IF(B427="Stainless Steel 304",$K$8,$L$8)), 3)</f>
        <v/>
      </c>
      <c r="L427" s="78">
        <f>ROUND(K427*$G$5, 2)</f>
        <v/>
      </c>
      <c r="M427" s="93">
        <f>INT($G$6/H427)</f>
        <v/>
      </c>
      <c r="N427" s="93">
        <f>IF(M427=0, 0, IF(OR($K$6="Square Grid", M427=1), INT($G$7/H427), IF($G$7&lt;H427, 0, 1+INT(($G$7-H427)/(0.8660254*H427)))))</f>
        <v/>
      </c>
      <c r="O427" s="59">
        <f>IF(OR(M427=0,N427=0), 0, IF(OR($K$6="Square Grid", M427=1), M427*N427*$K$5, (INT((N427+1)/2)*M427 + INT(N427/2)*IF(($G$6-M427*H427)&gt;=0.5*H427, M427, M427-1))*$K$5))</f>
        <v/>
      </c>
      <c r="P427" s="59">
        <f>IF(L427&lt;=0, 0, INT($G$8/L427))</f>
        <v/>
      </c>
      <c r="Q427" s="95">
        <f>MIN(O427, P427)</f>
        <v/>
      </c>
      <c r="R427" s="96">
        <f>ROUND((Q427*L427)/1000, 2)</f>
        <v/>
      </c>
      <c r="S427" s="79">
        <f>IF($C$8&gt;0, R427/$C$8, 0)</f>
        <v/>
      </c>
      <c r="T427" s="79">
        <f>IF(O427&gt;0, Q427/O427, 0)</f>
        <v/>
      </c>
      <c r="U427" s="12">
        <f>IF(Q427=0, "Exceeds Limit", IF(P427&lt;=O427, "Weight Limited", "Volume Limited"))</f>
        <v/>
      </c>
      <c r="V427" s="97">
        <f>B427&amp;"|"&amp;D427&amp;"|"&amp;F427</f>
        <v/>
      </c>
    </row>
    <row r="428" ht="19" customHeight="1">
      <c r="A428" s="98" t="n">
        <v>418</v>
      </c>
      <c r="B428" s="102" t="inlineStr">
        <is>
          <t>Stainless Steel 304</t>
        </is>
      </c>
      <c r="C428" s="19" t="inlineStr">
        <is>
          <t>ASME B36.19M / B36.10M</t>
        </is>
      </c>
      <c r="D428" s="18" t="inlineStr">
        <is>
          <t>3/8''</t>
        </is>
      </c>
      <c r="E428" s="98" t="n">
        <v>10</v>
      </c>
      <c r="F428" s="18" t="inlineStr">
        <is>
          <t>XS</t>
        </is>
      </c>
      <c r="G428" s="20" t="n">
        <v>0.675</v>
      </c>
      <c r="H428" s="82" t="n">
        <v>17.14</v>
      </c>
      <c r="I428" s="20" t="n">
        <v>0.126</v>
      </c>
      <c r="J428" s="82" t="n">
        <v>3.2</v>
      </c>
      <c r="K428" s="20">
        <f>ROUND((H428-J428)*J428*IF(B428="Carbon Steel",$K$7,IF(B428="Stainless Steel 304",$K$8,$L$8)), 3)</f>
        <v/>
      </c>
      <c r="L428" s="82">
        <f>ROUND(K428*$G$5, 2)</f>
        <v/>
      </c>
      <c r="M428" s="98">
        <f>INT($G$6/H428)</f>
        <v/>
      </c>
      <c r="N428" s="98">
        <f>IF(M428=0, 0, IF(OR($K$6="Square Grid", M428=1), INT($G$7/H428), IF($G$7&lt;H428, 0, 1+INT(($G$7-H428)/(0.8660254*H428)))))</f>
        <v/>
      </c>
      <c r="O428" s="84">
        <f>IF(OR(M428=0,N428=0), 0, IF(OR($K$6="Square Grid", M428=1), M428*N428*$K$5, (INT((N428+1)/2)*M428 + INT(N428/2)*IF(($G$6-M428*H428)&gt;=0.5*H428, M428, M428-1))*$K$5))</f>
        <v/>
      </c>
      <c r="P428" s="84">
        <f>IF(L428&lt;=0, 0, INT($G$8/L428))</f>
        <v/>
      </c>
      <c r="Q428" s="95">
        <f>MIN(O428, P428)</f>
        <v/>
      </c>
      <c r="R428" s="96">
        <f>ROUND((Q428*L428)/1000, 2)</f>
        <v/>
      </c>
      <c r="S428" s="85">
        <f>IF($C$8&gt;0, R428/$C$8, 0)</f>
        <v/>
      </c>
      <c r="T428" s="85">
        <f>IF(O428&gt;0, Q428/O428, 0)</f>
        <v/>
      </c>
      <c r="U428" s="18">
        <f>IF(Q428=0, "Exceeds Limit", IF(P428&lt;=O428, "Weight Limited", "Volume Limited"))</f>
        <v/>
      </c>
      <c r="V428" s="100">
        <f>B428&amp;"|"&amp;D428&amp;"|"&amp;F428</f>
        <v/>
      </c>
    </row>
    <row r="429" ht="19" customHeight="1">
      <c r="A429" s="93" t="n">
        <v>419</v>
      </c>
      <c r="B429" s="101" t="inlineStr">
        <is>
          <t>Stainless Steel 304</t>
        </is>
      </c>
      <c r="C429" s="13" t="inlineStr">
        <is>
          <t>ASME B36.19M / B36.10M</t>
        </is>
      </c>
      <c r="D429" s="12" t="inlineStr">
        <is>
          <t>3/8''</t>
        </is>
      </c>
      <c r="E429" s="93" t="n">
        <v>10</v>
      </c>
      <c r="F429" s="12" t="inlineStr">
        <is>
          <t>80</t>
        </is>
      </c>
      <c r="G429" s="14" t="n">
        <v>0.675</v>
      </c>
      <c r="H429" s="78" t="n">
        <v>17.14</v>
      </c>
      <c r="I429" s="14" t="n">
        <v>0.126</v>
      </c>
      <c r="J429" s="78" t="n">
        <v>3.2</v>
      </c>
      <c r="K429" s="14">
        <f>ROUND((H429-J429)*J429*IF(B429="Carbon Steel",$K$7,IF(B429="Stainless Steel 304",$K$8,$L$8)), 3)</f>
        <v/>
      </c>
      <c r="L429" s="78">
        <f>ROUND(K429*$G$5, 2)</f>
        <v/>
      </c>
      <c r="M429" s="93">
        <f>INT($G$6/H429)</f>
        <v/>
      </c>
      <c r="N429" s="93">
        <f>IF(M429=0, 0, IF(OR($K$6="Square Grid", M429=1), INT($G$7/H429), IF($G$7&lt;H429, 0, 1+INT(($G$7-H429)/(0.8660254*H429)))))</f>
        <v/>
      </c>
      <c r="O429" s="59">
        <f>IF(OR(M429=0,N429=0), 0, IF(OR($K$6="Square Grid", M429=1), M429*N429*$K$5, (INT((N429+1)/2)*M429 + INT(N429/2)*IF(($G$6-M429*H429)&gt;=0.5*H429, M429, M429-1))*$K$5))</f>
        <v/>
      </c>
      <c r="P429" s="59">
        <f>IF(L429&lt;=0, 0, INT($G$8/L429))</f>
        <v/>
      </c>
      <c r="Q429" s="95">
        <f>MIN(O429, P429)</f>
        <v/>
      </c>
      <c r="R429" s="96">
        <f>ROUND((Q429*L429)/1000, 2)</f>
        <v/>
      </c>
      <c r="S429" s="79">
        <f>IF($C$8&gt;0, R429/$C$8, 0)</f>
        <v/>
      </c>
      <c r="T429" s="79">
        <f>IF(O429&gt;0, Q429/O429, 0)</f>
        <v/>
      </c>
      <c r="U429" s="12">
        <f>IF(Q429=0, "Exceeds Limit", IF(P429&lt;=O429, "Weight Limited", "Volume Limited"))</f>
        <v/>
      </c>
      <c r="V429" s="97">
        <f>B429&amp;"|"&amp;D429&amp;"|"&amp;F429</f>
        <v/>
      </c>
    </row>
    <row r="430" ht="19" customHeight="1">
      <c r="A430" s="98" t="n">
        <v>420</v>
      </c>
      <c r="B430" s="102" t="inlineStr">
        <is>
          <t>Stainless Steel 304</t>
        </is>
      </c>
      <c r="C430" s="19" t="inlineStr">
        <is>
          <t>ASME B36.19M / B36.10M</t>
        </is>
      </c>
      <c r="D430" s="18" t="inlineStr">
        <is>
          <t>1/2''</t>
        </is>
      </c>
      <c r="E430" s="98" t="n">
        <v>15</v>
      </c>
      <c r="F430" s="18" t="inlineStr">
        <is>
          <t>5S</t>
        </is>
      </c>
      <c r="G430" s="20" t="n">
        <v>0.84</v>
      </c>
      <c r="H430" s="82" t="n">
        <v>21.34</v>
      </c>
      <c r="I430" s="20" t="n">
        <v>0.065</v>
      </c>
      <c r="J430" s="82" t="n">
        <v>1.65</v>
      </c>
      <c r="K430" s="20">
        <f>ROUND((H430-J430)*J430*IF(B430="Carbon Steel",$K$7,IF(B430="Stainless Steel 304",$K$8,$L$8)), 3)</f>
        <v/>
      </c>
      <c r="L430" s="82">
        <f>ROUND(K430*$G$5, 2)</f>
        <v/>
      </c>
      <c r="M430" s="98">
        <f>INT($G$6/H430)</f>
        <v/>
      </c>
      <c r="N430" s="98">
        <f>IF(M430=0, 0, IF(OR($K$6="Square Grid", M430=1), INT($G$7/H430), IF($G$7&lt;H430, 0, 1+INT(($G$7-H430)/(0.8660254*H430)))))</f>
        <v/>
      </c>
      <c r="O430" s="84">
        <f>IF(OR(M430=0,N430=0), 0, IF(OR($K$6="Square Grid", M430=1), M430*N430*$K$5, (INT((N430+1)/2)*M430 + INT(N430/2)*IF(($G$6-M430*H430)&gt;=0.5*H430, M430, M430-1))*$K$5))</f>
        <v/>
      </c>
      <c r="P430" s="84">
        <f>IF(L430&lt;=0, 0, INT($G$8/L430))</f>
        <v/>
      </c>
      <c r="Q430" s="95">
        <f>MIN(O430, P430)</f>
        <v/>
      </c>
      <c r="R430" s="96">
        <f>ROUND((Q430*L430)/1000, 2)</f>
        <v/>
      </c>
      <c r="S430" s="85">
        <f>IF($C$8&gt;0, R430/$C$8, 0)</f>
        <v/>
      </c>
      <c r="T430" s="85">
        <f>IF(O430&gt;0, Q430/O430, 0)</f>
        <v/>
      </c>
      <c r="U430" s="18">
        <f>IF(Q430=0, "Exceeds Limit", IF(P430&lt;=O430, "Weight Limited", "Volume Limited"))</f>
        <v/>
      </c>
      <c r="V430" s="100">
        <f>B430&amp;"|"&amp;D430&amp;"|"&amp;F430</f>
        <v/>
      </c>
    </row>
    <row r="431" ht="19" customHeight="1">
      <c r="A431" s="93" t="n">
        <v>421</v>
      </c>
      <c r="B431" s="101" t="inlineStr">
        <is>
          <t>Stainless Steel 304</t>
        </is>
      </c>
      <c r="C431" s="13" t="inlineStr">
        <is>
          <t>ASME B36.19M / B36.10M</t>
        </is>
      </c>
      <c r="D431" s="12" t="inlineStr">
        <is>
          <t>1/2''</t>
        </is>
      </c>
      <c r="E431" s="93" t="n">
        <v>15</v>
      </c>
      <c r="F431" s="12" t="inlineStr">
        <is>
          <t>5</t>
        </is>
      </c>
      <c r="G431" s="14" t="n">
        <v>0.84</v>
      </c>
      <c r="H431" s="78" t="n">
        <v>21.34</v>
      </c>
      <c r="I431" s="14" t="n">
        <v>0.065</v>
      </c>
      <c r="J431" s="78" t="n">
        <v>1.65</v>
      </c>
      <c r="K431" s="14">
        <f>ROUND((H431-J431)*J431*IF(B431="Carbon Steel",$K$7,IF(B431="Stainless Steel 304",$K$8,$L$8)), 3)</f>
        <v/>
      </c>
      <c r="L431" s="78">
        <f>ROUND(K431*$G$5, 2)</f>
        <v/>
      </c>
      <c r="M431" s="93">
        <f>INT($G$6/H431)</f>
        <v/>
      </c>
      <c r="N431" s="93">
        <f>IF(M431=0, 0, IF(OR($K$6="Square Grid", M431=1), INT($G$7/H431), IF($G$7&lt;H431, 0, 1+INT(($G$7-H431)/(0.8660254*H431)))))</f>
        <v/>
      </c>
      <c r="O431" s="59">
        <f>IF(OR(M431=0,N431=0), 0, IF(OR($K$6="Square Grid", M431=1), M431*N431*$K$5, (INT((N431+1)/2)*M431 + INT(N431/2)*IF(($G$6-M431*H431)&gt;=0.5*H431, M431, M431-1))*$K$5))</f>
        <v/>
      </c>
      <c r="P431" s="59">
        <f>IF(L431&lt;=0, 0, INT($G$8/L431))</f>
        <v/>
      </c>
      <c r="Q431" s="95">
        <f>MIN(O431, P431)</f>
        <v/>
      </c>
      <c r="R431" s="96">
        <f>ROUND((Q431*L431)/1000, 2)</f>
        <v/>
      </c>
      <c r="S431" s="79">
        <f>IF($C$8&gt;0, R431/$C$8, 0)</f>
        <v/>
      </c>
      <c r="T431" s="79">
        <f>IF(O431&gt;0, Q431/O431, 0)</f>
        <v/>
      </c>
      <c r="U431" s="12">
        <f>IF(Q431=0, "Exceeds Limit", IF(P431&lt;=O431, "Weight Limited", "Volume Limited"))</f>
        <v/>
      </c>
      <c r="V431" s="97">
        <f>B431&amp;"|"&amp;D431&amp;"|"&amp;F431</f>
        <v/>
      </c>
    </row>
    <row r="432" ht="19" customHeight="1">
      <c r="A432" s="98" t="n">
        <v>422</v>
      </c>
      <c r="B432" s="102" t="inlineStr">
        <is>
          <t>Stainless Steel 304</t>
        </is>
      </c>
      <c r="C432" s="19" t="inlineStr">
        <is>
          <t>ASME B36.19M / B36.10M</t>
        </is>
      </c>
      <c r="D432" s="18" t="inlineStr">
        <is>
          <t>1/2''</t>
        </is>
      </c>
      <c r="E432" s="98" t="n">
        <v>15</v>
      </c>
      <c r="F432" s="18" t="inlineStr">
        <is>
          <t>10S</t>
        </is>
      </c>
      <c r="G432" s="20" t="n">
        <v>0.84</v>
      </c>
      <c r="H432" s="82" t="n">
        <v>21.34</v>
      </c>
      <c r="I432" s="20" t="n">
        <v>0.083</v>
      </c>
      <c r="J432" s="82" t="n">
        <v>2.11</v>
      </c>
      <c r="K432" s="20">
        <f>ROUND((H432-J432)*J432*IF(B432="Carbon Steel",$K$7,IF(B432="Stainless Steel 304",$K$8,$L$8)), 3)</f>
        <v/>
      </c>
      <c r="L432" s="82">
        <f>ROUND(K432*$G$5, 2)</f>
        <v/>
      </c>
      <c r="M432" s="98">
        <f>INT($G$6/H432)</f>
        <v/>
      </c>
      <c r="N432" s="98">
        <f>IF(M432=0, 0, IF(OR($K$6="Square Grid", M432=1), INT($G$7/H432), IF($G$7&lt;H432, 0, 1+INT(($G$7-H432)/(0.8660254*H432)))))</f>
        <v/>
      </c>
      <c r="O432" s="84">
        <f>IF(OR(M432=0,N432=0), 0, IF(OR($K$6="Square Grid", M432=1), M432*N432*$K$5, (INT((N432+1)/2)*M432 + INT(N432/2)*IF(($G$6-M432*H432)&gt;=0.5*H432, M432, M432-1))*$K$5))</f>
        <v/>
      </c>
      <c r="P432" s="84">
        <f>IF(L432&lt;=0, 0, INT($G$8/L432))</f>
        <v/>
      </c>
      <c r="Q432" s="95">
        <f>MIN(O432, P432)</f>
        <v/>
      </c>
      <c r="R432" s="96">
        <f>ROUND((Q432*L432)/1000, 2)</f>
        <v/>
      </c>
      <c r="S432" s="85">
        <f>IF($C$8&gt;0, R432/$C$8, 0)</f>
        <v/>
      </c>
      <c r="T432" s="85">
        <f>IF(O432&gt;0, Q432/O432, 0)</f>
        <v/>
      </c>
      <c r="U432" s="18">
        <f>IF(Q432=0, "Exceeds Limit", IF(P432&lt;=O432, "Weight Limited", "Volume Limited"))</f>
        <v/>
      </c>
      <c r="V432" s="100">
        <f>B432&amp;"|"&amp;D432&amp;"|"&amp;F432</f>
        <v/>
      </c>
    </row>
    <row r="433" ht="19" customHeight="1">
      <c r="A433" s="93" t="n">
        <v>423</v>
      </c>
      <c r="B433" s="101" t="inlineStr">
        <is>
          <t>Stainless Steel 304</t>
        </is>
      </c>
      <c r="C433" s="13" t="inlineStr">
        <is>
          <t>ASME B36.19M / B36.10M</t>
        </is>
      </c>
      <c r="D433" s="12" t="inlineStr">
        <is>
          <t>1/2''</t>
        </is>
      </c>
      <c r="E433" s="93" t="n">
        <v>15</v>
      </c>
      <c r="F433" s="12" t="inlineStr">
        <is>
          <t>10</t>
        </is>
      </c>
      <c r="G433" s="14" t="n">
        <v>0.84</v>
      </c>
      <c r="H433" s="78" t="n">
        <v>21.34</v>
      </c>
      <c r="I433" s="14" t="n">
        <v>0.083</v>
      </c>
      <c r="J433" s="78" t="n">
        <v>2.11</v>
      </c>
      <c r="K433" s="14">
        <f>ROUND((H433-J433)*J433*IF(B433="Carbon Steel",$K$7,IF(B433="Stainless Steel 304",$K$8,$L$8)), 3)</f>
        <v/>
      </c>
      <c r="L433" s="78">
        <f>ROUND(K433*$G$5, 2)</f>
        <v/>
      </c>
      <c r="M433" s="93">
        <f>INT($G$6/H433)</f>
        <v/>
      </c>
      <c r="N433" s="93">
        <f>IF(M433=0, 0, IF(OR($K$6="Square Grid", M433=1), INT($G$7/H433), IF($G$7&lt;H433, 0, 1+INT(($G$7-H433)/(0.8660254*H433)))))</f>
        <v/>
      </c>
      <c r="O433" s="59">
        <f>IF(OR(M433=0,N433=0), 0, IF(OR($K$6="Square Grid", M433=1), M433*N433*$K$5, (INT((N433+1)/2)*M433 + INT(N433/2)*IF(($G$6-M433*H433)&gt;=0.5*H433, M433, M433-1))*$K$5))</f>
        <v/>
      </c>
      <c r="P433" s="59">
        <f>IF(L433&lt;=0, 0, INT($G$8/L433))</f>
        <v/>
      </c>
      <c r="Q433" s="95">
        <f>MIN(O433, P433)</f>
        <v/>
      </c>
      <c r="R433" s="96">
        <f>ROUND((Q433*L433)/1000, 2)</f>
        <v/>
      </c>
      <c r="S433" s="79">
        <f>IF($C$8&gt;0, R433/$C$8, 0)</f>
        <v/>
      </c>
      <c r="T433" s="79">
        <f>IF(O433&gt;0, Q433/O433, 0)</f>
        <v/>
      </c>
      <c r="U433" s="12">
        <f>IF(Q433=0, "Exceeds Limit", IF(P433&lt;=O433, "Weight Limited", "Volume Limited"))</f>
        <v/>
      </c>
      <c r="V433" s="97">
        <f>B433&amp;"|"&amp;D433&amp;"|"&amp;F433</f>
        <v/>
      </c>
    </row>
    <row r="434" ht="19" customHeight="1">
      <c r="A434" s="98" t="n">
        <v>424</v>
      </c>
      <c r="B434" s="102" t="inlineStr">
        <is>
          <t>Stainless Steel 304</t>
        </is>
      </c>
      <c r="C434" s="19" t="inlineStr">
        <is>
          <t>ASME B36.19M / B36.10M</t>
        </is>
      </c>
      <c r="D434" s="18" t="inlineStr">
        <is>
          <t>1/2''</t>
        </is>
      </c>
      <c r="E434" s="98" t="n">
        <v>15</v>
      </c>
      <c r="F434" s="18" t="inlineStr">
        <is>
          <t>30</t>
        </is>
      </c>
      <c r="G434" s="20" t="n">
        <v>0.84</v>
      </c>
      <c r="H434" s="82" t="n">
        <v>21.34</v>
      </c>
      <c r="I434" s="20" t="n">
        <v>0.095</v>
      </c>
      <c r="J434" s="82" t="n">
        <v>2.41</v>
      </c>
      <c r="K434" s="20">
        <f>ROUND((H434-J434)*J434*IF(B434="Carbon Steel",$K$7,IF(B434="Stainless Steel 304",$K$8,$L$8)), 3)</f>
        <v/>
      </c>
      <c r="L434" s="82">
        <f>ROUND(K434*$G$5, 2)</f>
        <v/>
      </c>
      <c r="M434" s="98">
        <f>INT($G$6/H434)</f>
        <v/>
      </c>
      <c r="N434" s="98">
        <f>IF(M434=0, 0, IF(OR($K$6="Square Grid", M434=1), INT($G$7/H434), IF($G$7&lt;H434, 0, 1+INT(($G$7-H434)/(0.8660254*H434)))))</f>
        <v/>
      </c>
      <c r="O434" s="84">
        <f>IF(OR(M434=0,N434=0), 0, IF(OR($K$6="Square Grid", M434=1), M434*N434*$K$5, (INT((N434+1)/2)*M434 + INT(N434/2)*IF(($G$6-M434*H434)&gt;=0.5*H434, M434, M434-1))*$K$5))</f>
        <v/>
      </c>
      <c r="P434" s="84">
        <f>IF(L434&lt;=0, 0, INT($G$8/L434))</f>
        <v/>
      </c>
      <c r="Q434" s="95">
        <f>MIN(O434, P434)</f>
        <v/>
      </c>
      <c r="R434" s="96">
        <f>ROUND((Q434*L434)/1000, 2)</f>
        <v/>
      </c>
      <c r="S434" s="85">
        <f>IF($C$8&gt;0, R434/$C$8, 0)</f>
        <v/>
      </c>
      <c r="T434" s="85">
        <f>IF(O434&gt;0, Q434/O434, 0)</f>
        <v/>
      </c>
      <c r="U434" s="18">
        <f>IF(Q434=0, "Exceeds Limit", IF(P434&lt;=O434, "Weight Limited", "Volume Limited"))</f>
        <v/>
      </c>
      <c r="V434" s="100">
        <f>B434&amp;"|"&amp;D434&amp;"|"&amp;F434</f>
        <v/>
      </c>
    </row>
    <row r="435" ht="19" customHeight="1">
      <c r="A435" s="93" t="n">
        <v>425</v>
      </c>
      <c r="B435" s="101" t="inlineStr">
        <is>
          <t>Stainless Steel 304</t>
        </is>
      </c>
      <c r="C435" s="13" t="inlineStr">
        <is>
          <t>ASME B36.19M / B36.10M</t>
        </is>
      </c>
      <c r="D435" s="12" t="inlineStr">
        <is>
          <t>1/2''</t>
        </is>
      </c>
      <c r="E435" s="93" t="n">
        <v>15</v>
      </c>
      <c r="F435" s="12" t="inlineStr">
        <is>
          <t>40S</t>
        </is>
      </c>
      <c r="G435" s="14" t="n">
        <v>0.84</v>
      </c>
      <c r="H435" s="78" t="n">
        <v>21.34</v>
      </c>
      <c r="I435" s="14" t="n">
        <v>0.109</v>
      </c>
      <c r="J435" s="78" t="n">
        <v>2.77</v>
      </c>
      <c r="K435" s="14">
        <f>ROUND((H435-J435)*J435*IF(B435="Carbon Steel",$K$7,IF(B435="Stainless Steel 304",$K$8,$L$8)), 3)</f>
        <v/>
      </c>
      <c r="L435" s="78">
        <f>ROUND(K435*$G$5, 2)</f>
        <v/>
      </c>
      <c r="M435" s="93">
        <f>INT($G$6/H435)</f>
        <v/>
      </c>
      <c r="N435" s="93">
        <f>IF(M435=0, 0, IF(OR($K$6="Square Grid", M435=1), INT($G$7/H435), IF($G$7&lt;H435, 0, 1+INT(($G$7-H435)/(0.8660254*H435)))))</f>
        <v/>
      </c>
      <c r="O435" s="59">
        <f>IF(OR(M435=0,N435=0), 0, IF(OR($K$6="Square Grid", M435=1), M435*N435*$K$5, (INT((N435+1)/2)*M435 + INT(N435/2)*IF(($G$6-M435*H435)&gt;=0.5*H435, M435, M435-1))*$K$5))</f>
        <v/>
      </c>
      <c r="P435" s="59">
        <f>IF(L435&lt;=0, 0, INT($G$8/L435))</f>
        <v/>
      </c>
      <c r="Q435" s="95">
        <f>MIN(O435, P435)</f>
        <v/>
      </c>
      <c r="R435" s="96">
        <f>ROUND((Q435*L435)/1000, 2)</f>
        <v/>
      </c>
      <c r="S435" s="79">
        <f>IF($C$8&gt;0, R435/$C$8, 0)</f>
        <v/>
      </c>
      <c r="T435" s="79">
        <f>IF(O435&gt;0, Q435/O435, 0)</f>
        <v/>
      </c>
      <c r="U435" s="12">
        <f>IF(Q435=0, "Exceeds Limit", IF(P435&lt;=O435, "Weight Limited", "Volume Limited"))</f>
        <v/>
      </c>
      <c r="V435" s="97">
        <f>B435&amp;"|"&amp;D435&amp;"|"&amp;F435</f>
        <v/>
      </c>
    </row>
    <row r="436" ht="19" customHeight="1">
      <c r="A436" s="98" t="n">
        <v>426</v>
      </c>
      <c r="B436" s="102" t="inlineStr">
        <is>
          <t>Stainless Steel 304</t>
        </is>
      </c>
      <c r="C436" s="19" t="inlineStr">
        <is>
          <t>ASME B36.19M / B36.10M</t>
        </is>
      </c>
      <c r="D436" s="18" t="inlineStr">
        <is>
          <t>1/2''</t>
        </is>
      </c>
      <c r="E436" s="98" t="n">
        <v>15</v>
      </c>
      <c r="F436" s="18" t="inlineStr">
        <is>
          <t>STD</t>
        </is>
      </c>
      <c r="G436" s="20" t="n">
        <v>0.84</v>
      </c>
      <c r="H436" s="82" t="n">
        <v>21.34</v>
      </c>
      <c r="I436" s="20" t="n">
        <v>0.109</v>
      </c>
      <c r="J436" s="82" t="n">
        <v>2.77</v>
      </c>
      <c r="K436" s="20">
        <f>ROUND((H436-J436)*J436*IF(B436="Carbon Steel",$K$7,IF(B436="Stainless Steel 304",$K$8,$L$8)), 3)</f>
        <v/>
      </c>
      <c r="L436" s="82">
        <f>ROUND(K436*$G$5, 2)</f>
        <v/>
      </c>
      <c r="M436" s="98">
        <f>INT($G$6/H436)</f>
        <v/>
      </c>
      <c r="N436" s="98">
        <f>IF(M436=0, 0, IF(OR($K$6="Square Grid", M436=1), INT($G$7/H436), IF($G$7&lt;H436, 0, 1+INT(($G$7-H436)/(0.8660254*H436)))))</f>
        <v/>
      </c>
      <c r="O436" s="84">
        <f>IF(OR(M436=0,N436=0), 0, IF(OR($K$6="Square Grid", M436=1), M436*N436*$K$5, (INT((N436+1)/2)*M436 + INT(N436/2)*IF(($G$6-M436*H436)&gt;=0.5*H436, M436, M436-1))*$K$5))</f>
        <v/>
      </c>
      <c r="P436" s="84">
        <f>IF(L436&lt;=0, 0, INT($G$8/L436))</f>
        <v/>
      </c>
      <c r="Q436" s="95">
        <f>MIN(O436, P436)</f>
        <v/>
      </c>
      <c r="R436" s="96">
        <f>ROUND((Q436*L436)/1000, 2)</f>
        <v/>
      </c>
      <c r="S436" s="85">
        <f>IF($C$8&gt;0, R436/$C$8, 0)</f>
        <v/>
      </c>
      <c r="T436" s="85">
        <f>IF(O436&gt;0, Q436/O436, 0)</f>
        <v/>
      </c>
      <c r="U436" s="18">
        <f>IF(Q436=0, "Exceeds Limit", IF(P436&lt;=O436, "Weight Limited", "Volume Limited"))</f>
        <v/>
      </c>
      <c r="V436" s="100">
        <f>B436&amp;"|"&amp;D436&amp;"|"&amp;F436</f>
        <v/>
      </c>
    </row>
    <row r="437" ht="19" customHeight="1">
      <c r="A437" s="93" t="n">
        <v>427</v>
      </c>
      <c r="B437" s="101" t="inlineStr">
        <is>
          <t>Stainless Steel 304</t>
        </is>
      </c>
      <c r="C437" s="13" t="inlineStr">
        <is>
          <t>ASME B36.19M / B36.10M</t>
        </is>
      </c>
      <c r="D437" s="12" t="inlineStr">
        <is>
          <t>1/2''</t>
        </is>
      </c>
      <c r="E437" s="93" t="n">
        <v>15</v>
      </c>
      <c r="F437" s="12" t="inlineStr">
        <is>
          <t>40</t>
        </is>
      </c>
      <c r="G437" s="14" t="n">
        <v>0.84</v>
      </c>
      <c r="H437" s="78" t="n">
        <v>21.34</v>
      </c>
      <c r="I437" s="14" t="n">
        <v>0.109</v>
      </c>
      <c r="J437" s="78" t="n">
        <v>2.77</v>
      </c>
      <c r="K437" s="14">
        <f>ROUND((H437-J437)*J437*IF(B437="Carbon Steel",$K$7,IF(B437="Stainless Steel 304",$K$8,$L$8)), 3)</f>
        <v/>
      </c>
      <c r="L437" s="78">
        <f>ROUND(K437*$G$5, 2)</f>
        <v/>
      </c>
      <c r="M437" s="93">
        <f>INT($G$6/H437)</f>
        <v/>
      </c>
      <c r="N437" s="93">
        <f>IF(M437=0, 0, IF(OR($K$6="Square Grid", M437=1), INT($G$7/H437), IF($G$7&lt;H437, 0, 1+INT(($G$7-H437)/(0.8660254*H437)))))</f>
        <v/>
      </c>
      <c r="O437" s="59">
        <f>IF(OR(M437=0,N437=0), 0, IF(OR($K$6="Square Grid", M437=1), M437*N437*$K$5, (INT((N437+1)/2)*M437 + INT(N437/2)*IF(($G$6-M437*H437)&gt;=0.5*H437, M437, M437-1))*$K$5))</f>
        <v/>
      </c>
      <c r="P437" s="59">
        <f>IF(L437&lt;=0, 0, INT($G$8/L437))</f>
        <v/>
      </c>
      <c r="Q437" s="95">
        <f>MIN(O437, P437)</f>
        <v/>
      </c>
      <c r="R437" s="96">
        <f>ROUND((Q437*L437)/1000, 2)</f>
        <v/>
      </c>
      <c r="S437" s="79">
        <f>IF($C$8&gt;0, R437/$C$8, 0)</f>
        <v/>
      </c>
      <c r="T437" s="79">
        <f>IF(O437&gt;0, Q437/O437, 0)</f>
        <v/>
      </c>
      <c r="U437" s="12">
        <f>IF(Q437=0, "Exceeds Limit", IF(P437&lt;=O437, "Weight Limited", "Volume Limited"))</f>
        <v/>
      </c>
      <c r="V437" s="97">
        <f>B437&amp;"|"&amp;D437&amp;"|"&amp;F437</f>
        <v/>
      </c>
    </row>
    <row r="438" ht="19" customHeight="1">
      <c r="A438" s="98" t="n">
        <v>428</v>
      </c>
      <c r="B438" s="102" t="inlineStr">
        <is>
          <t>Stainless Steel 304</t>
        </is>
      </c>
      <c r="C438" s="19" t="inlineStr">
        <is>
          <t>ASME B36.19M / B36.10M</t>
        </is>
      </c>
      <c r="D438" s="18" t="inlineStr">
        <is>
          <t>1/2''</t>
        </is>
      </c>
      <c r="E438" s="98" t="n">
        <v>15</v>
      </c>
      <c r="F438" s="18" t="inlineStr">
        <is>
          <t>80S</t>
        </is>
      </c>
      <c r="G438" s="20" t="n">
        <v>0.84</v>
      </c>
      <c r="H438" s="82" t="n">
        <v>21.34</v>
      </c>
      <c r="I438" s="20" t="n">
        <v>0.147</v>
      </c>
      <c r="J438" s="82" t="n">
        <v>3.73</v>
      </c>
      <c r="K438" s="20">
        <f>ROUND((H438-J438)*J438*IF(B438="Carbon Steel",$K$7,IF(B438="Stainless Steel 304",$K$8,$L$8)), 3)</f>
        <v/>
      </c>
      <c r="L438" s="82">
        <f>ROUND(K438*$G$5, 2)</f>
        <v/>
      </c>
      <c r="M438" s="98">
        <f>INT($G$6/H438)</f>
        <v/>
      </c>
      <c r="N438" s="98">
        <f>IF(M438=0, 0, IF(OR($K$6="Square Grid", M438=1), INT($G$7/H438), IF($G$7&lt;H438, 0, 1+INT(($G$7-H438)/(0.8660254*H438)))))</f>
        <v/>
      </c>
      <c r="O438" s="84">
        <f>IF(OR(M438=0,N438=0), 0, IF(OR($K$6="Square Grid", M438=1), M438*N438*$K$5, (INT((N438+1)/2)*M438 + INT(N438/2)*IF(($G$6-M438*H438)&gt;=0.5*H438, M438, M438-1))*$K$5))</f>
        <v/>
      </c>
      <c r="P438" s="84">
        <f>IF(L438&lt;=0, 0, INT($G$8/L438))</f>
        <v/>
      </c>
      <c r="Q438" s="95">
        <f>MIN(O438, P438)</f>
        <v/>
      </c>
      <c r="R438" s="96">
        <f>ROUND((Q438*L438)/1000, 2)</f>
        <v/>
      </c>
      <c r="S438" s="85">
        <f>IF($C$8&gt;0, R438/$C$8, 0)</f>
        <v/>
      </c>
      <c r="T438" s="85">
        <f>IF(O438&gt;0, Q438/O438, 0)</f>
        <v/>
      </c>
      <c r="U438" s="18">
        <f>IF(Q438=0, "Exceeds Limit", IF(P438&lt;=O438, "Weight Limited", "Volume Limited"))</f>
        <v/>
      </c>
      <c r="V438" s="100">
        <f>B438&amp;"|"&amp;D438&amp;"|"&amp;F438</f>
        <v/>
      </c>
    </row>
    <row r="439" ht="19" customHeight="1">
      <c r="A439" s="93" t="n">
        <v>429</v>
      </c>
      <c r="B439" s="101" t="inlineStr">
        <is>
          <t>Stainless Steel 304</t>
        </is>
      </c>
      <c r="C439" s="13" t="inlineStr">
        <is>
          <t>ASME B36.19M / B36.10M</t>
        </is>
      </c>
      <c r="D439" s="12" t="inlineStr">
        <is>
          <t>1/2''</t>
        </is>
      </c>
      <c r="E439" s="93" t="n">
        <v>15</v>
      </c>
      <c r="F439" s="12" t="inlineStr">
        <is>
          <t>XS</t>
        </is>
      </c>
      <c r="G439" s="14" t="n">
        <v>0.84</v>
      </c>
      <c r="H439" s="78" t="n">
        <v>21.34</v>
      </c>
      <c r="I439" s="14" t="n">
        <v>0.147</v>
      </c>
      <c r="J439" s="78" t="n">
        <v>3.73</v>
      </c>
      <c r="K439" s="14">
        <f>ROUND((H439-J439)*J439*IF(B439="Carbon Steel",$K$7,IF(B439="Stainless Steel 304",$K$8,$L$8)), 3)</f>
        <v/>
      </c>
      <c r="L439" s="78">
        <f>ROUND(K439*$G$5, 2)</f>
        <v/>
      </c>
      <c r="M439" s="93">
        <f>INT($G$6/H439)</f>
        <v/>
      </c>
      <c r="N439" s="93">
        <f>IF(M439=0, 0, IF(OR($K$6="Square Grid", M439=1), INT($G$7/H439), IF($G$7&lt;H439, 0, 1+INT(($G$7-H439)/(0.8660254*H439)))))</f>
        <v/>
      </c>
      <c r="O439" s="59">
        <f>IF(OR(M439=0,N439=0), 0, IF(OR($K$6="Square Grid", M439=1), M439*N439*$K$5, (INT((N439+1)/2)*M439 + INT(N439/2)*IF(($G$6-M439*H439)&gt;=0.5*H439, M439, M439-1))*$K$5))</f>
        <v/>
      </c>
      <c r="P439" s="59">
        <f>IF(L439&lt;=0, 0, INT($G$8/L439))</f>
        <v/>
      </c>
      <c r="Q439" s="95">
        <f>MIN(O439, P439)</f>
        <v/>
      </c>
      <c r="R439" s="96">
        <f>ROUND((Q439*L439)/1000, 2)</f>
        <v/>
      </c>
      <c r="S439" s="79">
        <f>IF($C$8&gt;0, R439/$C$8, 0)</f>
        <v/>
      </c>
      <c r="T439" s="79">
        <f>IF(O439&gt;0, Q439/O439, 0)</f>
        <v/>
      </c>
      <c r="U439" s="12">
        <f>IF(Q439=0, "Exceeds Limit", IF(P439&lt;=O439, "Weight Limited", "Volume Limited"))</f>
        <v/>
      </c>
      <c r="V439" s="97">
        <f>B439&amp;"|"&amp;D439&amp;"|"&amp;F439</f>
        <v/>
      </c>
    </row>
    <row r="440" ht="19" customHeight="1">
      <c r="A440" s="98" t="n">
        <v>430</v>
      </c>
      <c r="B440" s="102" t="inlineStr">
        <is>
          <t>Stainless Steel 304</t>
        </is>
      </c>
      <c r="C440" s="19" t="inlineStr">
        <is>
          <t>ASME B36.19M / B36.10M</t>
        </is>
      </c>
      <c r="D440" s="18" t="inlineStr">
        <is>
          <t>1/2''</t>
        </is>
      </c>
      <c r="E440" s="98" t="n">
        <v>15</v>
      </c>
      <c r="F440" s="18" t="inlineStr">
        <is>
          <t>80</t>
        </is>
      </c>
      <c r="G440" s="20" t="n">
        <v>0.84</v>
      </c>
      <c r="H440" s="82" t="n">
        <v>21.34</v>
      </c>
      <c r="I440" s="20" t="n">
        <v>0.147</v>
      </c>
      <c r="J440" s="82" t="n">
        <v>3.73</v>
      </c>
      <c r="K440" s="20">
        <f>ROUND((H440-J440)*J440*IF(B440="Carbon Steel",$K$7,IF(B440="Stainless Steel 304",$K$8,$L$8)), 3)</f>
        <v/>
      </c>
      <c r="L440" s="82">
        <f>ROUND(K440*$G$5, 2)</f>
        <v/>
      </c>
      <c r="M440" s="98">
        <f>INT($G$6/H440)</f>
        <v/>
      </c>
      <c r="N440" s="98">
        <f>IF(M440=0, 0, IF(OR($K$6="Square Grid", M440=1), INT($G$7/H440), IF($G$7&lt;H440, 0, 1+INT(($G$7-H440)/(0.8660254*H440)))))</f>
        <v/>
      </c>
      <c r="O440" s="84">
        <f>IF(OR(M440=0,N440=0), 0, IF(OR($K$6="Square Grid", M440=1), M440*N440*$K$5, (INT((N440+1)/2)*M440 + INT(N440/2)*IF(($G$6-M440*H440)&gt;=0.5*H440, M440, M440-1))*$K$5))</f>
        <v/>
      </c>
      <c r="P440" s="84">
        <f>IF(L440&lt;=0, 0, INT($G$8/L440))</f>
        <v/>
      </c>
      <c r="Q440" s="95">
        <f>MIN(O440, P440)</f>
        <v/>
      </c>
      <c r="R440" s="96">
        <f>ROUND((Q440*L440)/1000, 2)</f>
        <v/>
      </c>
      <c r="S440" s="85">
        <f>IF($C$8&gt;0, R440/$C$8, 0)</f>
        <v/>
      </c>
      <c r="T440" s="85">
        <f>IF(O440&gt;0, Q440/O440, 0)</f>
        <v/>
      </c>
      <c r="U440" s="18">
        <f>IF(Q440=0, "Exceeds Limit", IF(P440&lt;=O440, "Weight Limited", "Volume Limited"))</f>
        <v/>
      </c>
      <c r="V440" s="100">
        <f>B440&amp;"|"&amp;D440&amp;"|"&amp;F440</f>
        <v/>
      </c>
    </row>
    <row r="441" ht="19" customHeight="1">
      <c r="A441" s="93" t="n">
        <v>431</v>
      </c>
      <c r="B441" s="101" t="inlineStr">
        <is>
          <t>Stainless Steel 304</t>
        </is>
      </c>
      <c r="C441" s="13" t="inlineStr">
        <is>
          <t>ASME B36.19M / B36.10M</t>
        </is>
      </c>
      <c r="D441" s="12" t="inlineStr">
        <is>
          <t>1/2''</t>
        </is>
      </c>
      <c r="E441" s="93" t="n">
        <v>15</v>
      </c>
      <c r="F441" s="12" t="inlineStr">
        <is>
          <t>160</t>
        </is>
      </c>
      <c r="G441" s="14" t="n">
        <v>0.84</v>
      </c>
      <c r="H441" s="78" t="n">
        <v>21.34</v>
      </c>
      <c r="I441" s="14" t="n">
        <v>0.188</v>
      </c>
      <c r="J441" s="78" t="n">
        <v>4.78</v>
      </c>
      <c r="K441" s="14">
        <f>ROUND((H441-J441)*J441*IF(B441="Carbon Steel",$K$7,IF(B441="Stainless Steel 304",$K$8,$L$8)), 3)</f>
        <v/>
      </c>
      <c r="L441" s="78">
        <f>ROUND(K441*$G$5, 2)</f>
        <v/>
      </c>
      <c r="M441" s="93">
        <f>INT($G$6/H441)</f>
        <v/>
      </c>
      <c r="N441" s="93">
        <f>IF(M441=0, 0, IF(OR($K$6="Square Grid", M441=1), INT($G$7/H441), IF($G$7&lt;H441, 0, 1+INT(($G$7-H441)/(0.8660254*H441)))))</f>
        <v/>
      </c>
      <c r="O441" s="59">
        <f>IF(OR(M441=0,N441=0), 0, IF(OR($K$6="Square Grid", M441=1), M441*N441*$K$5, (INT((N441+1)/2)*M441 + INT(N441/2)*IF(($G$6-M441*H441)&gt;=0.5*H441, M441, M441-1))*$K$5))</f>
        <v/>
      </c>
      <c r="P441" s="59">
        <f>IF(L441&lt;=0, 0, INT($G$8/L441))</f>
        <v/>
      </c>
      <c r="Q441" s="95">
        <f>MIN(O441, P441)</f>
        <v/>
      </c>
      <c r="R441" s="96">
        <f>ROUND((Q441*L441)/1000, 2)</f>
        <v/>
      </c>
      <c r="S441" s="79">
        <f>IF($C$8&gt;0, R441/$C$8, 0)</f>
        <v/>
      </c>
      <c r="T441" s="79">
        <f>IF(O441&gt;0, Q441/O441, 0)</f>
        <v/>
      </c>
      <c r="U441" s="12">
        <f>IF(Q441=0, "Exceeds Limit", IF(P441&lt;=O441, "Weight Limited", "Volume Limited"))</f>
        <v/>
      </c>
      <c r="V441" s="97">
        <f>B441&amp;"|"&amp;D441&amp;"|"&amp;F441</f>
        <v/>
      </c>
    </row>
    <row r="442" ht="19" customHeight="1">
      <c r="A442" s="98" t="n">
        <v>432</v>
      </c>
      <c r="B442" s="102" t="inlineStr">
        <is>
          <t>Stainless Steel 304</t>
        </is>
      </c>
      <c r="C442" s="19" t="inlineStr">
        <is>
          <t>ASME B36.19M / B36.10M</t>
        </is>
      </c>
      <c r="D442" s="18" t="inlineStr">
        <is>
          <t>1/2''</t>
        </is>
      </c>
      <c r="E442" s="98" t="n">
        <v>15</v>
      </c>
      <c r="F442" s="18" t="inlineStr">
        <is>
          <t>XXS</t>
        </is>
      </c>
      <c r="G442" s="20" t="n">
        <v>0.84</v>
      </c>
      <c r="H442" s="82" t="n">
        <v>21.34</v>
      </c>
      <c r="I442" s="20" t="n">
        <v>0.294</v>
      </c>
      <c r="J442" s="82" t="n">
        <v>7.47</v>
      </c>
      <c r="K442" s="20">
        <f>ROUND((H442-J442)*J442*IF(B442="Carbon Steel",$K$7,IF(B442="Stainless Steel 304",$K$8,$L$8)), 3)</f>
        <v/>
      </c>
      <c r="L442" s="82">
        <f>ROUND(K442*$G$5, 2)</f>
        <v/>
      </c>
      <c r="M442" s="98">
        <f>INT($G$6/H442)</f>
        <v/>
      </c>
      <c r="N442" s="98">
        <f>IF(M442=0, 0, IF(OR($K$6="Square Grid", M442=1), INT($G$7/H442), IF($G$7&lt;H442, 0, 1+INT(($G$7-H442)/(0.8660254*H442)))))</f>
        <v/>
      </c>
      <c r="O442" s="84">
        <f>IF(OR(M442=0,N442=0), 0, IF(OR($K$6="Square Grid", M442=1), M442*N442*$K$5, (INT((N442+1)/2)*M442 + INT(N442/2)*IF(($G$6-M442*H442)&gt;=0.5*H442, M442, M442-1))*$K$5))</f>
        <v/>
      </c>
      <c r="P442" s="84">
        <f>IF(L442&lt;=0, 0, INT($G$8/L442))</f>
        <v/>
      </c>
      <c r="Q442" s="95">
        <f>MIN(O442, P442)</f>
        <v/>
      </c>
      <c r="R442" s="96">
        <f>ROUND((Q442*L442)/1000, 2)</f>
        <v/>
      </c>
      <c r="S442" s="85">
        <f>IF($C$8&gt;0, R442/$C$8, 0)</f>
        <v/>
      </c>
      <c r="T442" s="85">
        <f>IF(O442&gt;0, Q442/O442, 0)</f>
        <v/>
      </c>
      <c r="U442" s="18">
        <f>IF(Q442=0, "Exceeds Limit", IF(P442&lt;=O442, "Weight Limited", "Volume Limited"))</f>
        <v/>
      </c>
      <c r="V442" s="100">
        <f>B442&amp;"|"&amp;D442&amp;"|"&amp;F442</f>
        <v/>
      </c>
    </row>
    <row r="443" ht="19" customHeight="1">
      <c r="A443" s="93" t="n">
        <v>433</v>
      </c>
      <c r="B443" s="101" t="inlineStr">
        <is>
          <t>Stainless Steel 304</t>
        </is>
      </c>
      <c r="C443" s="13" t="inlineStr">
        <is>
          <t>ASME B36.19M / B36.10M</t>
        </is>
      </c>
      <c r="D443" s="12" t="inlineStr">
        <is>
          <t>3/4''</t>
        </is>
      </c>
      <c r="E443" s="93" t="n">
        <v>20</v>
      </c>
      <c r="F443" s="12" t="inlineStr">
        <is>
          <t>5S</t>
        </is>
      </c>
      <c r="G443" s="14" t="n">
        <v>1.05</v>
      </c>
      <c r="H443" s="78" t="n">
        <v>26.67</v>
      </c>
      <c r="I443" s="14" t="n">
        <v>0.065</v>
      </c>
      <c r="J443" s="78" t="n">
        <v>1.65</v>
      </c>
      <c r="K443" s="14">
        <f>ROUND((H443-J443)*J443*IF(B443="Carbon Steel",$K$7,IF(B443="Stainless Steel 304",$K$8,$L$8)), 3)</f>
        <v/>
      </c>
      <c r="L443" s="78">
        <f>ROUND(K443*$G$5, 2)</f>
        <v/>
      </c>
      <c r="M443" s="93">
        <f>INT($G$6/H443)</f>
        <v/>
      </c>
      <c r="N443" s="93">
        <f>IF(M443=0, 0, IF(OR($K$6="Square Grid", M443=1), INT($G$7/H443), IF($G$7&lt;H443, 0, 1+INT(($G$7-H443)/(0.8660254*H443)))))</f>
        <v/>
      </c>
      <c r="O443" s="59">
        <f>IF(OR(M443=0,N443=0), 0, IF(OR($K$6="Square Grid", M443=1), M443*N443*$K$5, (INT((N443+1)/2)*M443 + INT(N443/2)*IF(($G$6-M443*H443)&gt;=0.5*H443, M443, M443-1))*$K$5))</f>
        <v/>
      </c>
      <c r="P443" s="59">
        <f>IF(L443&lt;=0, 0, INT($G$8/L443))</f>
        <v/>
      </c>
      <c r="Q443" s="95">
        <f>MIN(O443, P443)</f>
        <v/>
      </c>
      <c r="R443" s="96">
        <f>ROUND((Q443*L443)/1000, 2)</f>
        <v/>
      </c>
      <c r="S443" s="79">
        <f>IF($C$8&gt;0, R443/$C$8, 0)</f>
        <v/>
      </c>
      <c r="T443" s="79">
        <f>IF(O443&gt;0, Q443/O443, 0)</f>
        <v/>
      </c>
      <c r="U443" s="12">
        <f>IF(Q443=0, "Exceeds Limit", IF(P443&lt;=O443, "Weight Limited", "Volume Limited"))</f>
        <v/>
      </c>
      <c r="V443" s="97">
        <f>B443&amp;"|"&amp;D443&amp;"|"&amp;F443</f>
        <v/>
      </c>
    </row>
    <row r="444" ht="19" customHeight="1">
      <c r="A444" s="98" t="n">
        <v>434</v>
      </c>
      <c r="B444" s="102" t="inlineStr">
        <is>
          <t>Stainless Steel 304</t>
        </is>
      </c>
      <c r="C444" s="19" t="inlineStr">
        <is>
          <t>ASME B36.19M / B36.10M</t>
        </is>
      </c>
      <c r="D444" s="18" t="inlineStr">
        <is>
          <t>3/4''</t>
        </is>
      </c>
      <c r="E444" s="98" t="n">
        <v>20</v>
      </c>
      <c r="F444" s="18" t="inlineStr">
        <is>
          <t>5</t>
        </is>
      </c>
      <c r="G444" s="20" t="n">
        <v>1.05</v>
      </c>
      <c r="H444" s="82" t="n">
        <v>26.67</v>
      </c>
      <c r="I444" s="20" t="n">
        <v>0.065</v>
      </c>
      <c r="J444" s="82" t="n">
        <v>1.65</v>
      </c>
      <c r="K444" s="20">
        <f>ROUND((H444-J444)*J444*IF(B444="Carbon Steel",$K$7,IF(B444="Stainless Steel 304",$K$8,$L$8)), 3)</f>
        <v/>
      </c>
      <c r="L444" s="82">
        <f>ROUND(K444*$G$5, 2)</f>
        <v/>
      </c>
      <c r="M444" s="98">
        <f>INT($G$6/H444)</f>
        <v/>
      </c>
      <c r="N444" s="98">
        <f>IF(M444=0, 0, IF(OR($K$6="Square Grid", M444=1), INT($G$7/H444), IF($G$7&lt;H444, 0, 1+INT(($G$7-H444)/(0.8660254*H444)))))</f>
        <v/>
      </c>
      <c r="O444" s="84">
        <f>IF(OR(M444=0,N444=0), 0, IF(OR($K$6="Square Grid", M444=1), M444*N444*$K$5, (INT((N444+1)/2)*M444 + INT(N444/2)*IF(($G$6-M444*H444)&gt;=0.5*H444, M444, M444-1))*$K$5))</f>
        <v/>
      </c>
      <c r="P444" s="84">
        <f>IF(L444&lt;=0, 0, INT($G$8/L444))</f>
        <v/>
      </c>
      <c r="Q444" s="95">
        <f>MIN(O444, P444)</f>
        <v/>
      </c>
      <c r="R444" s="96">
        <f>ROUND((Q444*L444)/1000, 2)</f>
        <v/>
      </c>
      <c r="S444" s="85">
        <f>IF($C$8&gt;0, R444/$C$8, 0)</f>
        <v/>
      </c>
      <c r="T444" s="85">
        <f>IF(O444&gt;0, Q444/O444, 0)</f>
        <v/>
      </c>
      <c r="U444" s="18">
        <f>IF(Q444=0, "Exceeds Limit", IF(P444&lt;=O444, "Weight Limited", "Volume Limited"))</f>
        <v/>
      </c>
      <c r="V444" s="100">
        <f>B444&amp;"|"&amp;D444&amp;"|"&amp;F444</f>
        <v/>
      </c>
    </row>
    <row r="445" ht="19" customHeight="1">
      <c r="A445" s="93" t="n">
        <v>435</v>
      </c>
      <c r="B445" s="101" t="inlineStr">
        <is>
          <t>Stainless Steel 304</t>
        </is>
      </c>
      <c r="C445" s="13" t="inlineStr">
        <is>
          <t>ASME B36.19M / B36.10M</t>
        </is>
      </c>
      <c r="D445" s="12" t="inlineStr">
        <is>
          <t>3/4''</t>
        </is>
      </c>
      <c r="E445" s="93" t="n">
        <v>20</v>
      </c>
      <c r="F445" s="12" t="inlineStr">
        <is>
          <t>10S</t>
        </is>
      </c>
      <c r="G445" s="14" t="n">
        <v>1.05</v>
      </c>
      <c r="H445" s="78" t="n">
        <v>26.67</v>
      </c>
      <c r="I445" s="14" t="n">
        <v>0.083</v>
      </c>
      <c r="J445" s="78" t="n">
        <v>2.11</v>
      </c>
      <c r="K445" s="14">
        <f>ROUND((H445-J445)*J445*IF(B445="Carbon Steel",$K$7,IF(B445="Stainless Steel 304",$K$8,$L$8)), 3)</f>
        <v/>
      </c>
      <c r="L445" s="78">
        <f>ROUND(K445*$G$5, 2)</f>
        <v/>
      </c>
      <c r="M445" s="93">
        <f>INT($G$6/H445)</f>
        <v/>
      </c>
      <c r="N445" s="93">
        <f>IF(M445=0, 0, IF(OR($K$6="Square Grid", M445=1), INT($G$7/H445), IF($G$7&lt;H445, 0, 1+INT(($G$7-H445)/(0.8660254*H445)))))</f>
        <v/>
      </c>
      <c r="O445" s="59">
        <f>IF(OR(M445=0,N445=0), 0, IF(OR($K$6="Square Grid", M445=1), M445*N445*$K$5, (INT((N445+1)/2)*M445 + INT(N445/2)*IF(($G$6-M445*H445)&gt;=0.5*H445, M445, M445-1))*$K$5))</f>
        <v/>
      </c>
      <c r="P445" s="59">
        <f>IF(L445&lt;=0, 0, INT($G$8/L445))</f>
        <v/>
      </c>
      <c r="Q445" s="95">
        <f>MIN(O445, P445)</f>
        <v/>
      </c>
      <c r="R445" s="96">
        <f>ROUND((Q445*L445)/1000, 2)</f>
        <v/>
      </c>
      <c r="S445" s="79">
        <f>IF($C$8&gt;0, R445/$C$8, 0)</f>
        <v/>
      </c>
      <c r="T445" s="79">
        <f>IF(O445&gt;0, Q445/O445, 0)</f>
        <v/>
      </c>
      <c r="U445" s="12">
        <f>IF(Q445=0, "Exceeds Limit", IF(P445&lt;=O445, "Weight Limited", "Volume Limited"))</f>
        <v/>
      </c>
      <c r="V445" s="97">
        <f>B445&amp;"|"&amp;D445&amp;"|"&amp;F445</f>
        <v/>
      </c>
    </row>
    <row r="446" ht="19" customHeight="1">
      <c r="A446" s="98" t="n">
        <v>436</v>
      </c>
      <c r="B446" s="102" t="inlineStr">
        <is>
          <t>Stainless Steel 304</t>
        </is>
      </c>
      <c r="C446" s="19" t="inlineStr">
        <is>
          <t>ASME B36.19M / B36.10M</t>
        </is>
      </c>
      <c r="D446" s="18" t="inlineStr">
        <is>
          <t>3/4''</t>
        </is>
      </c>
      <c r="E446" s="98" t="n">
        <v>20</v>
      </c>
      <c r="F446" s="18" t="inlineStr">
        <is>
          <t>10</t>
        </is>
      </c>
      <c r="G446" s="20" t="n">
        <v>1.05</v>
      </c>
      <c r="H446" s="82" t="n">
        <v>26.67</v>
      </c>
      <c r="I446" s="20" t="n">
        <v>0.083</v>
      </c>
      <c r="J446" s="82" t="n">
        <v>2.11</v>
      </c>
      <c r="K446" s="20">
        <f>ROUND((H446-J446)*J446*IF(B446="Carbon Steel",$K$7,IF(B446="Stainless Steel 304",$K$8,$L$8)), 3)</f>
        <v/>
      </c>
      <c r="L446" s="82">
        <f>ROUND(K446*$G$5, 2)</f>
        <v/>
      </c>
      <c r="M446" s="98">
        <f>INT($G$6/H446)</f>
        <v/>
      </c>
      <c r="N446" s="98">
        <f>IF(M446=0, 0, IF(OR($K$6="Square Grid", M446=1), INT($G$7/H446), IF($G$7&lt;H446, 0, 1+INT(($G$7-H446)/(0.8660254*H446)))))</f>
        <v/>
      </c>
      <c r="O446" s="84">
        <f>IF(OR(M446=0,N446=0), 0, IF(OR($K$6="Square Grid", M446=1), M446*N446*$K$5, (INT((N446+1)/2)*M446 + INT(N446/2)*IF(($G$6-M446*H446)&gt;=0.5*H446, M446, M446-1))*$K$5))</f>
        <v/>
      </c>
      <c r="P446" s="84">
        <f>IF(L446&lt;=0, 0, INT($G$8/L446))</f>
        <v/>
      </c>
      <c r="Q446" s="95">
        <f>MIN(O446, P446)</f>
        <v/>
      </c>
      <c r="R446" s="96">
        <f>ROUND((Q446*L446)/1000, 2)</f>
        <v/>
      </c>
      <c r="S446" s="85">
        <f>IF($C$8&gt;0, R446/$C$8, 0)</f>
        <v/>
      </c>
      <c r="T446" s="85">
        <f>IF(O446&gt;0, Q446/O446, 0)</f>
        <v/>
      </c>
      <c r="U446" s="18">
        <f>IF(Q446=0, "Exceeds Limit", IF(P446&lt;=O446, "Weight Limited", "Volume Limited"))</f>
        <v/>
      </c>
      <c r="V446" s="100">
        <f>B446&amp;"|"&amp;D446&amp;"|"&amp;F446</f>
        <v/>
      </c>
    </row>
    <row r="447" ht="19" customHeight="1">
      <c r="A447" s="93" t="n">
        <v>437</v>
      </c>
      <c r="B447" s="101" t="inlineStr">
        <is>
          <t>Stainless Steel 304</t>
        </is>
      </c>
      <c r="C447" s="13" t="inlineStr">
        <is>
          <t>ASME B36.19M / B36.10M</t>
        </is>
      </c>
      <c r="D447" s="12" t="inlineStr">
        <is>
          <t>3/4''</t>
        </is>
      </c>
      <c r="E447" s="93" t="n">
        <v>20</v>
      </c>
      <c r="F447" s="12" t="inlineStr">
        <is>
          <t>30</t>
        </is>
      </c>
      <c r="G447" s="14" t="n">
        <v>1.05</v>
      </c>
      <c r="H447" s="78" t="n">
        <v>26.67</v>
      </c>
      <c r="I447" s="14" t="n">
        <v>0.095</v>
      </c>
      <c r="J447" s="78" t="n">
        <v>2.41</v>
      </c>
      <c r="K447" s="14">
        <f>ROUND((H447-J447)*J447*IF(B447="Carbon Steel",$K$7,IF(B447="Stainless Steel 304",$K$8,$L$8)), 3)</f>
        <v/>
      </c>
      <c r="L447" s="78">
        <f>ROUND(K447*$G$5, 2)</f>
        <v/>
      </c>
      <c r="M447" s="93">
        <f>INT($G$6/H447)</f>
        <v/>
      </c>
      <c r="N447" s="93">
        <f>IF(M447=0, 0, IF(OR($K$6="Square Grid", M447=1), INT($G$7/H447), IF($G$7&lt;H447, 0, 1+INT(($G$7-H447)/(0.8660254*H447)))))</f>
        <v/>
      </c>
      <c r="O447" s="59">
        <f>IF(OR(M447=0,N447=0), 0, IF(OR($K$6="Square Grid", M447=1), M447*N447*$K$5, (INT((N447+1)/2)*M447 + INT(N447/2)*IF(($G$6-M447*H447)&gt;=0.5*H447, M447, M447-1))*$K$5))</f>
        <v/>
      </c>
      <c r="P447" s="59">
        <f>IF(L447&lt;=0, 0, INT($G$8/L447))</f>
        <v/>
      </c>
      <c r="Q447" s="95">
        <f>MIN(O447, P447)</f>
        <v/>
      </c>
      <c r="R447" s="96">
        <f>ROUND((Q447*L447)/1000, 2)</f>
        <v/>
      </c>
      <c r="S447" s="79">
        <f>IF($C$8&gt;0, R447/$C$8, 0)</f>
        <v/>
      </c>
      <c r="T447" s="79">
        <f>IF(O447&gt;0, Q447/O447, 0)</f>
        <v/>
      </c>
      <c r="U447" s="12">
        <f>IF(Q447=0, "Exceeds Limit", IF(P447&lt;=O447, "Weight Limited", "Volume Limited"))</f>
        <v/>
      </c>
      <c r="V447" s="97">
        <f>B447&amp;"|"&amp;D447&amp;"|"&amp;F447</f>
        <v/>
      </c>
    </row>
    <row r="448" ht="19" customHeight="1">
      <c r="A448" s="98" t="n">
        <v>438</v>
      </c>
      <c r="B448" s="102" t="inlineStr">
        <is>
          <t>Stainless Steel 304</t>
        </is>
      </c>
      <c r="C448" s="19" t="inlineStr">
        <is>
          <t>ASME B36.19M / B36.10M</t>
        </is>
      </c>
      <c r="D448" s="18" t="inlineStr">
        <is>
          <t>3/4''</t>
        </is>
      </c>
      <c r="E448" s="98" t="n">
        <v>20</v>
      </c>
      <c r="F448" s="18" t="inlineStr">
        <is>
          <t>40S</t>
        </is>
      </c>
      <c r="G448" s="20" t="n">
        <v>1.05</v>
      </c>
      <c r="H448" s="82" t="n">
        <v>26.67</v>
      </c>
      <c r="I448" s="20" t="n">
        <v>0.113</v>
      </c>
      <c r="J448" s="82" t="n">
        <v>2.87</v>
      </c>
      <c r="K448" s="20">
        <f>ROUND((H448-J448)*J448*IF(B448="Carbon Steel",$K$7,IF(B448="Stainless Steel 304",$K$8,$L$8)), 3)</f>
        <v/>
      </c>
      <c r="L448" s="82">
        <f>ROUND(K448*$G$5, 2)</f>
        <v/>
      </c>
      <c r="M448" s="98">
        <f>INT($G$6/H448)</f>
        <v/>
      </c>
      <c r="N448" s="98">
        <f>IF(M448=0, 0, IF(OR($K$6="Square Grid", M448=1), INT($G$7/H448), IF($G$7&lt;H448, 0, 1+INT(($G$7-H448)/(0.8660254*H448)))))</f>
        <v/>
      </c>
      <c r="O448" s="84">
        <f>IF(OR(M448=0,N448=0), 0, IF(OR($K$6="Square Grid", M448=1), M448*N448*$K$5, (INT((N448+1)/2)*M448 + INT(N448/2)*IF(($G$6-M448*H448)&gt;=0.5*H448, M448, M448-1))*$K$5))</f>
        <v/>
      </c>
      <c r="P448" s="84">
        <f>IF(L448&lt;=0, 0, INT($G$8/L448))</f>
        <v/>
      </c>
      <c r="Q448" s="95">
        <f>MIN(O448, P448)</f>
        <v/>
      </c>
      <c r="R448" s="96">
        <f>ROUND((Q448*L448)/1000, 2)</f>
        <v/>
      </c>
      <c r="S448" s="85">
        <f>IF($C$8&gt;0, R448/$C$8, 0)</f>
        <v/>
      </c>
      <c r="T448" s="85">
        <f>IF(O448&gt;0, Q448/O448, 0)</f>
        <v/>
      </c>
      <c r="U448" s="18">
        <f>IF(Q448=0, "Exceeds Limit", IF(P448&lt;=O448, "Weight Limited", "Volume Limited"))</f>
        <v/>
      </c>
      <c r="V448" s="100">
        <f>B448&amp;"|"&amp;D448&amp;"|"&amp;F448</f>
        <v/>
      </c>
    </row>
    <row r="449" ht="19" customHeight="1">
      <c r="A449" s="93" t="n">
        <v>439</v>
      </c>
      <c r="B449" s="101" t="inlineStr">
        <is>
          <t>Stainless Steel 304</t>
        </is>
      </c>
      <c r="C449" s="13" t="inlineStr">
        <is>
          <t>ASME B36.19M / B36.10M</t>
        </is>
      </c>
      <c r="D449" s="12" t="inlineStr">
        <is>
          <t>3/4''</t>
        </is>
      </c>
      <c r="E449" s="93" t="n">
        <v>20</v>
      </c>
      <c r="F449" s="12" t="inlineStr">
        <is>
          <t>STD</t>
        </is>
      </c>
      <c r="G449" s="14" t="n">
        <v>1.05</v>
      </c>
      <c r="H449" s="78" t="n">
        <v>26.67</v>
      </c>
      <c r="I449" s="14" t="n">
        <v>0.113</v>
      </c>
      <c r="J449" s="78" t="n">
        <v>2.87</v>
      </c>
      <c r="K449" s="14">
        <f>ROUND((H449-J449)*J449*IF(B449="Carbon Steel",$K$7,IF(B449="Stainless Steel 304",$K$8,$L$8)), 3)</f>
        <v/>
      </c>
      <c r="L449" s="78">
        <f>ROUND(K449*$G$5, 2)</f>
        <v/>
      </c>
      <c r="M449" s="93">
        <f>INT($G$6/H449)</f>
        <v/>
      </c>
      <c r="N449" s="93">
        <f>IF(M449=0, 0, IF(OR($K$6="Square Grid", M449=1), INT($G$7/H449), IF($G$7&lt;H449, 0, 1+INT(($G$7-H449)/(0.8660254*H449)))))</f>
        <v/>
      </c>
      <c r="O449" s="59">
        <f>IF(OR(M449=0,N449=0), 0, IF(OR($K$6="Square Grid", M449=1), M449*N449*$K$5, (INT((N449+1)/2)*M449 + INT(N449/2)*IF(($G$6-M449*H449)&gt;=0.5*H449, M449, M449-1))*$K$5))</f>
        <v/>
      </c>
      <c r="P449" s="59">
        <f>IF(L449&lt;=0, 0, INT($G$8/L449))</f>
        <v/>
      </c>
      <c r="Q449" s="95">
        <f>MIN(O449, P449)</f>
        <v/>
      </c>
      <c r="R449" s="96">
        <f>ROUND((Q449*L449)/1000, 2)</f>
        <v/>
      </c>
      <c r="S449" s="79">
        <f>IF($C$8&gt;0, R449/$C$8, 0)</f>
        <v/>
      </c>
      <c r="T449" s="79">
        <f>IF(O449&gt;0, Q449/O449, 0)</f>
        <v/>
      </c>
      <c r="U449" s="12">
        <f>IF(Q449=0, "Exceeds Limit", IF(P449&lt;=O449, "Weight Limited", "Volume Limited"))</f>
        <v/>
      </c>
      <c r="V449" s="97">
        <f>B449&amp;"|"&amp;D449&amp;"|"&amp;F449</f>
        <v/>
      </c>
    </row>
    <row r="450" ht="19" customHeight="1">
      <c r="A450" s="98" t="n">
        <v>440</v>
      </c>
      <c r="B450" s="102" t="inlineStr">
        <is>
          <t>Stainless Steel 304</t>
        </is>
      </c>
      <c r="C450" s="19" t="inlineStr">
        <is>
          <t>ASME B36.19M / B36.10M</t>
        </is>
      </c>
      <c r="D450" s="18" t="inlineStr">
        <is>
          <t>3/4''</t>
        </is>
      </c>
      <c r="E450" s="98" t="n">
        <v>20</v>
      </c>
      <c r="F450" s="18" t="inlineStr">
        <is>
          <t>40</t>
        </is>
      </c>
      <c r="G450" s="20" t="n">
        <v>1.05</v>
      </c>
      <c r="H450" s="82" t="n">
        <v>26.67</v>
      </c>
      <c r="I450" s="20" t="n">
        <v>0.113</v>
      </c>
      <c r="J450" s="82" t="n">
        <v>2.87</v>
      </c>
      <c r="K450" s="20">
        <f>ROUND((H450-J450)*J450*IF(B450="Carbon Steel",$K$7,IF(B450="Stainless Steel 304",$K$8,$L$8)), 3)</f>
        <v/>
      </c>
      <c r="L450" s="82">
        <f>ROUND(K450*$G$5, 2)</f>
        <v/>
      </c>
      <c r="M450" s="98">
        <f>INT($G$6/H450)</f>
        <v/>
      </c>
      <c r="N450" s="98">
        <f>IF(M450=0, 0, IF(OR($K$6="Square Grid", M450=1), INT($G$7/H450), IF($G$7&lt;H450, 0, 1+INT(($G$7-H450)/(0.8660254*H450)))))</f>
        <v/>
      </c>
      <c r="O450" s="84">
        <f>IF(OR(M450=0,N450=0), 0, IF(OR($K$6="Square Grid", M450=1), M450*N450*$K$5, (INT((N450+1)/2)*M450 + INT(N450/2)*IF(($G$6-M450*H450)&gt;=0.5*H450, M450, M450-1))*$K$5))</f>
        <v/>
      </c>
      <c r="P450" s="84">
        <f>IF(L450&lt;=0, 0, INT($G$8/L450))</f>
        <v/>
      </c>
      <c r="Q450" s="95">
        <f>MIN(O450, P450)</f>
        <v/>
      </c>
      <c r="R450" s="96">
        <f>ROUND((Q450*L450)/1000, 2)</f>
        <v/>
      </c>
      <c r="S450" s="85">
        <f>IF($C$8&gt;0, R450/$C$8, 0)</f>
        <v/>
      </c>
      <c r="T450" s="85">
        <f>IF(O450&gt;0, Q450/O450, 0)</f>
        <v/>
      </c>
      <c r="U450" s="18">
        <f>IF(Q450=0, "Exceeds Limit", IF(P450&lt;=O450, "Weight Limited", "Volume Limited"))</f>
        <v/>
      </c>
      <c r="V450" s="100">
        <f>B450&amp;"|"&amp;D450&amp;"|"&amp;F450</f>
        <v/>
      </c>
    </row>
    <row r="451" ht="19" customHeight="1">
      <c r="A451" s="93" t="n">
        <v>441</v>
      </c>
      <c r="B451" s="101" t="inlineStr">
        <is>
          <t>Stainless Steel 304</t>
        </is>
      </c>
      <c r="C451" s="13" t="inlineStr">
        <is>
          <t>ASME B36.19M / B36.10M</t>
        </is>
      </c>
      <c r="D451" s="12" t="inlineStr">
        <is>
          <t>3/4''</t>
        </is>
      </c>
      <c r="E451" s="93" t="n">
        <v>20</v>
      </c>
      <c r="F451" s="12" t="inlineStr">
        <is>
          <t>80S</t>
        </is>
      </c>
      <c r="G451" s="14" t="n">
        <v>1.05</v>
      </c>
      <c r="H451" s="78" t="n">
        <v>26.67</v>
      </c>
      <c r="I451" s="14" t="n">
        <v>0.154</v>
      </c>
      <c r="J451" s="78" t="n">
        <v>3.91</v>
      </c>
      <c r="K451" s="14">
        <f>ROUND((H451-J451)*J451*IF(B451="Carbon Steel",$K$7,IF(B451="Stainless Steel 304",$K$8,$L$8)), 3)</f>
        <v/>
      </c>
      <c r="L451" s="78">
        <f>ROUND(K451*$G$5, 2)</f>
        <v/>
      </c>
      <c r="M451" s="93">
        <f>INT($G$6/H451)</f>
        <v/>
      </c>
      <c r="N451" s="93">
        <f>IF(M451=0, 0, IF(OR($K$6="Square Grid", M451=1), INT($G$7/H451), IF($G$7&lt;H451, 0, 1+INT(($G$7-H451)/(0.8660254*H451)))))</f>
        <v/>
      </c>
      <c r="O451" s="59">
        <f>IF(OR(M451=0,N451=0), 0, IF(OR($K$6="Square Grid", M451=1), M451*N451*$K$5, (INT((N451+1)/2)*M451 + INT(N451/2)*IF(($G$6-M451*H451)&gt;=0.5*H451, M451, M451-1))*$K$5))</f>
        <v/>
      </c>
      <c r="P451" s="59">
        <f>IF(L451&lt;=0, 0, INT($G$8/L451))</f>
        <v/>
      </c>
      <c r="Q451" s="95">
        <f>MIN(O451, P451)</f>
        <v/>
      </c>
      <c r="R451" s="96">
        <f>ROUND((Q451*L451)/1000, 2)</f>
        <v/>
      </c>
      <c r="S451" s="79">
        <f>IF($C$8&gt;0, R451/$C$8, 0)</f>
        <v/>
      </c>
      <c r="T451" s="79">
        <f>IF(O451&gt;0, Q451/O451, 0)</f>
        <v/>
      </c>
      <c r="U451" s="12">
        <f>IF(Q451=0, "Exceeds Limit", IF(P451&lt;=O451, "Weight Limited", "Volume Limited"))</f>
        <v/>
      </c>
      <c r="V451" s="97">
        <f>B451&amp;"|"&amp;D451&amp;"|"&amp;F451</f>
        <v/>
      </c>
    </row>
    <row r="452" ht="19" customHeight="1">
      <c r="A452" s="98" t="n">
        <v>442</v>
      </c>
      <c r="B452" s="102" t="inlineStr">
        <is>
          <t>Stainless Steel 304</t>
        </is>
      </c>
      <c r="C452" s="19" t="inlineStr">
        <is>
          <t>ASME B36.19M / B36.10M</t>
        </is>
      </c>
      <c r="D452" s="18" t="inlineStr">
        <is>
          <t>3/4''</t>
        </is>
      </c>
      <c r="E452" s="98" t="n">
        <v>20</v>
      </c>
      <c r="F452" s="18" t="inlineStr">
        <is>
          <t>XS</t>
        </is>
      </c>
      <c r="G452" s="20" t="n">
        <v>1.05</v>
      </c>
      <c r="H452" s="82" t="n">
        <v>26.67</v>
      </c>
      <c r="I452" s="20" t="n">
        <v>0.154</v>
      </c>
      <c r="J452" s="82" t="n">
        <v>3.91</v>
      </c>
      <c r="K452" s="20">
        <f>ROUND((H452-J452)*J452*IF(B452="Carbon Steel",$K$7,IF(B452="Stainless Steel 304",$K$8,$L$8)), 3)</f>
        <v/>
      </c>
      <c r="L452" s="82">
        <f>ROUND(K452*$G$5, 2)</f>
        <v/>
      </c>
      <c r="M452" s="98">
        <f>INT($G$6/H452)</f>
        <v/>
      </c>
      <c r="N452" s="98">
        <f>IF(M452=0, 0, IF(OR($K$6="Square Grid", M452=1), INT($G$7/H452), IF($G$7&lt;H452, 0, 1+INT(($G$7-H452)/(0.8660254*H452)))))</f>
        <v/>
      </c>
      <c r="O452" s="84">
        <f>IF(OR(M452=0,N452=0), 0, IF(OR($K$6="Square Grid", M452=1), M452*N452*$K$5, (INT((N452+1)/2)*M452 + INT(N452/2)*IF(($G$6-M452*H452)&gt;=0.5*H452, M452, M452-1))*$K$5))</f>
        <v/>
      </c>
      <c r="P452" s="84">
        <f>IF(L452&lt;=0, 0, INT($G$8/L452))</f>
        <v/>
      </c>
      <c r="Q452" s="95">
        <f>MIN(O452, P452)</f>
        <v/>
      </c>
      <c r="R452" s="96">
        <f>ROUND((Q452*L452)/1000, 2)</f>
        <v/>
      </c>
      <c r="S452" s="85">
        <f>IF($C$8&gt;0, R452/$C$8, 0)</f>
        <v/>
      </c>
      <c r="T452" s="85">
        <f>IF(O452&gt;0, Q452/O452, 0)</f>
        <v/>
      </c>
      <c r="U452" s="18">
        <f>IF(Q452=0, "Exceeds Limit", IF(P452&lt;=O452, "Weight Limited", "Volume Limited"))</f>
        <v/>
      </c>
      <c r="V452" s="100">
        <f>B452&amp;"|"&amp;D452&amp;"|"&amp;F452</f>
        <v/>
      </c>
    </row>
    <row r="453" ht="19" customHeight="1">
      <c r="A453" s="93" t="n">
        <v>443</v>
      </c>
      <c r="B453" s="101" t="inlineStr">
        <is>
          <t>Stainless Steel 304</t>
        </is>
      </c>
      <c r="C453" s="13" t="inlineStr">
        <is>
          <t>ASME B36.19M / B36.10M</t>
        </is>
      </c>
      <c r="D453" s="12" t="inlineStr">
        <is>
          <t>3/4''</t>
        </is>
      </c>
      <c r="E453" s="93" t="n">
        <v>20</v>
      </c>
      <c r="F453" s="12" t="inlineStr">
        <is>
          <t>80</t>
        </is>
      </c>
      <c r="G453" s="14" t="n">
        <v>1.05</v>
      </c>
      <c r="H453" s="78" t="n">
        <v>26.67</v>
      </c>
      <c r="I453" s="14" t="n">
        <v>0.154</v>
      </c>
      <c r="J453" s="78" t="n">
        <v>3.91</v>
      </c>
      <c r="K453" s="14">
        <f>ROUND((H453-J453)*J453*IF(B453="Carbon Steel",$K$7,IF(B453="Stainless Steel 304",$K$8,$L$8)), 3)</f>
        <v/>
      </c>
      <c r="L453" s="78">
        <f>ROUND(K453*$G$5, 2)</f>
        <v/>
      </c>
      <c r="M453" s="93">
        <f>INT($G$6/H453)</f>
        <v/>
      </c>
      <c r="N453" s="93">
        <f>IF(M453=0, 0, IF(OR($K$6="Square Grid", M453=1), INT($G$7/H453), IF($G$7&lt;H453, 0, 1+INT(($G$7-H453)/(0.8660254*H453)))))</f>
        <v/>
      </c>
      <c r="O453" s="59">
        <f>IF(OR(M453=0,N453=0), 0, IF(OR($K$6="Square Grid", M453=1), M453*N453*$K$5, (INT((N453+1)/2)*M453 + INT(N453/2)*IF(($G$6-M453*H453)&gt;=0.5*H453, M453, M453-1))*$K$5))</f>
        <v/>
      </c>
      <c r="P453" s="59">
        <f>IF(L453&lt;=0, 0, INT($G$8/L453))</f>
        <v/>
      </c>
      <c r="Q453" s="95">
        <f>MIN(O453, P453)</f>
        <v/>
      </c>
      <c r="R453" s="96">
        <f>ROUND((Q453*L453)/1000, 2)</f>
        <v/>
      </c>
      <c r="S453" s="79">
        <f>IF($C$8&gt;0, R453/$C$8, 0)</f>
        <v/>
      </c>
      <c r="T453" s="79">
        <f>IF(O453&gt;0, Q453/O453, 0)</f>
        <v/>
      </c>
      <c r="U453" s="12">
        <f>IF(Q453=0, "Exceeds Limit", IF(P453&lt;=O453, "Weight Limited", "Volume Limited"))</f>
        <v/>
      </c>
      <c r="V453" s="97">
        <f>B453&amp;"|"&amp;D453&amp;"|"&amp;F453</f>
        <v/>
      </c>
    </row>
    <row r="454" ht="19" customHeight="1">
      <c r="A454" s="98" t="n">
        <v>444</v>
      </c>
      <c r="B454" s="102" t="inlineStr">
        <is>
          <t>Stainless Steel 304</t>
        </is>
      </c>
      <c r="C454" s="19" t="inlineStr">
        <is>
          <t>ASME B36.19M / B36.10M</t>
        </is>
      </c>
      <c r="D454" s="18" t="inlineStr">
        <is>
          <t>3/4''</t>
        </is>
      </c>
      <c r="E454" s="98" t="n">
        <v>20</v>
      </c>
      <c r="F454" s="18" t="inlineStr">
        <is>
          <t>160</t>
        </is>
      </c>
      <c r="G454" s="20" t="n">
        <v>1.05</v>
      </c>
      <c r="H454" s="82" t="n">
        <v>26.67</v>
      </c>
      <c r="I454" s="20" t="n">
        <v>0.219</v>
      </c>
      <c r="J454" s="82" t="n">
        <v>5.56</v>
      </c>
      <c r="K454" s="20">
        <f>ROUND((H454-J454)*J454*IF(B454="Carbon Steel",$K$7,IF(B454="Stainless Steel 304",$K$8,$L$8)), 3)</f>
        <v/>
      </c>
      <c r="L454" s="82">
        <f>ROUND(K454*$G$5, 2)</f>
        <v/>
      </c>
      <c r="M454" s="98">
        <f>INT($G$6/H454)</f>
        <v/>
      </c>
      <c r="N454" s="98">
        <f>IF(M454=0, 0, IF(OR($K$6="Square Grid", M454=1), INT($G$7/H454), IF($G$7&lt;H454, 0, 1+INT(($G$7-H454)/(0.8660254*H454)))))</f>
        <v/>
      </c>
      <c r="O454" s="84">
        <f>IF(OR(M454=0,N454=0), 0, IF(OR($K$6="Square Grid", M454=1), M454*N454*$K$5, (INT((N454+1)/2)*M454 + INT(N454/2)*IF(($G$6-M454*H454)&gt;=0.5*H454, M454, M454-1))*$K$5))</f>
        <v/>
      </c>
      <c r="P454" s="84">
        <f>IF(L454&lt;=0, 0, INT($G$8/L454))</f>
        <v/>
      </c>
      <c r="Q454" s="95">
        <f>MIN(O454, P454)</f>
        <v/>
      </c>
      <c r="R454" s="96">
        <f>ROUND((Q454*L454)/1000, 2)</f>
        <v/>
      </c>
      <c r="S454" s="85">
        <f>IF($C$8&gt;0, R454/$C$8, 0)</f>
        <v/>
      </c>
      <c r="T454" s="85">
        <f>IF(O454&gt;0, Q454/O454, 0)</f>
        <v/>
      </c>
      <c r="U454" s="18">
        <f>IF(Q454=0, "Exceeds Limit", IF(P454&lt;=O454, "Weight Limited", "Volume Limited"))</f>
        <v/>
      </c>
      <c r="V454" s="100">
        <f>B454&amp;"|"&amp;D454&amp;"|"&amp;F454</f>
        <v/>
      </c>
    </row>
    <row r="455" ht="19" customHeight="1">
      <c r="A455" s="93" t="n">
        <v>445</v>
      </c>
      <c r="B455" s="101" t="inlineStr">
        <is>
          <t>Stainless Steel 304</t>
        </is>
      </c>
      <c r="C455" s="13" t="inlineStr">
        <is>
          <t>ASME B36.19M / B36.10M</t>
        </is>
      </c>
      <c r="D455" s="12" t="inlineStr">
        <is>
          <t>3/4''</t>
        </is>
      </c>
      <c r="E455" s="93" t="n">
        <v>20</v>
      </c>
      <c r="F455" s="12" t="inlineStr">
        <is>
          <t>XXS</t>
        </is>
      </c>
      <c r="G455" s="14" t="n">
        <v>1.05</v>
      </c>
      <c r="H455" s="78" t="n">
        <v>26.67</v>
      </c>
      <c r="I455" s="14" t="n">
        <v>0.308</v>
      </c>
      <c r="J455" s="78" t="n">
        <v>7.82</v>
      </c>
      <c r="K455" s="14">
        <f>ROUND((H455-J455)*J455*IF(B455="Carbon Steel",$K$7,IF(B455="Stainless Steel 304",$K$8,$L$8)), 3)</f>
        <v/>
      </c>
      <c r="L455" s="78">
        <f>ROUND(K455*$G$5, 2)</f>
        <v/>
      </c>
      <c r="M455" s="93">
        <f>INT($G$6/H455)</f>
        <v/>
      </c>
      <c r="N455" s="93">
        <f>IF(M455=0, 0, IF(OR($K$6="Square Grid", M455=1), INT($G$7/H455), IF($G$7&lt;H455, 0, 1+INT(($G$7-H455)/(0.8660254*H455)))))</f>
        <v/>
      </c>
      <c r="O455" s="59">
        <f>IF(OR(M455=0,N455=0), 0, IF(OR($K$6="Square Grid", M455=1), M455*N455*$K$5, (INT((N455+1)/2)*M455 + INT(N455/2)*IF(($G$6-M455*H455)&gt;=0.5*H455, M455, M455-1))*$K$5))</f>
        <v/>
      </c>
      <c r="P455" s="59">
        <f>IF(L455&lt;=0, 0, INT($G$8/L455))</f>
        <v/>
      </c>
      <c r="Q455" s="95">
        <f>MIN(O455, P455)</f>
        <v/>
      </c>
      <c r="R455" s="96">
        <f>ROUND((Q455*L455)/1000, 2)</f>
        <v/>
      </c>
      <c r="S455" s="79">
        <f>IF($C$8&gt;0, R455/$C$8, 0)</f>
        <v/>
      </c>
      <c r="T455" s="79">
        <f>IF(O455&gt;0, Q455/O455, 0)</f>
        <v/>
      </c>
      <c r="U455" s="12">
        <f>IF(Q455=0, "Exceeds Limit", IF(P455&lt;=O455, "Weight Limited", "Volume Limited"))</f>
        <v/>
      </c>
      <c r="V455" s="97">
        <f>B455&amp;"|"&amp;D455&amp;"|"&amp;F455</f>
        <v/>
      </c>
    </row>
    <row r="456" ht="19" customHeight="1">
      <c r="A456" s="98" t="n">
        <v>446</v>
      </c>
      <c r="B456" s="102" t="inlineStr">
        <is>
          <t>Stainless Steel 304</t>
        </is>
      </c>
      <c r="C456" s="19" t="inlineStr">
        <is>
          <t>ASME B36.19M / B36.10M</t>
        </is>
      </c>
      <c r="D456" s="18" t="inlineStr">
        <is>
          <t>1''</t>
        </is>
      </c>
      <c r="E456" s="98" t="n">
        <v>25</v>
      </c>
      <c r="F456" s="18" t="inlineStr">
        <is>
          <t>5S</t>
        </is>
      </c>
      <c r="G456" s="20" t="n">
        <v>1.315</v>
      </c>
      <c r="H456" s="82" t="n">
        <v>33.4</v>
      </c>
      <c r="I456" s="20" t="n">
        <v>0.065</v>
      </c>
      <c r="J456" s="82" t="n">
        <v>1.65</v>
      </c>
      <c r="K456" s="20">
        <f>ROUND((H456-J456)*J456*IF(B456="Carbon Steel",$K$7,IF(B456="Stainless Steel 304",$K$8,$L$8)), 3)</f>
        <v/>
      </c>
      <c r="L456" s="82">
        <f>ROUND(K456*$G$5, 2)</f>
        <v/>
      </c>
      <c r="M456" s="98">
        <f>INT($G$6/H456)</f>
        <v/>
      </c>
      <c r="N456" s="98">
        <f>IF(M456=0, 0, IF(OR($K$6="Square Grid", M456=1), INT($G$7/H456), IF($G$7&lt;H456, 0, 1+INT(($G$7-H456)/(0.8660254*H456)))))</f>
        <v/>
      </c>
      <c r="O456" s="84">
        <f>IF(OR(M456=0,N456=0), 0, IF(OR($K$6="Square Grid", M456=1), M456*N456*$K$5, (INT((N456+1)/2)*M456 + INT(N456/2)*IF(($G$6-M456*H456)&gt;=0.5*H456, M456, M456-1))*$K$5))</f>
        <v/>
      </c>
      <c r="P456" s="84">
        <f>IF(L456&lt;=0, 0, INT($G$8/L456))</f>
        <v/>
      </c>
      <c r="Q456" s="95">
        <f>MIN(O456, P456)</f>
        <v/>
      </c>
      <c r="R456" s="96">
        <f>ROUND((Q456*L456)/1000, 2)</f>
        <v/>
      </c>
      <c r="S456" s="85">
        <f>IF($C$8&gt;0, R456/$C$8, 0)</f>
        <v/>
      </c>
      <c r="T456" s="85">
        <f>IF(O456&gt;0, Q456/O456, 0)</f>
        <v/>
      </c>
      <c r="U456" s="18">
        <f>IF(Q456=0, "Exceeds Limit", IF(P456&lt;=O456, "Weight Limited", "Volume Limited"))</f>
        <v/>
      </c>
      <c r="V456" s="100">
        <f>B456&amp;"|"&amp;D456&amp;"|"&amp;F456</f>
        <v/>
      </c>
    </row>
    <row r="457" ht="19" customHeight="1">
      <c r="A457" s="93" t="n">
        <v>447</v>
      </c>
      <c r="B457" s="101" t="inlineStr">
        <is>
          <t>Stainless Steel 304</t>
        </is>
      </c>
      <c r="C457" s="13" t="inlineStr">
        <is>
          <t>ASME B36.19M / B36.10M</t>
        </is>
      </c>
      <c r="D457" s="12" t="inlineStr">
        <is>
          <t>1''</t>
        </is>
      </c>
      <c r="E457" s="93" t="n">
        <v>25</v>
      </c>
      <c r="F457" s="12" t="inlineStr">
        <is>
          <t>5</t>
        </is>
      </c>
      <c r="G457" s="14" t="n">
        <v>1.315</v>
      </c>
      <c r="H457" s="78" t="n">
        <v>33.4</v>
      </c>
      <c r="I457" s="14" t="n">
        <v>0.065</v>
      </c>
      <c r="J457" s="78" t="n">
        <v>1.65</v>
      </c>
      <c r="K457" s="14">
        <f>ROUND((H457-J457)*J457*IF(B457="Carbon Steel",$K$7,IF(B457="Stainless Steel 304",$K$8,$L$8)), 3)</f>
        <v/>
      </c>
      <c r="L457" s="78">
        <f>ROUND(K457*$G$5, 2)</f>
        <v/>
      </c>
      <c r="M457" s="93">
        <f>INT($G$6/H457)</f>
        <v/>
      </c>
      <c r="N457" s="93">
        <f>IF(M457=0, 0, IF(OR($K$6="Square Grid", M457=1), INT($G$7/H457), IF($G$7&lt;H457, 0, 1+INT(($G$7-H457)/(0.8660254*H457)))))</f>
        <v/>
      </c>
      <c r="O457" s="59">
        <f>IF(OR(M457=0,N457=0), 0, IF(OR($K$6="Square Grid", M457=1), M457*N457*$K$5, (INT((N457+1)/2)*M457 + INT(N457/2)*IF(($G$6-M457*H457)&gt;=0.5*H457, M457, M457-1))*$K$5))</f>
        <v/>
      </c>
      <c r="P457" s="59">
        <f>IF(L457&lt;=0, 0, INT($G$8/L457))</f>
        <v/>
      </c>
      <c r="Q457" s="95">
        <f>MIN(O457, P457)</f>
        <v/>
      </c>
      <c r="R457" s="96">
        <f>ROUND((Q457*L457)/1000, 2)</f>
        <v/>
      </c>
      <c r="S457" s="79">
        <f>IF($C$8&gt;0, R457/$C$8, 0)</f>
        <v/>
      </c>
      <c r="T457" s="79">
        <f>IF(O457&gt;0, Q457/O457, 0)</f>
        <v/>
      </c>
      <c r="U457" s="12">
        <f>IF(Q457=0, "Exceeds Limit", IF(P457&lt;=O457, "Weight Limited", "Volume Limited"))</f>
        <v/>
      </c>
      <c r="V457" s="97">
        <f>B457&amp;"|"&amp;D457&amp;"|"&amp;F457</f>
        <v/>
      </c>
    </row>
    <row r="458" ht="19" customHeight="1">
      <c r="A458" s="98" t="n">
        <v>448</v>
      </c>
      <c r="B458" s="102" t="inlineStr">
        <is>
          <t>Stainless Steel 304</t>
        </is>
      </c>
      <c r="C458" s="19" t="inlineStr">
        <is>
          <t>ASME B36.19M / B36.10M</t>
        </is>
      </c>
      <c r="D458" s="18" t="inlineStr">
        <is>
          <t>1''</t>
        </is>
      </c>
      <c r="E458" s="98" t="n">
        <v>25</v>
      </c>
      <c r="F458" s="18" t="inlineStr">
        <is>
          <t>10S</t>
        </is>
      </c>
      <c r="G458" s="20" t="n">
        <v>1.315</v>
      </c>
      <c r="H458" s="82" t="n">
        <v>33.4</v>
      </c>
      <c r="I458" s="20" t="n">
        <v>0.109</v>
      </c>
      <c r="J458" s="82" t="n">
        <v>2.77</v>
      </c>
      <c r="K458" s="20">
        <f>ROUND((H458-J458)*J458*IF(B458="Carbon Steel",$K$7,IF(B458="Stainless Steel 304",$K$8,$L$8)), 3)</f>
        <v/>
      </c>
      <c r="L458" s="82">
        <f>ROUND(K458*$G$5, 2)</f>
        <v/>
      </c>
      <c r="M458" s="98">
        <f>INT($G$6/H458)</f>
        <v/>
      </c>
      <c r="N458" s="98">
        <f>IF(M458=0, 0, IF(OR($K$6="Square Grid", M458=1), INT($G$7/H458), IF($G$7&lt;H458, 0, 1+INT(($G$7-H458)/(0.8660254*H458)))))</f>
        <v/>
      </c>
      <c r="O458" s="84">
        <f>IF(OR(M458=0,N458=0), 0, IF(OR($K$6="Square Grid", M458=1), M458*N458*$K$5, (INT((N458+1)/2)*M458 + INT(N458/2)*IF(($G$6-M458*H458)&gt;=0.5*H458, M458, M458-1))*$K$5))</f>
        <v/>
      </c>
      <c r="P458" s="84">
        <f>IF(L458&lt;=0, 0, INT($G$8/L458))</f>
        <v/>
      </c>
      <c r="Q458" s="95">
        <f>MIN(O458, P458)</f>
        <v/>
      </c>
      <c r="R458" s="96">
        <f>ROUND((Q458*L458)/1000, 2)</f>
        <v/>
      </c>
      <c r="S458" s="85">
        <f>IF($C$8&gt;0, R458/$C$8, 0)</f>
        <v/>
      </c>
      <c r="T458" s="85">
        <f>IF(O458&gt;0, Q458/O458, 0)</f>
        <v/>
      </c>
      <c r="U458" s="18">
        <f>IF(Q458=0, "Exceeds Limit", IF(P458&lt;=O458, "Weight Limited", "Volume Limited"))</f>
        <v/>
      </c>
      <c r="V458" s="100">
        <f>B458&amp;"|"&amp;D458&amp;"|"&amp;F458</f>
        <v/>
      </c>
    </row>
    <row r="459" ht="19" customHeight="1">
      <c r="A459" s="93" t="n">
        <v>449</v>
      </c>
      <c r="B459" s="101" t="inlineStr">
        <is>
          <t>Stainless Steel 304</t>
        </is>
      </c>
      <c r="C459" s="13" t="inlineStr">
        <is>
          <t>ASME B36.19M / B36.10M</t>
        </is>
      </c>
      <c r="D459" s="12" t="inlineStr">
        <is>
          <t>1''</t>
        </is>
      </c>
      <c r="E459" s="93" t="n">
        <v>25</v>
      </c>
      <c r="F459" s="12" t="inlineStr">
        <is>
          <t>10</t>
        </is>
      </c>
      <c r="G459" s="14" t="n">
        <v>1.315</v>
      </c>
      <c r="H459" s="78" t="n">
        <v>33.4</v>
      </c>
      <c r="I459" s="14" t="n">
        <v>0.109</v>
      </c>
      <c r="J459" s="78" t="n">
        <v>2.77</v>
      </c>
      <c r="K459" s="14">
        <f>ROUND((H459-J459)*J459*IF(B459="Carbon Steel",$K$7,IF(B459="Stainless Steel 304",$K$8,$L$8)), 3)</f>
        <v/>
      </c>
      <c r="L459" s="78">
        <f>ROUND(K459*$G$5, 2)</f>
        <v/>
      </c>
      <c r="M459" s="93">
        <f>INT($G$6/H459)</f>
        <v/>
      </c>
      <c r="N459" s="93">
        <f>IF(M459=0, 0, IF(OR($K$6="Square Grid", M459=1), INT($G$7/H459), IF($G$7&lt;H459, 0, 1+INT(($G$7-H459)/(0.8660254*H459)))))</f>
        <v/>
      </c>
      <c r="O459" s="59">
        <f>IF(OR(M459=0,N459=0), 0, IF(OR($K$6="Square Grid", M459=1), M459*N459*$K$5, (INT((N459+1)/2)*M459 + INT(N459/2)*IF(($G$6-M459*H459)&gt;=0.5*H459, M459, M459-1))*$K$5))</f>
        <v/>
      </c>
      <c r="P459" s="59">
        <f>IF(L459&lt;=0, 0, INT($G$8/L459))</f>
        <v/>
      </c>
      <c r="Q459" s="95">
        <f>MIN(O459, P459)</f>
        <v/>
      </c>
      <c r="R459" s="96">
        <f>ROUND((Q459*L459)/1000, 2)</f>
        <v/>
      </c>
      <c r="S459" s="79">
        <f>IF($C$8&gt;0, R459/$C$8, 0)</f>
        <v/>
      </c>
      <c r="T459" s="79">
        <f>IF(O459&gt;0, Q459/O459, 0)</f>
        <v/>
      </c>
      <c r="U459" s="12">
        <f>IF(Q459=0, "Exceeds Limit", IF(P459&lt;=O459, "Weight Limited", "Volume Limited"))</f>
        <v/>
      </c>
      <c r="V459" s="97">
        <f>B459&amp;"|"&amp;D459&amp;"|"&amp;F459</f>
        <v/>
      </c>
    </row>
    <row r="460" ht="19" customHeight="1">
      <c r="A460" s="98" t="n">
        <v>450</v>
      </c>
      <c r="B460" s="102" t="inlineStr">
        <is>
          <t>Stainless Steel 304</t>
        </is>
      </c>
      <c r="C460" s="19" t="inlineStr">
        <is>
          <t>ASME B36.19M / B36.10M</t>
        </is>
      </c>
      <c r="D460" s="18" t="inlineStr">
        <is>
          <t>1''</t>
        </is>
      </c>
      <c r="E460" s="98" t="n">
        <v>25</v>
      </c>
      <c r="F460" s="18" t="inlineStr">
        <is>
          <t>30</t>
        </is>
      </c>
      <c r="G460" s="20" t="n">
        <v>1.315</v>
      </c>
      <c r="H460" s="82" t="n">
        <v>33.4</v>
      </c>
      <c r="I460" s="20" t="n">
        <v>0.114</v>
      </c>
      <c r="J460" s="82" t="n">
        <v>2.9</v>
      </c>
      <c r="K460" s="20">
        <f>ROUND((H460-J460)*J460*IF(B460="Carbon Steel",$K$7,IF(B460="Stainless Steel 304",$K$8,$L$8)), 3)</f>
        <v/>
      </c>
      <c r="L460" s="82">
        <f>ROUND(K460*$G$5, 2)</f>
        <v/>
      </c>
      <c r="M460" s="98">
        <f>INT($G$6/H460)</f>
        <v/>
      </c>
      <c r="N460" s="98">
        <f>IF(M460=0, 0, IF(OR($K$6="Square Grid", M460=1), INT($G$7/H460), IF($G$7&lt;H460, 0, 1+INT(($G$7-H460)/(0.8660254*H460)))))</f>
        <v/>
      </c>
      <c r="O460" s="84">
        <f>IF(OR(M460=0,N460=0), 0, IF(OR($K$6="Square Grid", M460=1), M460*N460*$K$5, (INT((N460+1)/2)*M460 + INT(N460/2)*IF(($G$6-M460*H460)&gt;=0.5*H460, M460, M460-1))*$K$5))</f>
        <v/>
      </c>
      <c r="P460" s="84">
        <f>IF(L460&lt;=0, 0, INT($G$8/L460))</f>
        <v/>
      </c>
      <c r="Q460" s="95">
        <f>MIN(O460, P460)</f>
        <v/>
      </c>
      <c r="R460" s="96">
        <f>ROUND((Q460*L460)/1000, 2)</f>
        <v/>
      </c>
      <c r="S460" s="85">
        <f>IF($C$8&gt;0, R460/$C$8, 0)</f>
        <v/>
      </c>
      <c r="T460" s="85">
        <f>IF(O460&gt;0, Q460/O460, 0)</f>
        <v/>
      </c>
      <c r="U460" s="18">
        <f>IF(Q460=0, "Exceeds Limit", IF(P460&lt;=O460, "Weight Limited", "Volume Limited"))</f>
        <v/>
      </c>
      <c r="V460" s="100">
        <f>B460&amp;"|"&amp;D460&amp;"|"&amp;F460</f>
        <v/>
      </c>
    </row>
    <row r="461" ht="19" customHeight="1">
      <c r="A461" s="93" t="n">
        <v>451</v>
      </c>
      <c r="B461" s="101" t="inlineStr">
        <is>
          <t>Stainless Steel 304</t>
        </is>
      </c>
      <c r="C461" s="13" t="inlineStr">
        <is>
          <t>ASME B36.19M / B36.10M</t>
        </is>
      </c>
      <c r="D461" s="12" t="inlineStr">
        <is>
          <t>1''</t>
        </is>
      </c>
      <c r="E461" s="93" t="n">
        <v>25</v>
      </c>
      <c r="F461" s="12" t="inlineStr">
        <is>
          <t>40S</t>
        </is>
      </c>
      <c r="G461" s="14" t="n">
        <v>1.315</v>
      </c>
      <c r="H461" s="78" t="n">
        <v>33.4</v>
      </c>
      <c r="I461" s="14" t="n">
        <v>0.133</v>
      </c>
      <c r="J461" s="78" t="n">
        <v>3.38</v>
      </c>
      <c r="K461" s="14">
        <f>ROUND((H461-J461)*J461*IF(B461="Carbon Steel",$K$7,IF(B461="Stainless Steel 304",$K$8,$L$8)), 3)</f>
        <v/>
      </c>
      <c r="L461" s="78">
        <f>ROUND(K461*$G$5, 2)</f>
        <v/>
      </c>
      <c r="M461" s="93">
        <f>INT($G$6/H461)</f>
        <v/>
      </c>
      <c r="N461" s="93">
        <f>IF(M461=0, 0, IF(OR($K$6="Square Grid", M461=1), INT($G$7/H461), IF($G$7&lt;H461, 0, 1+INT(($G$7-H461)/(0.8660254*H461)))))</f>
        <v/>
      </c>
      <c r="O461" s="59">
        <f>IF(OR(M461=0,N461=0), 0, IF(OR($K$6="Square Grid", M461=1), M461*N461*$K$5, (INT((N461+1)/2)*M461 + INT(N461/2)*IF(($G$6-M461*H461)&gt;=0.5*H461, M461, M461-1))*$K$5))</f>
        <v/>
      </c>
      <c r="P461" s="59">
        <f>IF(L461&lt;=0, 0, INT($G$8/L461))</f>
        <v/>
      </c>
      <c r="Q461" s="95">
        <f>MIN(O461, P461)</f>
        <v/>
      </c>
      <c r="R461" s="96">
        <f>ROUND((Q461*L461)/1000, 2)</f>
        <v/>
      </c>
      <c r="S461" s="79">
        <f>IF($C$8&gt;0, R461/$C$8, 0)</f>
        <v/>
      </c>
      <c r="T461" s="79">
        <f>IF(O461&gt;0, Q461/O461, 0)</f>
        <v/>
      </c>
      <c r="U461" s="12">
        <f>IF(Q461=0, "Exceeds Limit", IF(P461&lt;=O461, "Weight Limited", "Volume Limited"))</f>
        <v/>
      </c>
      <c r="V461" s="97">
        <f>B461&amp;"|"&amp;D461&amp;"|"&amp;F461</f>
        <v/>
      </c>
    </row>
    <row r="462" ht="19" customHeight="1">
      <c r="A462" s="98" t="n">
        <v>452</v>
      </c>
      <c r="B462" s="102" t="inlineStr">
        <is>
          <t>Stainless Steel 304</t>
        </is>
      </c>
      <c r="C462" s="19" t="inlineStr">
        <is>
          <t>ASME B36.19M / B36.10M</t>
        </is>
      </c>
      <c r="D462" s="18" t="inlineStr">
        <is>
          <t>1''</t>
        </is>
      </c>
      <c r="E462" s="98" t="n">
        <v>25</v>
      </c>
      <c r="F462" s="18" t="inlineStr">
        <is>
          <t>STD</t>
        </is>
      </c>
      <c r="G462" s="20" t="n">
        <v>1.315</v>
      </c>
      <c r="H462" s="82" t="n">
        <v>33.4</v>
      </c>
      <c r="I462" s="20" t="n">
        <v>0.133</v>
      </c>
      <c r="J462" s="82" t="n">
        <v>3.38</v>
      </c>
      <c r="K462" s="20">
        <f>ROUND((H462-J462)*J462*IF(B462="Carbon Steel",$K$7,IF(B462="Stainless Steel 304",$K$8,$L$8)), 3)</f>
        <v/>
      </c>
      <c r="L462" s="82">
        <f>ROUND(K462*$G$5, 2)</f>
        <v/>
      </c>
      <c r="M462" s="98">
        <f>INT($G$6/H462)</f>
        <v/>
      </c>
      <c r="N462" s="98">
        <f>IF(M462=0, 0, IF(OR($K$6="Square Grid", M462=1), INT($G$7/H462), IF($G$7&lt;H462, 0, 1+INT(($G$7-H462)/(0.8660254*H462)))))</f>
        <v/>
      </c>
      <c r="O462" s="84">
        <f>IF(OR(M462=0,N462=0), 0, IF(OR($K$6="Square Grid", M462=1), M462*N462*$K$5, (INT((N462+1)/2)*M462 + INT(N462/2)*IF(($G$6-M462*H462)&gt;=0.5*H462, M462, M462-1))*$K$5))</f>
        <v/>
      </c>
      <c r="P462" s="84">
        <f>IF(L462&lt;=0, 0, INT($G$8/L462))</f>
        <v/>
      </c>
      <c r="Q462" s="95">
        <f>MIN(O462, P462)</f>
        <v/>
      </c>
      <c r="R462" s="96">
        <f>ROUND((Q462*L462)/1000, 2)</f>
        <v/>
      </c>
      <c r="S462" s="85">
        <f>IF($C$8&gt;0, R462/$C$8, 0)</f>
        <v/>
      </c>
      <c r="T462" s="85">
        <f>IF(O462&gt;0, Q462/O462, 0)</f>
        <v/>
      </c>
      <c r="U462" s="18">
        <f>IF(Q462=0, "Exceeds Limit", IF(P462&lt;=O462, "Weight Limited", "Volume Limited"))</f>
        <v/>
      </c>
      <c r="V462" s="100">
        <f>B462&amp;"|"&amp;D462&amp;"|"&amp;F462</f>
        <v/>
      </c>
    </row>
    <row r="463" ht="19" customHeight="1">
      <c r="A463" s="93" t="n">
        <v>453</v>
      </c>
      <c r="B463" s="101" t="inlineStr">
        <is>
          <t>Stainless Steel 304</t>
        </is>
      </c>
      <c r="C463" s="13" t="inlineStr">
        <is>
          <t>ASME B36.19M / B36.10M</t>
        </is>
      </c>
      <c r="D463" s="12" t="inlineStr">
        <is>
          <t>1''</t>
        </is>
      </c>
      <c r="E463" s="93" t="n">
        <v>25</v>
      </c>
      <c r="F463" s="12" t="inlineStr">
        <is>
          <t>40</t>
        </is>
      </c>
      <c r="G463" s="14" t="n">
        <v>1.315</v>
      </c>
      <c r="H463" s="78" t="n">
        <v>33.4</v>
      </c>
      <c r="I463" s="14" t="n">
        <v>0.133</v>
      </c>
      <c r="J463" s="78" t="n">
        <v>3.38</v>
      </c>
      <c r="K463" s="14">
        <f>ROUND((H463-J463)*J463*IF(B463="Carbon Steel",$K$7,IF(B463="Stainless Steel 304",$K$8,$L$8)), 3)</f>
        <v/>
      </c>
      <c r="L463" s="78">
        <f>ROUND(K463*$G$5, 2)</f>
        <v/>
      </c>
      <c r="M463" s="93">
        <f>INT($G$6/H463)</f>
        <v/>
      </c>
      <c r="N463" s="93">
        <f>IF(M463=0, 0, IF(OR($K$6="Square Grid", M463=1), INT($G$7/H463), IF($G$7&lt;H463, 0, 1+INT(($G$7-H463)/(0.8660254*H463)))))</f>
        <v/>
      </c>
      <c r="O463" s="59">
        <f>IF(OR(M463=0,N463=0), 0, IF(OR($K$6="Square Grid", M463=1), M463*N463*$K$5, (INT((N463+1)/2)*M463 + INT(N463/2)*IF(($G$6-M463*H463)&gt;=0.5*H463, M463, M463-1))*$K$5))</f>
        <v/>
      </c>
      <c r="P463" s="59">
        <f>IF(L463&lt;=0, 0, INT($G$8/L463))</f>
        <v/>
      </c>
      <c r="Q463" s="95">
        <f>MIN(O463, P463)</f>
        <v/>
      </c>
      <c r="R463" s="96">
        <f>ROUND((Q463*L463)/1000, 2)</f>
        <v/>
      </c>
      <c r="S463" s="79">
        <f>IF($C$8&gt;0, R463/$C$8, 0)</f>
        <v/>
      </c>
      <c r="T463" s="79">
        <f>IF(O463&gt;0, Q463/O463, 0)</f>
        <v/>
      </c>
      <c r="U463" s="12">
        <f>IF(Q463=0, "Exceeds Limit", IF(P463&lt;=O463, "Weight Limited", "Volume Limited"))</f>
        <v/>
      </c>
      <c r="V463" s="97">
        <f>B463&amp;"|"&amp;D463&amp;"|"&amp;F463</f>
        <v/>
      </c>
    </row>
    <row r="464" ht="19" customHeight="1">
      <c r="A464" s="98" t="n">
        <v>454</v>
      </c>
      <c r="B464" s="102" t="inlineStr">
        <is>
          <t>Stainless Steel 304</t>
        </is>
      </c>
      <c r="C464" s="19" t="inlineStr">
        <is>
          <t>ASME B36.19M / B36.10M</t>
        </is>
      </c>
      <c r="D464" s="18" t="inlineStr">
        <is>
          <t>1''</t>
        </is>
      </c>
      <c r="E464" s="98" t="n">
        <v>25</v>
      </c>
      <c r="F464" s="18" t="inlineStr">
        <is>
          <t>80S</t>
        </is>
      </c>
      <c r="G464" s="20" t="n">
        <v>1.315</v>
      </c>
      <c r="H464" s="82" t="n">
        <v>33.4</v>
      </c>
      <c r="I464" s="20" t="n">
        <v>0.179</v>
      </c>
      <c r="J464" s="82" t="n">
        <v>4.55</v>
      </c>
      <c r="K464" s="20">
        <f>ROUND((H464-J464)*J464*IF(B464="Carbon Steel",$K$7,IF(B464="Stainless Steel 304",$K$8,$L$8)), 3)</f>
        <v/>
      </c>
      <c r="L464" s="82">
        <f>ROUND(K464*$G$5, 2)</f>
        <v/>
      </c>
      <c r="M464" s="98">
        <f>INT($G$6/H464)</f>
        <v/>
      </c>
      <c r="N464" s="98">
        <f>IF(M464=0, 0, IF(OR($K$6="Square Grid", M464=1), INT($G$7/H464), IF($G$7&lt;H464, 0, 1+INT(($G$7-H464)/(0.8660254*H464)))))</f>
        <v/>
      </c>
      <c r="O464" s="84">
        <f>IF(OR(M464=0,N464=0), 0, IF(OR($K$6="Square Grid", M464=1), M464*N464*$K$5, (INT((N464+1)/2)*M464 + INT(N464/2)*IF(($G$6-M464*H464)&gt;=0.5*H464, M464, M464-1))*$K$5))</f>
        <v/>
      </c>
      <c r="P464" s="84">
        <f>IF(L464&lt;=0, 0, INT($G$8/L464))</f>
        <v/>
      </c>
      <c r="Q464" s="95">
        <f>MIN(O464, P464)</f>
        <v/>
      </c>
      <c r="R464" s="96">
        <f>ROUND((Q464*L464)/1000, 2)</f>
        <v/>
      </c>
      <c r="S464" s="85">
        <f>IF($C$8&gt;0, R464/$C$8, 0)</f>
        <v/>
      </c>
      <c r="T464" s="85">
        <f>IF(O464&gt;0, Q464/O464, 0)</f>
        <v/>
      </c>
      <c r="U464" s="18">
        <f>IF(Q464=0, "Exceeds Limit", IF(P464&lt;=O464, "Weight Limited", "Volume Limited"))</f>
        <v/>
      </c>
      <c r="V464" s="100">
        <f>B464&amp;"|"&amp;D464&amp;"|"&amp;F464</f>
        <v/>
      </c>
    </row>
    <row r="465" ht="19" customHeight="1">
      <c r="A465" s="93" t="n">
        <v>455</v>
      </c>
      <c r="B465" s="101" t="inlineStr">
        <is>
          <t>Stainless Steel 304</t>
        </is>
      </c>
      <c r="C465" s="13" t="inlineStr">
        <is>
          <t>ASME B36.19M / B36.10M</t>
        </is>
      </c>
      <c r="D465" s="12" t="inlineStr">
        <is>
          <t>1''</t>
        </is>
      </c>
      <c r="E465" s="93" t="n">
        <v>25</v>
      </c>
      <c r="F465" s="12" t="inlineStr">
        <is>
          <t>XS</t>
        </is>
      </c>
      <c r="G465" s="14" t="n">
        <v>1.315</v>
      </c>
      <c r="H465" s="78" t="n">
        <v>33.4</v>
      </c>
      <c r="I465" s="14" t="n">
        <v>0.179</v>
      </c>
      <c r="J465" s="78" t="n">
        <v>4.55</v>
      </c>
      <c r="K465" s="14">
        <f>ROUND((H465-J465)*J465*IF(B465="Carbon Steel",$K$7,IF(B465="Stainless Steel 304",$K$8,$L$8)), 3)</f>
        <v/>
      </c>
      <c r="L465" s="78">
        <f>ROUND(K465*$G$5, 2)</f>
        <v/>
      </c>
      <c r="M465" s="93">
        <f>INT($G$6/H465)</f>
        <v/>
      </c>
      <c r="N465" s="93">
        <f>IF(M465=0, 0, IF(OR($K$6="Square Grid", M465=1), INT($G$7/H465), IF($G$7&lt;H465, 0, 1+INT(($G$7-H465)/(0.8660254*H465)))))</f>
        <v/>
      </c>
      <c r="O465" s="59">
        <f>IF(OR(M465=0,N465=0), 0, IF(OR($K$6="Square Grid", M465=1), M465*N465*$K$5, (INT((N465+1)/2)*M465 + INT(N465/2)*IF(($G$6-M465*H465)&gt;=0.5*H465, M465, M465-1))*$K$5))</f>
        <v/>
      </c>
      <c r="P465" s="59">
        <f>IF(L465&lt;=0, 0, INT($G$8/L465))</f>
        <v/>
      </c>
      <c r="Q465" s="95">
        <f>MIN(O465, P465)</f>
        <v/>
      </c>
      <c r="R465" s="96">
        <f>ROUND((Q465*L465)/1000, 2)</f>
        <v/>
      </c>
      <c r="S465" s="79">
        <f>IF($C$8&gt;0, R465/$C$8, 0)</f>
        <v/>
      </c>
      <c r="T465" s="79">
        <f>IF(O465&gt;0, Q465/O465, 0)</f>
        <v/>
      </c>
      <c r="U465" s="12">
        <f>IF(Q465=0, "Exceeds Limit", IF(P465&lt;=O465, "Weight Limited", "Volume Limited"))</f>
        <v/>
      </c>
      <c r="V465" s="97">
        <f>B465&amp;"|"&amp;D465&amp;"|"&amp;F465</f>
        <v/>
      </c>
    </row>
    <row r="466" ht="19" customHeight="1">
      <c r="A466" s="98" t="n">
        <v>456</v>
      </c>
      <c r="B466" s="102" t="inlineStr">
        <is>
          <t>Stainless Steel 304</t>
        </is>
      </c>
      <c r="C466" s="19" t="inlineStr">
        <is>
          <t>ASME B36.19M / B36.10M</t>
        </is>
      </c>
      <c r="D466" s="18" t="inlineStr">
        <is>
          <t>1''</t>
        </is>
      </c>
      <c r="E466" s="98" t="n">
        <v>25</v>
      </c>
      <c r="F466" s="18" t="inlineStr">
        <is>
          <t>80</t>
        </is>
      </c>
      <c r="G466" s="20" t="n">
        <v>1.315</v>
      </c>
      <c r="H466" s="82" t="n">
        <v>33.4</v>
      </c>
      <c r="I466" s="20" t="n">
        <v>0.179</v>
      </c>
      <c r="J466" s="82" t="n">
        <v>4.55</v>
      </c>
      <c r="K466" s="20">
        <f>ROUND((H466-J466)*J466*IF(B466="Carbon Steel",$K$7,IF(B466="Stainless Steel 304",$K$8,$L$8)), 3)</f>
        <v/>
      </c>
      <c r="L466" s="82">
        <f>ROUND(K466*$G$5, 2)</f>
        <v/>
      </c>
      <c r="M466" s="98">
        <f>INT($G$6/H466)</f>
        <v/>
      </c>
      <c r="N466" s="98">
        <f>IF(M466=0, 0, IF(OR($K$6="Square Grid", M466=1), INT($G$7/H466), IF($G$7&lt;H466, 0, 1+INT(($G$7-H466)/(0.8660254*H466)))))</f>
        <v/>
      </c>
      <c r="O466" s="84">
        <f>IF(OR(M466=0,N466=0), 0, IF(OR($K$6="Square Grid", M466=1), M466*N466*$K$5, (INT((N466+1)/2)*M466 + INT(N466/2)*IF(($G$6-M466*H466)&gt;=0.5*H466, M466, M466-1))*$K$5))</f>
        <v/>
      </c>
      <c r="P466" s="84">
        <f>IF(L466&lt;=0, 0, INT($G$8/L466))</f>
        <v/>
      </c>
      <c r="Q466" s="95">
        <f>MIN(O466, P466)</f>
        <v/>
      </c>
      <c r="R466" s="96">
        <f>ROUND((Q466*L466)/1000, 2)</f>
        <v/>
      </c>
      <c r="S466" s="85">
        <f>IF($C$8&gt;0, R466/$C$8, 0)</f>
        <v/>
      </c>
      <c r="T466" s="85">
        <f>IF(O466&gt;0, Q466/O466, 0)</f>
        <v/>
      </c>
      <c r="U466" s="18">
        <f>IF(Q466=0, "Exceeds Limit", IF(P466&lt;=O466, "Weight Limited", "Volume Limited"))</f>
        <v/>
      </c>
      <c r="V466" s="100">
        <f>B466&amp;"|"&amp;D466&amp;"|"&amp;F466</f>
        <v/>
      </c>
    </row>
    <row r="467" ht="19" customHeight="1">
      <c r="A467" s="93" t="n">
        <v>457</v>
      </c>
      <c r="B467" s="101" t="inlineStr">
        <is>
          <t>Stainless Steel 304</t>
        </is>
      </c>
      <c r="C467" s="13" t="inlineStr">
        <is>
          <t>ASME B36.19M / B36.10M</t>
        </is>
      </c>
      <c r="D467" s="12" t="inlineStr">
        <is>
          <t>1''</t>
        </is>
      </c>
      <c r="E467" s="93" t="n">
        <v>25</v>
      </c>
      <c r="F467" s="12" t="inlineStr">
        <is>
          <t>160</t>
        </is>
      </c>
      <c r="G467" s="14" t="n">
        <v>1.315</v>
      </c>
      <c r="H467" s="78" t="n">
        <v>33.4</v>
      </c>
      <c r="I467" s="14" t="n">
        <v>0.25</v>
      </c>
      <c r="J467" s="78" t="n">
        <v>6.35</v>
      </c>
      <c r="K467" s="14">
        <f>ROUND((H467-J467)*J467*IF(B467="Carbon Steel",$K$7,IF(B467="Stainless Steel 304",$K$8,$L$8)), 3)</f>
        <v/>
      </c>
      <c r="L467" s="78">
        <f>ROUND(K467*$G$5, 2)</f>
        <v/>
      </c>
      <c r="M467" s="93">
        <f>INT($G$6/H467)</f>
        <v/>
      </c>
      <c r="N467" s="93">
        <f>IF(M467=0, 0, IF(OR($K$6="Square Grid", M467=1), INT($G$7/H467), IF($G$7&lt;H467, 0, 1+INT(($G$7-H467)/(0.8660254*H467)))))</f>
        <v/>
      </c>
      <c r="O467" s="59">
        <f>IF(OR(M467=0,N467=0), 0, IF(OR($K$6="Square Grid", M467=1), M467*N467*$K$5, (INT((N467+1)/2)*M467 + INT(N467/2)*IF(($G$6-M467*H467)&gt;=0.5*H467, M467, M467-1))*$K$5))</f>
        <v/>
      </c>
      <c r="P467" s="59">
        <f>IF(L467&lt;=0, 0, INT($G$8/L467))</f>
        <v/>
      </c>
      <c r="Q467" s="95">
        <f>MIN(O467, P467)</f>
        <v/>
      </c>
      <c r="R467" s="96">
        <f>ROUND((Q467*L467)/1000, 2)</f>
        <v/>
      </c>
      <c r="S467" s="79">
        <f>IF($C$8&gt;0, R467/$C$8, 0)</f>
        <v/>
      </c>
      <c r="T467" s="79">
        <f>IF(O467&gt;0, Q467/O467, 0)</f>
        <v/>
      </c>
      <c r="U467" s="12">
        <f>IF(Q467=0, "Exceeds Limit", IF(P467&lt;=O467, "Weight Limited", "Volume Limited"))</f>
        <v/>
      </c>
      <c r="V467" s="97">
        <f>B467&amp;"|"&amp;D467&amp;"|"&amp;F467</f>
        <v/>
      </c>
    </row>
    <row r="468" ht="19" customHeight="1">
      <c r="A468" s="98" t="n">
        <v>458</v>
      </c>
      <c r="B468" s="102" t="inlineStr">
        <is>
          <t>Stainless Steel 304</t>
        </is>
      </c>
      <c r="C468" s="19" t="inlineStr">
        <is>
          <t>ASME B36.19M / B36.10M</t>
        </is>
      </c>
      <c r="D468" s="18" t="inlineStr">
        <is>
          <t>1''</t>
        </is>
      </c>
      <c r="E468" s="98" t="n">
        <v>25</v>
      </c>
      <c r="F468" s="18" t="inlineStr">
        <is>
          <t>XXS</t>
        </is>
      </c>
      <c r="G468" s="20" t="n">
        <v>1.315</v>
      </c>
      <c r="H468" s="82" t="n">
        <v>33.4</v>
      </c>
      <c r="I468" s="20" t="n">
        <v>0.358</v>
      </c>
      <c r="J468" s="82" t="n">
        <v>9.09</v>
      </c>
      <c r="K468" s="20">
        <f>ROUND((H468-J468)*J468*IF(B468="Carbon Steel",$K$7,IF(B468="Stainless Steel 304",$K$8,$L$8)), 3)</f>
        <v/>
      </c>
      <c r="L468" s="82">
        <f>ROUND(K468*$G$5, 2)</f>
        <v/>
      </c>
      <c r="M468" s="98">
        <f>INT($G$6/H468)</f>
        <v/>
      </c>
      <c r="N468" s="98">
        <f>IF(M468=0, 0, IF(OR($K$6="Square Grid", M468=1), INT($G$7/H468), IF($G$7&lt;H468, 0, 1+INT(($G$7-H468)/(0.8660254*H468)))))</f>
        <v/>
      </c>
      <c r="O468" s="84">
        <f>IF(OR(M468=0,N468=0), 0, IF(OR($K$6="Square Grid", M468=1), M468*N468*$K$5, (INT((N468+1)/2)*M468 + INT(N468/2)*IF(($G$6-M468*H468)&gt;=0.5*H468, M468, M468-1))*$K$5))</f>
        <v/>
      </c>
      <c r="P468" s="84">
        <f>IF(L468&lt;=0, 0, INT($G$8/L468))</f>
        <v/>
      </c>
      <c r="Q468" s="95">
        <f>MIN(O468, P468)</f>
        <v/>
      </c>
      <c r="R468" s="96">
        <f>ROUND((Q468*L468)/1000, 2)</f>
        <v/>
      </c>
      <c r="S468" s="85">
        <f>IF($C$8&gt;0, R468/$C$8, 0)</f>
        <v/>
      </c>
      <c r="T468" s="85">
        <f>IF(O468&gt;0, Q468/O468, 0)</f>
        <v/>
      </c>
      <c r="U468" s="18">
        <f>IF(Q468=0, "Exceeds Limit", IF(P468&lt;=O468, "Weight Limited", "Volume Limited"))</f>
        <v/>
      </c>
      <c r="V468" s="100">
        <f>B468&amp;"|"&amp;D468&amp;"|"&amp;F468</f>
        <v/>
      </c>
    </row>
    <row r="469" ht="19" customHeight="1">
      <c r="A469" s="93" t="n">
        <v>459</v>
      </c>
      <c r="B469" s="101" t="inlineStr">
        <is>
          <t>Stainless Steel 304</t>
        </is>
      </c>
      <c r="C469" s="13" t="inlineStr">
        <is>
          <t>ASME B36.19M / B36.10M</t>
        </is>
      </c>
      <c r="D469" s="12" t="inlineStr">
        <is>
          <t>1-1/4''</t>
        </is>
      </c>
      <c r="E469" s="93" t="n">
        <v>32</v>
      </c>
      <c r="F469" s="12" t="inlineStr">
        <is>
          <t>5S</t>
        </is>
      </c>
      <c r="G469" s="14" t="n">
        <v>1.66</v>
      </c>
      <c r="H469" s="78" t="n">
        <v>42.16</v>
      </c>
      <c r="I469" s="14" t="n">
        <v>0.065</v>
      </c>
      <c r="J469" s="78" t="n">
        <v>1.65</v>
      </c>
      <c r="K469" s="14">
        <f>ROUND((H469-J469)*J469*IF(B469="Carbon Steel",$K$7,IF(B469="Stainless Steel 304",$K$8,$L$8)), 3)</f>
        <v/>
      </c>
      <c r="L469" s="78">
        <f>ROUND(K469*$G$5, 2)</f>
        <v/>
      </c>
      <c r="M469" s="93">
        <f>INT($G$6/H469)</f>
        <v/>
      </c>
      <c r="N469" s="93">
        <f>IF(M469=0, 0, IF(OR($K$6="Square Grid", M469=1), INT($G$7/H469), IF($G$7&lt;H469, 0, 1+INT(($G$7-H469)/(0.8660254*H469)))))</f>
        <v/>
      </c>
      <c r="O469" s="59">
        <f>IF(OR(M469=0,N469=0), 0, IF(OR($K$6="Square Grid", M469=1), M469*N469*$K$5, (INT((N469+1)/2)*M469 + INT(N469/2)*IF(($G$6-M469*H469)&gt;=0.5*H469, M469, M469-1))*$K$5))</f>
        <v/>
      </c>
      <c r="P469" s="59">
        <f>IF(L469&lt;=0, 0, INT($G$8/L469))</f>
        <v/>
      </c>
      <c r="Q469" s="95">
        <f>MIN(O469, P469)</f>
        <v/>
      </c>
      <c r="R469" s="96">
        <f>ROUND((Q469*L469)/1000, 2)</f>
        <v/>
      </c>
      <c r="S469" s="79">
        <f>IF($C$8&gt;0, R469/$C$8, 0)</f>
        <v/>
      </c>
      <c r="T469" s="79">
        <f>IF(O469&gt;0, Q469/O469, 0)</f>
        <v/>
      </c>
      <c r="U469" s="12">
        <f>IF(Q469=0, "Exceeds Limit", IF(P469&lt;=O469, "Weight Limited", "Volume Limited"))</f>
        <v/>
      </c>
      <c r="V469" s="97">
        <f>B469&amp;"|"&amp;D469&amp;"|"&amp;F469</f>
        <v/>
      </c>
    </row>
    <row r="470" ht="19" customHeight="1">
      <c r="A470" s="98" t="n">
        <v>460</v>
      </c>
      <c r="B470" s="102" t="inlineStr">
        <is>
          <t>Stainless Steel 304</t>
        </is>
      </c>
      <c r="C470" s="19" t="inlineStr">
        <is>
          <t>ASME B36.19M / B36.10M</t>
        </is>
      </c>
      <c r="D470" s="18" t="inlineStr">
        <is>
          <t>1-1/4''</t>
        </is>
      </c>
      <c r="E470" s="98" t="n">
        <v>32</v>
      </c>
      <c r="F470" s="18" t="inlineStr">
        <is>
          <t>5</t>
        </is>
      </c>
      <c r="G470" s="20" t="n">
        <v>1.66</v>
      </c>
      <c r="H470" s="82" t="n">
        <v>42.16</v>
      </c>
      <c r="I470" s="20" t="n">
        <v>0.065</v>
      </c>
      <c r="J470" s="82" t="n">
        <v>1.65</v>
      </c>
      <c r="K470" s="20">
        <f>ROUND((H470-J470)*J470*IF(B470="Carbon Steel",$K$7,IF(B470="Stainless Steel 304",$K$8,$L$8)), 3)</f>
        <v/>
      </c>
      <c r="L470" s="82">
        <f>ROUND(K470*$G$5, 2)</f>
        <v/>
      </c>
      <c r="M470" s="98">
        <f>INT($G$6/H470)</f>
        <v/>
      </c>
      <c r="N470" s="98">
        <f>IF(M470=0, 0, IF(OR($K$6="Square Grid", M470=1), INT($G$7/H470), IF($G$7&lt;H470, 0, 1+INT(($G$7-H470)/(0.8660254*H470)))))</f>
        <v/>
      </c>
      <c r="O470" s="84">
        <f>IF(OR(M470=0,N470=0), 0, IF(OR($K$6="Square Grid", M470=1), M470*N470*$K$5, (INT((N470+1)/2)*M470 + INT(N470/2)*IF(($G$6-M470*H470)&gt;=0.5*H470, M470, M470-1))*$K$5))</f>
        <v/>
      </c>
      <c r="P470" s="84">
        <f>IF(L470&lt;=0, 0, INT($G$8/L470))</f>
        <v/>
      </c>
      <c r="Q470" s="95">
        <f>MIN(O470, P470)</f>
        <v/>
      </c>
      <c r="R470" s="96">
        <f>ROUND((Q470*L470)/1000, 2)</f>
        <v/>
      </c>
      <c r="S470" s="85">
        <f>IF($C$8&gt;0, R470/$C$8, 0)</f>
        <v/>
      </c>
      <c r="T470" s="85">
        <f>IF(O470&gt;0, Q470/O470, 0)</f>
        <v/>
      </c>
      <c r="U470" s="18">
        <f>IF(Q470=0, "Exceeds Limit", IF(P470&lt;=O470, "Weight Limited", "Volume Limited"))</f>
        <v/>
      </c>
      <c r="V470" s="100">
        <f>B470&amp;"|"&amp;D470&amp;"|"&amp;F470</f>
        <v/>
      </c>
    </row>
    <row r="471" ht="19" customHeight="1">
      <c r="A471" s="93" t="n">
        <v>461</v>
      </c>
      <c r="B471" s="101" t="inlineStr">
        <is>
          <t>Stainless Steel 304</t>
        </is>
      </c>
      <c r="C471" s="13" t="inlineStr">
        <is>
          <t>ASME B36.19M / B36.10M</t>
        </is>
      </c>
      <c r="D471" s="12" t="inlineStr">
        <is>
          <t>1-1/4''</t>
        </is>
      </c>
      <c r="E471" s="93" t="n">
        <v>32</v>
      </c>
      <c r="F471" s="12" t="inlineStr">
        <is>
          <t>10S</t>
        </is>
      </c>
      <c r="G471" s="14" t="n">
        <v>1.66</v>
      </c>
      <c r="H471" s="78" t="n">
        <v>42.16</v>
      </c>
      <c r="I471" s="14" t="n">
        <v>0.109</v>
      </c>
      <c r="J471" s="78" t="n">
        <v>2.77</v>
      </c>
      <c r="K471" s="14">
        <f>ROUND((H471-J471)*J471*IF(B471="Carbon Steel",$K$7,IF(B471="Stainless Steel 304",$K$8,$L$8)), 3)</f>
        <v/>
      </c>
      <c r="L471" s="78">
        <f>ROUND(K471*$G$5, 2)</f>
        <v/>
      </c>
      <c r="M471" s="93">
        <f>INT($G$6/H471)</f>
        <v/>
      </c>
      <c r="N471" s="93">
        <f>IF(M471=0, 0, IF(OR($K$6="Square Grid", M471=1), INT($G$7/H471), IF($G$7&lt;H471, 0, 1+INT(($G$7-H471)/(0.8660254*H471)))))</f>
        <v/>
      </c>
      <c r="O471" s="59">
        <f>IF(OR(M471=0,N471=0), 0, IF(OR($K$6="Square Grid", M471=1), M471*N471*$K$5, (INT((N471+1)/2)*M471 + INT(N471/2)*IF(($G$6-M471*H471)&gt;=0.5*H471, M471, M471-1))*$K$5))</f>
        <v/>
      </c>
      <c r="P471" s="59">
        <f>IF(L471&lt;=0, 0, INT($G$8/L471))</f>
        <v/>
      </c>
      <c r="Q471" s="95">
        <f>MIN(O471, P471)</f>
        <v/>
      </c>
      <c r="R471" s="96">
        <f>ROUND((Q471*L471)/1000, 2)</f>
        <v/>
      </c>
      <c r="S471" s="79">
        <f>IF($C$8&gt;0, R471/$C$8, 0)</f>
        <v/>
      </c>
      <c r="T471" s="79">
        <f>IF(O471&gt;0, Q471/O471, 0)</f>
        <v/>
      </c>
      <c r="U471" s="12">
        <f>IF(Q471=0, "Exceeds Limit", IF(P471&lt;=O471, "Weight Limited", "Volume Limited"))</f>
        <v/>
      </c>
      <c r="V471" s="97">
        <f>B471&amp;"|"&amp;D471&amp;"|"&amp;F471</f>
        <v/>
      </c>
    </row>
    <row r="472" ht="19" customHeight="1">
      <c r="A472" s="98" t="n">
        <v>462</v>
      </c>
      <c r="B472" s="102" t="inlineStr">
        <is>
          <t>Stainless Steel 304</t>
        </is>
      </c>
      <c r="C472" s="19" t="inlineStr">
        <is>
          <t>ASME B36.19M / B36.10M</t>
        </is>
      </c>
      <c r="D472" s="18" t="inlineStr">
        <is>
          <t>1-1/4''</t>
        </is>
      </c>
      <c r="E472" s="98" t="n">
        <v>32</v>
      </c>
      <c r="F472" s="18" t="inlineStr">
        <is>
          <t>10</t>
        </is>
      </c>
      <c r="G472" s="20" t="n">
        <v>1.66</v>
      </c>
      <c r="H472" s="82" t="n">
        <v>42.16</v>
      </c>
      <c r="I472" s="20" t="n">
        <v>0.109</v>
      </c>
      <c r="J472" s="82" t="n">
        <v>2.77</v>
      </c>
      <c r="K472" s="20">
        <f>ROUND((H472-J472)*J472*IF(B472="Carbon Steel",$K$7,IF(B472="Stainless Steel 304",$K$8,$L$8)), 3)</f>
        <v/>
      </c>
      <c r="L472" s="82">
        <f>ROUND(K472*$G$5, 2)</f>
        <v/>
      </c>
      <c r="M472" s="98">
        <f>INT($G$6/H472)</f>
        <v/>
      </c>
      <c r="N472" s="98">
        <f>IF(M472=0, 0, IF(OR($K$6="Square Grid", M472=1), INT($G$7/H472), IF($G$7&lt;H472, 0, 1+INT(($G$7-H472)/(0.8660254*H472)))))</f>
        <v/>
      </c>
      <c r="O472" s="84">
        <f>IF(OR(M472=0,N472=0), 0, IF(OR($K$6="Square Grid", M472=1), M472*N472*$K$5, (INT((N472+1)/2)*M472 + INT(N472/2)*IF(($G$6-M472*H472)&gt;=0.5*H472, M472, M472-1))*$K$5))</f>
        <v/>
      </c>
      <c r="P472" s="84">
        <f>IF(L472&lt;=0, 0, INT($G$8/L472))</f>
        <v/>
      </c>
      <c r="Q472" s="95">
        <f>MIN(O472, P472)</f>
        <v/>
      </c>
      <c r="R472" s="96">
        <f>ROUND((Q472*L472)/1000, 2)</f>
        <v/>
      </c>
      <c r="S472" s="85">
        <f>IF($C$8&gt;0, R472/$C$8, 0)</f>
        <v/>
      </c>
      <c r="T472" s="85">
        <f>IF(O472&gt;0, Q472/O472, 0)</f>
        <v/>
      </c>
      <c r="U472" s="18">
        <f>IF(Q472=0, "Exceeds Limit", IF(P472&lt;=O472, "Weight Limited", "Volume Limited"))</f>
        <v/>
      </c>
      <c r="V472" s="100">
        <f>B472&amp;"|"&amp;D472&amp;"|"&amp;F472</f>
        <v/>
      </c>
    </row>
    <row r="473" ht="19" customHeight="1">
      <c r="A473" s="93" t="n">
        <v>463</v>
      </c>
      <c r="B473" s="101" t="inlineStr">
        <is>
          <t>Stainless Steel 304</t>
        </is>
      </c>
      <c r="C473" s="13" t="inlineStr">
        <is>
          <t>ASME B36.19M / B36.10M</t>
        </is>
      </c>
      <c r="D473" s="12" t="inlineStr">
        <is>
          <t>1-1/4''</t>
        </is>
      </c>
      <c r="E473" s="93" t="n">
        <v>32</v>
      </c>
      <c r="F473" s="12" t="inlineStr">
        <is>
          <t>30</t>
        </is>
      </c>
      <c r="G473" s="14" t="n">
        <v>1.66</v>
      </c>
      <c r="H473" s="78" t="n">
        <v>42.16</v>
      </c>
      <c r="I473" s="14" t="n">
        <v>0.117</v>
      </c>
      <c r="J473" s="78" t="n">
        <v>2.97</v>
      </c>
      <c r="K473" s="14">
        <f>ROUND((H473-J473)*J473*IF(B473="Carbon Steel",$K$7,IF(B473="Stainless Steel 304",$K$8,$L$8)), 3)</f>
        <v/>
      </c>
      <c r="L473" s="78">
        <f>ROUND(K473*$G$5, 2)</f>
        <v/>
      </c>
      <c r="M473" s="93">
        <f>INT($G$6/H473)</f>
        <v/>
      </c>
      <c r="N473" s="93">
        <f>IF(M473=0, 0, IF(OR($K$6="Square Grid", M473=1), INT($G$7/H473), IF($G$7&lt;H473, 0, 1+INT(($G$7-H473)/(0.8660254*H473)))))</f>
        <v/>
      </c>
      <c r="O473" s="59">
        <f>IF(OR(M473=0,N473=0), 0, IF(OR($K$6="Square Grid", M473=1), M473*N473*$K$5, (INT((N473+1)/2)*M473 + INT(N473/2)*IF(($G$6-M473*H473)&gt;=0.5*H473, M473, M473-1))*$K$5))</f>
        <v/>
      </c>
      <c r="P473" s="59">
        <f>IF(L473&lt;=0, 0, INT($G$8/L473))</f>
        <v/>
      </c>
      <c r="Q473" s="95">
        <f>MIN(O473, P473)</f>
        <v/>
      </c>
      <c r="R473" s="96">
        <f>ROUND((Q473*L473)/1000, 2)</f>
        <v/>
      </c>
      <c r="S473" s="79">
        <f>IF($C$8&gt;0, R473/$C$8, 0)</f>
        <v/>
      </c>
      <c r="T473" s="79">
        <f>IF(O473&gt;0, Q473/O473, 0)</f>
        <v/>
      </c>
      <c r="U473" s="12">
        <f>IF(Q473=0, "Exceeds Limit", IF(P473&lt;=O473, "Weight Limited", "Volume Limited"))</f>
        <v/>
      </c>
      <c r="V473" s="97">
        <f>B473&amp;"|"&amp;D473&amp;"|"&amp;F473</f>
        <v/>
      </c>
    </row>
    <row r="474" ht="19" customHeight="1">
      <c r="A474" s="98" t="n">
        <v>464</v>
      </c>
      <c r="B474" s="102" t="inlineStr">
        <is>
          <t>Stainless Steel 304</t>
        </is>
      </c>
      <c r="C474" s="19" t="inlineStr">
        <is>
          <t>ASME B36.19M / B36.10M</t>
        </is>
      </c>
      <c r="D474" s="18" t="inlineStr">
        <is>
          <t>1-1/4''</t>
        </is>
      </c>
      <c r="E474" s="98" t="n">
        <v>32</v>
      </c>
      <c r="F474" s="18" t="inlineStr">
        <is>
          <t>40S</t>
        </is>
      </c>
      <c r="G474" s="20" t="n">
        <v>1.66</v>
      </c>
      <c r="H474" s="82" t="n">
        <v>42.16</v>
      </c>
      <c r="I474" s="20" t="n">
        <v>0.14</v>
      </c>
      <c r="J474" s="82" t="n">
        <v>3.56</v>
      </c>
      <c r="K474" s="20">
        <f>ROUND((H474-J474)*J474*IF(B474="Carbon Steel",$K$7,IF(B474="Stainless Steel 304",$K$8,$L$8)), 3)</f>
        <v/>
      </c>
      <c r="L474" s="82">
        <f>ROUND(K474*$G$5, 2)</f>
        <v/>
      </c>
      <c r="M474" s="98">
        <f>INT($G$6/H474)</f>
        <v/>
      </c>
      <c r="N474" s="98">
        <f>IF(M474=0, 0, IF(OR($K$6="Square Grid", M474=1), INT($G$7/H474), IF($G$7&lt;H474, 0, 1+INT(($G$7-H474)/(0.8660254*H474)))))</f>
        <v/>
      </c>
      <c r="O474" s="84">
        <f>IF(OR(M474=0,N474=0), 0, IF(OR($K$6="Square Grid", M474=1), M474*N474*$K$5, (INT((N474+1)/2)*M474 + INT(N474/2)*IF(($G$6-M474*H474)&gt;=0.5*H474, M474, M474-1))*$K$5))</f>
        <v/>
      </c>
      <c r="P474" s="84">
        <f>IF(L474&lt;=0, 0, INT($G$8/L474))</f>
        <v/>
      </c>
      <c r="Q474" s="95">
        <f>MIN(O474, P474)</f>
        <v/>
      </c>
      <c r="R474" s="96">
        <f>ROUND((Q474*L474)/1000, 2)</f>
        <v/>
      </c>
      <c r="S474" s="85">
        <f>IF($C$8&gt;0, R474/$C$8, 0)</f>
        <v/>
      </c>
      <c r="T474" s="85">
        <f>IF(O474&gt;0, Q474/O474, 0)</f>
        <v/>
      </c>
      <c r="U474" s="18">
        <f>IF(Q474=0, "Exceeds Limit", IF(P474&lt;=O474, "Weight Limited", "Volume Limited"))</f>
        <v/>
      </c>
      <c r="V474" s="100">
        <f>B474&amp;"|"&amp;D474&amp;"|"&amp;F474</f>
        <v/>
      </c>
    </row>
    <row r="475" ht="19" customHeight="1">
      <c r="A475" s="93" t="n">
        <v>465</v>
      </c>
      <c r="B475" s="101" t="inlineStr">
        <is>
          <t>Stainless Steel 304</t>
        </is>
      </c>
      <c r="C475" s="13" t="inlineStr">
        <is>
          <t>ASME B36.19M / B36.10M</t>
        </is>
      </c>
      <c r="D475" s="12" t="inlineStr">
        <is>
          <t>1-1/4''</t>
        </is>
      </c>
      <c r="E475" s="93" t="n">
        <v>32</v>
      </c>
      <c r="F475" s="12" t="inlineStr">
        <is>
          <t>STD</t>
        </is>
      </c>
      <c r="G475" s="14" t="n">
        <v>1.66</v>
      </c>
      <c r="H475" s="78" t="n">
        <v>42.16</v>
      </c>
      <c r="I475" s="14" t="n">
        <v>0.14</v>
      </c>
      <c r="J475" s="78" t="n">
        <v>3.56</v>
      </c>
      <c r="K475" s="14">
        <f>ROUND((H475-J475)*J475*IF(B475="Carbon Steel",$K$7,IF(B475="Stainless Steel 304",$K$8,$L$8)), 3)</f>
        <v/>
      </c>
      <c r="L475" s="78">
        <f>ROUND(K475*$G$5, 2)</f>
        <v/>
      </c>
      <c r="M475" s="93">
        <f>INT($G$6/H475)</f>
        <v/>
      </c>
      <c r="N475" s="93">
        <f>IF(M475=0, 0, IF(OR($K$6="Square Grid", M475=1), INT($G$7/H475), IF($G$7&lt;H475, 0, 1+INT(($G$7-H475)/(0.8660254*H475)))))</f>
        <v/>
      </c>
      <c r="O475" s="59">
        <f>IF(OR(M475=0,N475=0), 0, IF(OR($K$6="Square Grid", M475=1), M475*N475*$K$5, (INT((N475+1)/2)*M475 + INT(N475/2)*IF(($G$6-M475*H475)&gt;=0.5*H475, M475, M475-1))*$K$5))</f>
        <v/>
      </c>
      <c r="P475" s="59">
        <f>IF(L475&lt;=0, 0, INT($G$8/L475))</f>
        <v/>
      </c>
      <c r="Q475" s="95">
        <f>MIN(O475, P475)</f>
        <v/>
      </c>
      <c r="R475" s="96">
        <f>ROUND((Q475*L475)/1000, 2)</f>
        <v/>
      </c>
      <c r="S475" s="79">
        <f>IF($C$8&gt;0, R475/$C$8, 0)</f>
        <v/>
      </c>
      <c r="T475" s="79">
        <f>IF(O475&gt;0, Q475/O475, 0)</f>
        <v/>
      </c>
      <c r="U475" s="12">
        <f>IF(Q475=0, "Exceeds Limit", IF(P475&lt;=O475, "Weight Limited", "Volume Limited"))</f>
        <v/>
      </c>
      <c r="V475" s="97">
        <f>B475&amp;"|"&amp;D475&amp;"|"&amp;F475</f>
        <v/>
      </c>
    </row>
    <row r="476" ht="19" customHeight="1">
      <c r="A476" s="98" t="n">
        <v>466</v>
      </c>
      <c r="B476" s="102" t="inlineStr">
        <is>
          <t>Stainless Steel 304</t>
        </is>
      </c>
      <c r="C476" s="19" t="inlineStr">
        <is>
          <t>ASME B36.19M / B36.10M</t>
        </is>
      </c>
      <c r="D476" s="18" t="inlineStr">
        <is>
          <t>1-1/4''</t>
        </is>
      </c>
      <c r="E476" s="98" t="n">
        <v>32</v>
      </c>
      <c r="F476" s="18" t="inlineStr">
        <is>
          <t>40</t>
        </is>
      </c>
      <c r="G476" s="20" t="n">
        <v>1.66</v>
      </c>
      <c r="H476" s="82" t="n">
        <v>42.16</v>
      </c>
      <c r="I476" s="20" t="n">
        <v>0.14</v>
      </c>
      <c r="J476" s="82" t="n">
        <v>3.56</v>
      </c>
      <c r="K476" s="20">
        <f>ROUND((H476-J476)*J476*IF(B476="Carbon Steel",$K$7,IF(B476="Stainless Steel 304",$K$8,$L$8)), 3)</f>
        <v/>
      </c>
      <c r="L476" s="82">
        <f>ROUND(K476*$G$5, 2)</f>
        <v/>
      </c>
      <c r="M476" s="98">
        <f>INT($G$6/H476)</f>
        <v/>
      </c>
      <c r="N476" s="98">
        <f>IF(M476=0, 0, IF(OR($K$6="Square Grid", M476=1), INT($G$7/H476), IF($G$7&lt;H476, 0, 1+INT(($G$7-H476)/(0.8660254*H476)))))</f>
        <v/>
      </c>
      <c r="O476" s="84">
        <f>IF(OR(M476=0,N476=0), 0, IF(OR($K$6="Square Grid", M476=1), M476*N476*$K$5, (INT((N476+1)/2)*M476 + INT(N476/2)*IF(($G$6-M476*H476)&gt;=0.5*H476, M476, M476-1))*$K$5))</f>
        <v/>
      </c>
      <c r="P476" s="84">
        <f>IF(L476&lt;=0, 0, INT($G$8/L476))</f>
        <v/>
      </c>
      <c r="Q476" s="95">
        <f>MIN(O476, P476)</f>
        <v/>
      </c>
      <c r="R476" s="96">
        <f>ROUND((Q476*L476)/1000, 2)</f>
        <v/>
      </c>
      <c r="S476" s="85">
        <f>IF($C$8&gt;0, R476/$C$8, 0)</f>
        <v/>
      </c>
      <c r="T476" s="85">
        <f>IF(O476&gt;0, Q476/O476, 0)</f>
        <v/>
      </c>
      <c r="U476" s="18">
        <f>IF(Q476=0, "Exceeds Limit", IF(P476&lt;=O476, "Weight Limited", "Volume Limited"))</f>
        <v/>
      </c>
      <c r="V476" s="100">
        <f>B476&amp;"|"&amp;D476&amp;"|"&amp;F476</f>
        <v/>
      </c>
    </row>
    <row r="477" ht="19" customHeight="1">
      <c r="A477" s="93" t="n">
        <v>467</v>
      </c>
      <c r="B477" s="101" t="inlineStr">
        <is>
          <t>Stainless Steel 304</t>
        </is>
      </c>
      <c r="C477" s="13" t="inlineStr">
        <is>
          <t>ASME B36.19M / B36.10M</t>
        </is>
      </c>
      <c r="D477" s="12" t="inlineStr">
        <is>
          <t>1-1/4''</t>
        </is>
      </c>
      <c r="E477" s="93" t="n">
        <v>32</v>
      </c>
      <c r="F477" s="12" t="inlineStr">
        <is>
          <t>80S</t>
        </is>
      </c>
      <c r="G477" s="14" t="n">
        <v>1.66</v>
      </c>
      <c r="H477" s="78" t="n">
        <v>42.16</v>
      </c>
      <c r="I477" s="14" t="n">
        <v>0.191</v>
      </c>
      <c r="J477" s="78" t="n">
        <v>4.85</v>
      </c>
      <c r="K477" s="14">
        <f>ROUND((H477-J477)*J477*IF(B477="Carbon Steel",$K$7,IF(B477="Stainless Steel 304",$K$8,$L$8)), 3)</f>
        <v/>
      </c>
      <c r="L477" s="78">
        <f>ROUND(K477*$G$5, 2)</f>
        <v/>
      </c>
      <c r="M477" s="93">
        <f>INT($G$6/H477)</f>
        <v/>
      </c>
      <c r="N477" s="93">
        <f>IF(M477=0, 0, IF(OR($K$6="Square Grid", M477=1), INT($G$7/H477), IF($G$7&lt;H477, 0, 1+INT(($G$7-H477)/(0.8660254*H477)))))</f>
        <v/>
      </c>
      <c r="O477" s="59">
        <f>IF(OR(M477=0,N477=0), 0, IF(OR($K$6="Square Grid", M477=1), M477*N477*$K$5, (INT((N477+1)/2)*M477 + INT(N477/2)*IF(($G$6-M477*H477)&gt;=0.5*H477, M477, M477-1))*$K$5))</f>
        <v/>
      </c>
      <c r="P477" s="59">
        <f>IF(L477&lt;=0, 0, INT($G$8/L477))</f>
        <v/>
      </c>
      <c r="Q477" s="95">
        <f>MIN(O477, P477)</f>
        <v/>
      </c>
      <c r="R477" s="96">
        <f>ROUND((Q477*L477)/1000, 2)</f>
        <v/>
      </c>
      <c r="S477" s="79">
        <f>IF($C$8&gt;0, R477/$C$8, 0)</f>
        <v/>
      </c>
      <c r="T477" s="79">
        <f>IF(O477&gt;0, Q477/O477, 0)</f>
        <v/>
      </c>
      <c r="U477" s="12">
        <f>IF(Q477=0, "Exceeds Limit", IF(P477&lt;=O477, "Weight Limited", "Volume Limited"))</f>
        <v/>
      </c>
      <c r="V477" s="97">
        <f>B477&amp;"|"&amp;D477&amp;"|"&amp;F477</f>
        <v/>
      </c>
    </row>
    <row r="478" ht="19" customHeight="1">
      <c r="A478" s="98" t="n">
        <v>468</v>
      </c>
      <c r="B478" s="102" t="inlineStr">
        <is>
          <t>Stainless Steel 304</t>
        </is>
      </c>
      <c r="C478" s="19" t="inlineStr">
        <is>
          <t>ASME B36.19M / B36.10M</t>
        </is>
      </c>
      <c r="D478" s="18" t="inlineStr">
        <is>
          <t>1-1/4''</t>
        </is>
      </c>
      <c r="E478" s="98" t="n">
        <v>32</v>
      </c>
      <c r="F478" s="18" t="inlineStr">
        <is>
          <t>XS</t>
        </is>
      </c>
      <c r="G478" s="20" t="n">
        <v>1.66</v>
      </c>
      <c r="H478" s="82" t="n">
        <v>42.16</v>
      </c>
      <c r="I478" s="20" t="n">
        <v>0.191</v>
      </c>
      <c r="J478" s="82" t="n">
        <v>4.85</v>
      </c>
      <c r="K478" s="20">
        <f>ROUND((H478-J478)*J478*IF(B478="Carbon Steel",$K$7,IF(B478="Stainless Steel 304",$K$8,$L$8)), 3)</f>
        <v/>
      </c>
      <c r="L478" s="82">
        <f>ROUND(K478*$G$5, 2)</f>
        <v/>
      </c>
      <c r="M478" s="98">
        <f>INT($G$6/H478)</f>
        <v/>
      </c>
      <c r="N478" s="98">
        <f>IF(M478=0, 0, IF(OR($K$6="Square Grid", M478=1), INT($G$7/H478), IF($G$7&lt;H478, 0, 1+INT(($G$7-H478)/(0.8660254*H478)))))</f>
        <v/>
      </c>
      <c r="O478" s="84">
        <f>IF(OR(M478=0,N478=0), 0, IF(OR($K$6="Square Grid", M478=1), M478*N478*$K$5, (INT((N478+1)/2)*M478 + INT(N478/2)*IF(($G$6-M478*H478)&gt;=0.5*H478, M478, M478-1))*$K$5))</f>
        <v/>
      </c>
      <c r="P478" s="84">
        <f>IF(L478&lt;=0, 0, INT($G$8/L478))</f>
        <v/>
      </c>
      <c r="Q478" s="95">
        <f>MIN(O478, P478)</f>
        <v/>
      </c>
      <c r="R478" s="96">
        <f>ROUND((Q478*L478)/1000, 2)</f>
        <v/>
      </c>
      <c r="S478" s="85">
        <f>IF($C$8&gt;0, R478/$C$8, 0)</f>
        <v/>
      </c>
      <c r="T478" s="85">
        <f>IF(O478&gt;0, Q478/O478, 0)</f>
        <v/>
      </c>
      <c r="U478" s="18">
        <f>IF(Q478=0, "Exceeds Limit", IF(P478&lt;=O478, "Weight Limited", "Volume Limited"))</f>
        <v/>
      </c>
      <c r="V478" s="100">
        <f>B478&amp;"|"&amp;D478&amp;"|"&amp;F478</f>
        <v/>
      </c>
    </row>
    <row r="479" ht="19" customHeight="1">
      <c r="A479" s="93" t="n">
        <v>469</v>
      </c>
      <c r="B479" s="101" t="inlineStr">
        <is>
          <t>Stainless Steel 304</t>
        </is>
      </c>
      <c r="C479" s="13" t="inlineStr">
        <is>
          <t>ASME B36.19M / B36.10M</t>
        </is>
      </c>
      <c r="D479" s="12" t="inlineStr">
        <is>
          <t>1-1/4''</t>
        </is>
      </c>
      <c r="E479" s="93" t="n">
        <v>32</v>
      </c>
      <c r="F479" s="12" t="inlineStr">
        <is>
          <t>80</t>
        </is>
      </c>
      <c r="G479" s="14" t="n">
        <v>1.66</v>
      </c>
      <c r="H479" s="78" t="n">
        <v>42.16</v>
      </c>
      <c r="I479" s="14" t="n">
        <v>0.191</v>
      </c>
      <c r="J479" s="78" t="n">
        <v>4.85</v>
      </c>
      <c r="K479" s="14">
        <f>ROUND((H479-J479)*J479*IF(B479="Carbon Steel",$K$7,IF(B479="Stainless Steel 304",$K$8,$L$8)), 3)</f>
        <v/>
      </c>
      <c r="L479" s="78">
        <f>ROUND(K479*$G$5, 2)</f>
        <v/>
      </c>
      <c r="M479" s="93">
        <f>INT($G$6/H479)</f>
        <v/>
      </c>
      <c r="N479" s="93">
        <f>IF(M479=0, 0, IF(OR($K$6="Square Grid", M479=1), INT($G$7/H479), IF($G$7&lt;H479, 0, 1+INT(($G$7-H479)/(0.8660254*H479)))))</f>
        <v/>
      </c>
      <c r="O479" s="59">
        <f>IF(OR(M479=0,N479=0), 0, IF(OR($K$6="Square Grid", M479=1), M479*N479*$K$5, (INT((N479+1)/2)*M479 + INT(N479/2)*IF(($G$6-M479*H479)&gt;=0.5*H479, M479, M479-1))*$K$5))</f>
        <v/>
      </c>
      <c r="P479" s="59">
        <f>IF(L479&lt;=0, 0, INT($G$8/L479))</f>
        <v/>
      </c>
      <c r="Q479" s="95">
        <f>MIN(O479, P479)</f>
        <v/>
      </c>
      <c r="R479" s="96">
        <f>ROUND((Q479*L479)/1000, 2)</f>
        <v/>
      </c>
      <c r="S479" s="79">
        <f>IF($C$8&gt;0, R479/$C$8, 0)</f>
        <v/>
      </c>
      <c r="T479" s="79">
        <f>IF(O479&gt;0, Q479/O479, 0)</f>
        <v/>
      </c>
      <c r="U479" s="12">
        <f>IF(Q479=0, "Exceeds Limit", IF(P479&lt;=O479, "Weight Limited", "Volume Limited"))</f>
        <v/>
      </c>
      <c r="V479" s="97">
        <f>B479&amp;"|"&amp;D479&amp;"|"&amp;F479</f>
        <v/>
      </c>
    </row>
    <row r="480" ht="19" customHeight="1">
      <c r="A480" s="98" t="n">
        <v>470</v>
      </c>
      <c r="B480" s="102" t="inlineStr">
        <is>
          <t>Stainless Steel 304</t>
        </is>
      </c>
      <c r="C480" s="19" t="inlineStr">
        <is>
          <t>ASME B36.19M / B36.10M</t>
        </is>
      </c>
      <c r="D480" s="18" t="inlineStr">
        <is>
          <t>1-1/4''</t>
        </is>
      </c>
      <c r="E480" s="98" t="n">
        <v>32</v>
      </c>
      <c r="F480" s="18" t="inlineStr">
        <is>
          <t>160</t>
        </is>
      </c>
      <c r="G480" s="20" t="n">
        <v>1.66</v>
      </c>
      <c r="H480" s="82" t="n">
        <v>42.16</v>
      </c>
      <c r="I480" s="20" t="n">
        <v>0.25</v>
      </c>
      <c r="J480" s="82" t="n">
        <v>6.35</v>
      </c>
      <c r="K480" s="20">
        <f>ROUND((H480-J480)*J480*IF(B480="Carbon Steel",$K$7,IF(B480="Stainless Steel 304",$K$8,$L$8)), 3)</f>
        <v/>
      </c>
      <c r="L480" s="82">
        <f>ROUND(K480*$G$5, 2)</f>
        <v/>
      </c>
      <c r="M480" s="98">
        <f>INT($G$6/H480)</f>
        <v/>
      </c>
      <c r="N480" s="98">
        <f>IF(M480=0, 0, IF(OR($K$6="Square Grid", M480=1), INT($G$7/H480), IF($G$7&lt;H480, 0, 1+INT(($G$7-H480)/(0.8660254*H480)))))</f>
        <v/>
      </c>
      <c r="O480" s="84">
        <f>IF(OR(M480=0,N480=0), 0, IF(OR($K$6="Square Grid", M480=1), M480*N480*$K$5, (INT((N480+1)/2)*M480 + INT(N480/2)*IF(($G$6-M480*H480)&gt;=0.5*H480, M480, M480-1))*$K$5))</f>
        <v/>
      </c>
      <c r="P480" s="84">
        <f>IF(L480&lt;=0, 0, INT($G$8/L480))</f>
        <v/>
      </c>
      <c r="Q480" s="95">
        <f>MIN(O480, P480)</f>
        <v/>
      </c>
      <c r="R480" s="96">
        <f>ROUND((Q480*L480)/1000, 2)</f>
        <v/>
      </c>
      <c r="S480" s="85">
        <f>IF($C$8&gt;0, R480/$C$8, 0)</f>
        <v/>
      </c>
      <c r="T480" s="85">
        <f>IF(O480&gt;0, Q480/O480, 0)</f>
        <v/>
      </c>
      <c r="U480" s="18">
        <f>IF(Q480=0, "Exceeds Limit", IF(P480&lt;=O480, "Weight Limited", "Volume Limited"))</f>
        <v/>
      </c>
      <c r="V480" s="100">
        <f>B480&amp;"|"&amp;D480&amp;"|"&amp;F480</f>
        <v/>
      </c>
    </row>
    <row r="481" ht="19" customHeight="1">
      <c r="A481" s="93" t="n">
        <v>471</v>
      </c>
      <c r="B481" s="101" t="inlineStr">
        <is>
          <t>Stainless Steel 304</t>
        </is>
      </c>
      <c r="C481" s="13" t="inlineStr">
        <is>
          <t>ASME B36.19M / B36.10M</t>
        </is>
      </c>
      <c r="D481" s="12" t="inlineStr">
        <is>
          <t>1-1/4''</t>
        </is>
      </c>
      <c r="E481" s="93" t="n">
        <v>32</v>
      </c>
      <c r="F481" s="12" t="inlineStr">
        <is>
          <t>XXS</t>
        </is>
      </c>
      <c r="G481" s="14" t="n">
        <v>1.66</v>
      </c>
      <c r="H481" s="78" t="n">
        <v>42.16</v>
      </c>
      <c r="I481" s="14" t="n">
        <v>0.382</v>
      </c>
      <c r="J481" s="78" t="n">
        <v>9.699999999999999</v>
      </c>
      <c r="K481" s="14">
        <f>ROUND((H481-J481)*J481*IF(B481="Carbon Steel",$K$7,IF(B481="Stainless Steel 304",$K$8,$L$8)), 3)</f>
        <v/>
      </c>
      <c r="L481" s="78">
        <f>ROUND(K481*$G$5, 2)</f>
        <v/>
      </c>
      <c r="M481" s="93">
        <f>INT($G$6/H481)</f>
        <v/>
      </c>
      <c r="N481" s="93">
        <f>IF(M481=0, 0, IF(OR($K$6="Square Grid", M481=1), INT($G$7/H481), IF($G$7&lt;H481, 0, 1+INT(($G$7-H481)/(0.8660254*H481)))))</f>
        <v/>
      </c>
      <c r="O481" s="59">
        <f>IF(OR(M481=0,N481=0), 0, IF(OR($K$6="Square Grid", M481=1), M481*N481*$K$5, (INT((N481+1)/2)*M481 + INT(N481/2)*IF(($G$6-M481*H481)&gt;=0.5*H481, M481, M481-1))*$K$5))</f>
        <v/>
      </c>
      <c r="P481" s="59">
        <f>IF(L481&lt;=0, 0, INT($G$8/L481))</f>
        <v/>
      </c>
      <c r="Q481" s="95">
        <f>MIN(O481, P481)</f>
        <v/>
      </c>
      <c r="R481" s="96">
        <f>ROUND((Q481*L481)/1000, 2)</f>
        <v/>
      </c>
      <c r="S481" s="79">
        <f>IF($C$8&gt;0, R481/$C$8, 0)</f>
        <v/>
      </c>
      <c r="T481" s="79">
        <f>IF(O481&gt;0, Q481/O481, 0)</f>
        <v/>
      </c>
      <c r="U481" s="12">
        <f>IF(Q481=0, "Exceeds Limit", IF(P481&lt;=O481, "Weight Limited", "Volume Limited"))</f>
        <v/>
      </c>
      <c r="V481" s="97">
        <f>B481&amp;"|"&amp;D481&amp;"|"&amp;F481</f>
        <v/>
      </c>
    </row>
    <row r="482" ht="19" customHeight="1">
      <c r="A482" s="98" t="n">
        <v>472</v>
      </c>
      <c r="B482" s="102" t="inlineStr">
        <is>
          <t>Stainless Steel 304</t>
        </is>
      </c>
      <c r="C482" s="19" t="inlineStr">
        <is>
          <t>ASME B36.19M / B36.10M</t>
        </is>
      </c>
      <c r="D482" s="18" t="inlineStr">
        <is>
          <t>1-1/2''</t>
        </is>
      </c>
      <c r="E482" s="98" t="n">
        <v>40</v>
      </c>
      <c r="F482" s="18" t="inlineStr">
        <is>
          <t>5S</t>
        </is>
      </c>
      <c r="G482" s="20" t="n">
        <v>1.9</v>
      </c>
      <c r="H482" s="82" t="n">
        <v>48.26</v>
      </c>
      <c r="I482" s="20" t="n">
        <v>0.065</v>
      </c>
      <c r="J482" s="82" t="n">
        <v>1.65</v>
      </c>
      <c r="K482" s="20">
        <f>ROUND((H482-J482)*J482*IF(B482="Carbon Steel",$K$7,IF(B482="Stainless Steel 304",$K$8,$L$8)), 3)</f>
        <v/>
      </c>
      <c r="L482" s="82">
        <f>ROUND(K482*$G$5, 2)</f>
        <v/>
      </c>
      <c r="M482" s="98">
        <f>INT($G$6/H482)</f>
        <v/>
      </c>
      <c r="N482" s="98">
        <f>IF(M482=0, 0, IF(OR($K$6="Square Grid", M482=1), INT($G$7/H482), IF($G$7&lt;H482, 0, 1+INT(($G$7-H482)/(0.8660254*H482)))))</f>
        <v/>
      </c>
      <c r="O482" s="84">
        <f>IF(OR(M482=0,N482=0), 0, IF(OR($K$6="Square Grid", M482=1), M482*N482*$K$5, (INT((N482+1)/2)*M482 + INT(N482/2)*IF(($G$6-M482*H482)&gt;=0.5*H482, M482, M482-1))*$K$5))</f>
        <v/>
      </c>
      <c r="P482" s="84">
        <f>IF(L482&lt;=0, 0, INT($G$8/L482))</f>
        <v/>
      </c>
      <c r="Q482" s="95">
        <f>MIN(O482, P482)</f>
        <v/>
      </c>
      <c r="R482" s="96">
        <f>ROUND((Q482*L482)/1000, 2)</f>
        <v/>
      </c>
      <c r="S482" s="85">
        <f>IF($C$8&gt;0, R482/$C$8, 0)</f>
        <v/>
      </c>
      <c r="T482" s="85">
        <f>IF(O482&gt;0, Q482/O482, 0)</f>
        <v/>
      </c>
      <c r="U482" s="18">
        <f>IF(Q482=0, "Exceeds Limit", IF(P482&lt;=O482, "Weight Limited", "Volume Limited"))</f>
        <v/>
      </c>
      <c r="V482" s="100">
        <f>B482&amp;"|"&amp;D482&amp;"|"&amp;F482</f>
        <v/>
      </c>
    </row>
    <row r="483" ht="19" customHeight="1">
      <c r="A483" s="93" t="n">
        <v>473</v>
      </c>
      <c r="B483" s="101" t="inlineStr">
        <is>
          <t>Stainless Steel 304</t>
        </is>
      </c>
      <c r="C483" s="13" t="inlineStr">
        <is>
          <t>ASME B36.19M / B36.10M</t>
        </is>
      </c>
      <c r="D483" s="12" t="inlineStr">
        <is>
          <t>1-1/2''</t>
        </is>
      </c>
      <c r="E483" s="93" t="n">
        <v>40</v>
      </c>
      <c r="F483" s="12" t="inlineStr">
        <is>
          <t>5</t>
        </is>
      </c>
      <c r="G483" s="14" t="n">
        <v>1.9</v>
      </c>
      <c r="H483" s="78" t="n">
        <v>48.26</v>
      </c>
      <c r="I483" s="14" t="n">
        <v>0.065</v>
      </c>
      <c r="J483" s="78" t="n">
        <v>1.65</v>
      </c>
      <c r="K483" s="14">
        <f>ROUND((H483-J483)*J483*IF(B483="Carbon Steel",$K$7,IF(B483="Stainless Steel 304",$K$8,$L$8)), 3)</f>
        <v/>
      </c>
      <c r="L483" s="78">
        <f>ROUND(K483*$G$5, 2)</f>
        <v/>
      </c>
      <c r="M483" s="93">
        <f>INT($G$6/H483)</f>
        <v/>
      </c>
      <c r="N483" s="93">
        <f>IF(M483=0, 0, IF(OR($K$6="Square Grid", M483=1), INT($G$7/H483), IF($G$7&lt;H483, 0, 1+INT(($G$7-H483)/(0.8660254*H483)))))</f>
        <v/>
      </c>
      <c r="O483" s="59">
        <f>IF(OR(M483=0,N483=0), 0, IF(OR($K$6="Square Grid", M483=1), M483*N483*$K$5, (INT((N483+1)/2)*M483 + INT(N483/2)*IF(($G$6-M483*H483)&gt;=0.5*H483, M483, M483-1))*$K$5))</f>
        <v/>
      </c>
      <c r="P483" s="59">
        <f>IF(L483&lt;=0, 0, INT($G$8/L483))</f>
        <v/>
      </c>
      <c r="Q483" s="95">
        <f>MIN(O483, P483)</f>
        <v/>
      </c>
      <c r="R483" s="96">
        <f>ROUND((Q483*L483)/1000, 2)</f>
        <v/>
      </c>
      <c r="S483" s="79">
        <f>IF($C$8&gt;0, R483/$C$8, 0)</f>
        <v/>
      </c>
      <c r="T483" s="79">
        <f>IF(O483&gt;0, Q483/O483, 0)</f>
        <v/>
      </c>
      <c r="U483" s="12">
        <f>IF(Q483=0, "Exceeds Limit", IF(P483&lt;=O483, "Weight Limited", "Volume Limited"))</f>
        <v/>
      </c>
      <c r="V483" s="97">
        <f>B483&amp;"|"&amp;D483&amp;"|"&amp;F483</f>
        <v/>
      </c>
    </row>
    <row r="484" ht="19" customHeight="1">
      <c r="A484" s="98" t="n">
        <v>474</v>
      </c>
      <c r="B484" s="102" t="inlineStr">
        <is>
          <t>Stainless Steel 304</t>
        </is>
      </c>
      <c r="C484" s="19" t="inlineStr">
        <is>
          <t>ASME B36.19M / B36.10M</t>
        </is>
      </c>
      <c r="D484" s="18" t="inlineStr">
        <is>
          <t>1-1/2''</t>
        </is>
      </c>
      <c r="E484" s="98" t="n">
        <v>40</v>
      </c>
      <c r="F484" s="18" t="inlineStr">
        <is>
          <t>10S</t>
        </is>
      </c>
      <c r="G484" s="20" t="n">
        <v>1.9</v>
      </c>
      <c r="H484" s="82" t="n">
        <v>48.26</v>
      </c>
      <c r="I484" s="20" t="n">
        <v>0.109</v>
      </c>
      <c r="J484" s="82" t="n">
        <v>2.77</v>
      </c>
      <c r="K484" s="20">
        <f>ROUND((H484-J484)*J484*IF(B484="Carbon Steel",$K$7,IF(B484="Stainless Steel 304",$K$8,$L$8)), 3)</f>
        <v/>
      </c>
      <c r="L484" s="82">
        <f>ROUND(K484*$G$5, 2)</f>
        <v/>
      </c>
      <c r="M484" s="98">
        <f>INT($G$6/H484)</f>
        <v/>
      </c>
      <c r="N484" s="98">
        <f>IF(M484=0, 0, IF(OR($K$6="Square Grid", M484=1), INT($G$7/H484), IF($G$7&lt;H484, 0, 1+INT(($G$7-H484)/(0.8660254*H484)))))</f>
        <v/>
      </c>
      <c r="O484" s="84">
        <f>IF(OR(M484=0,N484=0), 0, IF(OR($K$6="Square Grid", M484=1), M484*N484*$K$5, (INT((N484+1)/2)*M484 + INT(N484/2)*IF(($G$6-M484*H484)&gt;=0.5*H484, M484, M484-1))*$K$5))</f>
        <v/>
      </c>
      <c r="P484" s="84">
        <f>IF(L484&lt;=0, 0, INT($G$8/L484))</f>
        <v/>
      </c>
      <c r="Q484" s="95">
        <f>MIN(O484, P484)</f>
        <v/>
      </c>
      <c r="R484" s="96">
        <f>ROUND((Q484*L484)/1000, 2)</f>
        <v/>
      </c>
      <c r="S484" s="85">
        <f>IF($C$8&gt;0, R484/$C$8, 0)</f>
        <v/>
      </c>
      <c r="T484" s="85">
        <f>IF(O484&gt;0, Q484/O484, 0)</f>
        <v/>
      </c>
      <c r="U484" s="18">
        <f>IF(Q484=0, "Exceeds Limit", IF(P484&lt;=O484, "Weight Limited", "Volume Limited"))</f>
        <v/>
      </c>
      <c r="V484" s="100">
        <f>B484&amp;"|"&amp;D484&amp;"|"&amp;F484</f>
        <v/>
      </c>
    </row>
    <row r="485" ht="19" customHeight="1">
      <c r="A485" s="93" t="n">
        <v>475</v>
      </c>
      <c r="B485" s="101" t="inlineStr">
        <is>
          <t>Stainless Steel 304</t>
        </is>
      </c>
      <c r="C485" s="13" t="inlineStr">
        <is>
          <t>ASME B36.19M / B36.10M</t>
        </is>
      </c>
      <c r="D485" s="12" t="inlineStr">
        <is>
          <t>1-1/2''</t>
        </is>
      </c>
      <c r="E485" s="93" t="n">
        <v>40</v>
      </c>
      <c r="F485" s="12" t="inlineStr">
        <is>
          <t>10</t>
        </is>
      </c>
      <c r="G485" s="14" t="n">
        <v>1.9</v>
      </c>
      <c r="H485" s="78" t="n">
        <v>48.26</v>
      </c>
      <c r="I485" s="14" t="n">
        <v>0.109</v>
      </c>
      <c r="J485" s="78" t="n">
        <v>2.77</v>
      </c>
      <c r="K485" s="14">
        <f>ROUND((H485-J485)*J485*IF(B485="Carbon Steel",$K$7,IF(B485="Stainless Steel 304",$K$8,$L$8)), 3)</f>
        <v/>
      </c>
      <c r="L485" s="78">
        <f>ROUND(K485*$G$5, 2)</f>
        <v/>
      </c>
      <c r="M485" s="93">
        <f>INT($G$6/H485)</f>
        <v/>
      </c>
      <c r="N485" s="93">
        <f>IF(M485=0, 0, IF(OR($K$6="Square Grid", M485=1), INT($G$7/H485), IF($G$7&lt;H485, 0, 1+INT(($G$7-H485)/(0.8660254*H485)))))</f>
        <v/>
      </c>
      <c r="O485" s="59">
        <f>IF(OR(M485=0,N485=0), 0, IF(OR($K$6="Square Grid", M485=1), M485*N485*$K$5, (INT((N485+1)/2)*M485 + INT(N485/2)*IF(($G$6-M485*H485)&gt;=0.5*H485, M485, M485-1))*$K$5))</f>
        <v/>
      </c>
      <c r="P485" s="59">
        <f>IF(L485&lt;=0, 0, INT($G$8/L485))</f>
        <v/>
      </c>
      <c r="Q485" s="95">
        <f>MIN(O485, P485)</f>
        <v/>
      </c>
      <c r="R485" s="96">
        <f>ROUND((Q485*L485)/1000, 2)</f>
        <v/>
      </c>
      <c r="S485" s="79">
        <f>IF($C$8&gt;0, R485/$C$8, 0)</f>
        <v/>
      </c>
      <c r="T485" s="79">
        <f>IF(O485&gt;0, Q485/O485, 0)</f>
        <v/>
      </c>
      <c r="U485" s="12">
        <f>IF(Q485=0, "Exceeds Limit", IF(P485&lt;=O485, "Weight Limited", "Volume Limited"))</f>
        <v/>
      </c>
      <c r="V485" s="97">
        <f>B485&amp;"|"&amp;D485&amp;"|"&amp;F485</f>
        <v/>
      </c>
    </row>
    <row r="486" ht="19" customHeight="1">
      <c r="A486" s="98" t="n">
        <v>476</v>
      </c>
      <c r="B486" s="102" t="inlineStr">
        <is>
          <t>Stainless Steel 304</t>
        </is>
      </c>
      <c r="C486" s="19" t="inlineStr">
        <is>
          <t>ASME B36.19M / B36.10M</t>
        </is>
      </c>
      <c r="D486" s="18" t="inlineStr">
        <is>
          <t>1-1/2''</t>
        </is>
      </c>
      <c r="E486" s="98" t="n">
        <v>40</v>
      </c>
      <c r="F486" s="18" t="inlineStr">
        <is>
          <t>30</t>
        </is>
      </c>
      <c r="G486" s="20" t="n">
        <v>1.9</v>
      </c>
      <c r="H486" s="82" t="n">
        <v>48.26</v>
      </c>
      <c r="I486" s="20" t="n">
        <v>0.125</v>
      </c>
      <c r="J486" s="82" t="n">
        <v>3.17</v>
      </c>
      <c r="K486" s="20">
        <f>ROUND((H486-J486)*J486*IF(B486="Carbon Steel",$K$7,IF(B486="Stainless Steel 304",$K$8,$L$8)), 3)</f>
        <v/>
      </c>
      <c r="L486" s="82">
        <f>ROUND(K486*$G$5, 2)</f>
        <v/>
      </c>
      <c r="M486" s="98">
        <f>INT($G$6/H486)</f>
        <v/>
      </c>
      <c r="N486" s="98">
        <f>IF(M486=0, 0, IF(OR($K$6="Square Grid", M486=1), INT($G$7/H486), IF($G$7&lt;H486, 0, 1+INT(($G$7-H486)/(0.8660254*H486)))))</f>
        <v/>
      </c>
      <c r="O486" s="84">
        <f>IF(OR(M486=0,N486=0), 0, IF(OR($K$6="Square Grid", M486=1), M486*N486*$K$5, (INT((N486+1)/2)*M486 + INT(N486/2)*IF(($G$6-M486*H486)&gt;=0.5*H486, M486, M486-1))*$K$5))</f>
        <v/>
      </c>
      <c r="P486" s="84">
        <f>IF(L486&lt;=0, 0, INT($G$8/L486))</f>
        <v/>
      </c>
      <c r="Q486" s="95">
        <f>MIN(O486, P486)</f>
        <v/>
      </c>
      <c r="R486" s="96">
        <f>ROUND((Q486*L486)/1000, 2)</f>
        <v/>
      </c>
      <c r="S486" s="85">
        <f>IF($C$8&gt;0, R486/$C$8, 0)</f>
        <v/>
      </c>
      <c r="T486" s="85">
        <f>IF(O486&gt;0, Q486/O486, 0)</f>
        <v/>
      </c>
      <c r="U486" s="18">
        <f>IF(Q486=0, "Exceeds Limit", IF(P486&lt;=O486, "Weight Limited", "Volume Limited"))</f>
        <v/>
      </c>
      <c r="V486" s="100">
        <f>B486&amp;"|"&amp;D486&amp;"|"&amp;F486</f>
        <v/>
      </c>
    </row>
    <row r="487" ht="19" customHeight="1">
      <c r="A487" s="93" t="n">
        <v>477</v>
      </c>
      <c r="B487" s="101" t="inlineStr">
        <is>
          <t>Stainless Steel 304</t>
        </is>
      </c>
      <c r="C487" s="13" t="inlineStr">
        <is>
          <t>ASME B36.19M / B36.10M</t>
        </is>
      </c>
      <c r="D487" s="12" t="inlineStr">
        <is>
          <t>1-1/2''</t>
        </is>
      </c>
      <c r="E487" s="93" t="n">
        <v>40</v>
      </c>
      <c r="F487" s="12" t="inlineStr">
        <is>
          <t>40S</t>
        </is>
      </c>
      <c r="G487" s="14" t="n">
        <v>1.9</v>
      </c>
      <c r="H487" s="78" t="n">
        <v>48.26</v>
      </c>
      <c r="I487" s="14" t="n">
        <v>0.145</v>
      </c>
      <c r="J487" s="78" t="n">
        <v>3.68</v>
      </c>
      <c r="K487" s="14">
        <f>ROUND((H487-J487)*J487*IF(B487="Carbon Steel",$K$7,IF(B487="Stainless Steel 304",$K$8,$L$8)), 3)</f>
        <v/>
      </c>
      <c r="L487" s="78">
        <f>ROUND(K487*$G$5, 2)</f>
        <v/>
      </c>
      <c r="M487" s="93">
        <f>INT($G$6/H487)</f>
        <v/>
      </c>
      <c r="N487" s="93">
        <f>IF(M487=0, 0, IF(OR($K$6="Square Grid", M487=1), INT($G$7/H487), IF($G$7&lt;H487, 0, 1+INT(($G$7-H487)/(0.8660254*H487)))))</f>
        <v/>
      </c>
      <c r="O487" s="59">
        <f>IF(OR(M487=0,N487=0), 0, IF(OR($K$6="Square Grid", M487=1), M487*N487*$K$5, (INT((N487+1)/2)*M487 + INT(N487/2)*IF(($G$6-M487*H487)&gt;=0.5*H487, M487, M487-1))*$K$5))</f>
        <v/>
      </c>
      <c r="P487" s="59">
        <f>IF(L487&lt;=0, 0, INT($G$8/L487))</f>
        <v/>
      </c>
      <c r="Q487" s="95">
        <f>MIN(O487, P487)</f>
        <v/>
      </c>
      <c r="R487" s="96">
        <f>ROUND((Q487*L487)/1000, 2)</f>
        <v/>
      </c>
      <c r="S487" s="79">
        <f>IF($C$8&gt;0, R487/$C$8, 0)</f>
        <v/>
      </c>
      <c r="T487" s="79">
        <f>IF(O487&gt;0, Q487/O487, 0)</f>
        <v/>
      </c>
      <c r="U487" s="12">
        <f>IF(Q487=0, "Exceeds Limit", IF(P487&lt;=O487, "Weight Limited", "Volume Limited"))</f>
        <v/>
      </c>
      <c r="V487" s="97">
        <f>B487&amp;"|"&amp;D487&amp;"|"&amp;F487</f>
        <v/>
      </c>
    </row>
    <row r="488" ht="19" customHeight="1">
      <c r="A488" s="98" t="n">
        <v>478</v>
      </c>
      <c r="B488" s="102" t="inlineStr">
        <is>
          <t>Stainless Steel 304</t>
        </is>
      </c>
      <c r="C488" s="19" t="inlineStr">
        <is>
          <t>ASME B36.19M / B36.10M</t>
        </is>
      </c>
      <c r="D488" s="18" t="inlineStr">
        <is>
          <t>1-1/2''</t>
        </is>
      </c>
      <c r="E488" s="98" t="n">
        <v>40</v>
      </c>
      <c r="F488" s="18" t="inlineStr">
        <is>
          <t>STD</t>
        </is>
      </c>
      <c r="G488" s="20" t="n">
        <v>1.9</v>
      </c>
      <c r="H488" s="82" t="n">
        <v>48.26</v>
      </c>
      <c r="I488" s="20" t="n">
        <v>0.145</v>
      </c>
      <c r="J488" s="82" t="n">
        <v>3.68</v>
      </c>
      <c r="K488" s="20">
        <f>ROUND((H488-J488)*J488*IF(B488="Carbon Steel",$K$7,IF(B488="Stainless Steel 304",$K$8,$L$8)), 3)</f>
        <v/>
      </c>
      <c r="L488" s="82">
        <f>ROUND(K488*$G$5, 2)</f>
        <v/>
      </c>
      <c r="M488" s="98">
        <f>INT($G$6/H488)</f>
        <v/>
      </c>
      <c r="N488" s="98">
        <f>IF(M488=0, 0, IF(OR($K$6="Square Grid", M488=1), INT($G$7/H488), IF($G$7&lt;H488, 0, 1+INT(($G$7-H488)/(0.8660254*H488)))))</f>
        <v/>
      </c>
      <c r="O488" s="84">
        <f>IF(OR(M488=0,N488=0), 0, IF(OR($K$6="Square Grid", M488=1), M488*N488*$K$5, (INT((N488+1)/2)*M488 + INT(N488/2)*IF(($G$6-M488*H488)&gt;=0.5*H488, M488, M488-1))*$K$5))</f>
        <v/>
      </c>
      <c r="P488" s="84">
        <f>IF(L488&lt;=0, 0, INT($G$8/L488))</f>
        <v/>
      </c>
      <c r="Q488" s="95">
        <f>MIN(O488, P488)</f>
        <v/>
      </c>
      <c r="R488" s="96">
        <f>ROUND((Q488*L488)/1000, 2)</f>
        <v/>
      </c>
      <c r="S488" s="85">
        <f>IF($C$8&gt;0, R488/$C$8, 0)</f>
        <v/>
      </c>
      <c r="T488" s="85">
        <f>IF(O488&gt;0, Q488/O488, 0)</f>
        <v/>
      </c>
      <c r="U488" s="18">
        <f>IF(Q488=0, "Exceeds Limit", IF(P488&lt;=O488, "Weight Limited", "Volume Limited"))</f>
        <v/>
      </c>
      <c r="V488" s="100">
        <f>B488&amp;"|"&amp;D488&amp;"|"&amp;F488</f>
        <v/>
      </c>
    </row>
    <row r="489" ht="19" customHeight="1">
      <c r="A489" s="93" t="n">
        <v>479</v>
      </c>
      <c r="B489" s="101" t="inlineStr">
        <is>
          <t>Stainless Steel 304</t>
        </is>
      </c>
      <c r="C489" s="13" t="inlineStr">
        <is>
          <t>ASME B36.19M / B36.10M</t>
        </is>
      </c>
      <c r="D489" s="12" t="inlineStr">
        <is>
          <t>1-1/2''</t>
        </is>
      </c>
      <c r="E489" s="93" t="n">
        <v>40</v>
      </c>
      <c r="F489" s="12" t="inlineStr">
        <is>
          <t>40</t>
        </is>
      </c>
      <c r="G489" s="14" t="n">
        <v>1.9</v>
      </c>
      <c r="H489" s="78" t="n">
        <v>48.26</v>
      </c>
      <c r="I489" s="14" t="n">
        <v>0.145</v>
      </c>
      <c r="J489" s="78" t="n">
        <v>3.68</v>
      </c>
      <c r="K489" s="14">
        <f>ROUND((H489-J489)*J489*IF(B489="Carbon Steel",$K$7,IF(B489="Stainless Steel 304",$K$8,$L$8)), 3)</f>
        <v/>
      </c>
      <c r="L489" s="78">
        <f>ROUND(K489*$G$5, 2)</f>
        <v/>
      </c>
      <c r="M489" s="93">
        <f>INT($G$6/H489)</f>
        <v/>
      </c>
      <c r="N489" s="93">
        <f>IF(M489=0, 0, IF(OR($K$6="Square Grid", M489=1), INT($G$7/H489), IF($G$7&lt;H489, 0, 1+INT(($G$7-H489)/(0.8660254*H489)))))</f>
        <v/>
      </c>
      <c r="O489" s="59">
        <f>IF(OR(M489=0,N489=0), 0, IF(OR($K$6="Square Grid", M489=1), M489*N489*$K$5, (INT((N489+1)/2)*M489 + INT(N489/2)*IF(($G$6-M489*H489)&gt;=0.5*H489, M489, M489-1))*$K$5))</f>
        <v/>
      </c>
      <c r="P489" s="59">
        <f>IF(L489&lt;=0, 0, INT($G$8/L489))</f>
        <v/>
      </c>
      <c r="Q489" s="95">
        <f>MIN(O489, P489)</f>
        <v/>
      </c>
      <c r="R489" s="96">
        <f>ROUND((Q489*L489)/1000, 2)</f>
        <v/>
      </c>
      <c r="S489" s="79">
        <f>IF($C$8&gt;0, R489/$C$8, 0)</f>
        <v/>
      </c>
      <c r="T489" s="79">
        <f>IF(O489&gt;0, Q489/O489, 0)</f>
        <v/>
      </c>
      <c r="U489" s="12">
        <f>IF(Q489=0, "Exceeds Limit", IF(P489&lt;=O489, "Weight Limited", "Volume Limited"))</f>
        <v/>
      </c>
      <c r="V489" s="97">
        <f>B489&amp;"|"&amp;D489&amp;"|"&amp;F489</f>
        <v/>
      </c>
    </row>
    <row r="490" ht="19" customHeight="1">
      <c r="A490" s="98" t="n">
        <v>480</v>
      </c>
      <c r="B490" s="102" t="inlineStr">
        <is>
          <t>Stainless Steel 304</t>
        </is>
      </c>
      <c r="C490" s="19" t="inlineStr">
        <is>
          <t>ASME B36.19M / B36.10M</t>
        </is>
      </c>
      <c r="D490" s="18" t="inlineStr">
        <is>
          <t>1-1/2''</t>
        </is>
      </c>
      <c r="E490" s="98" t="n">
        <v>40</v>
      </c>
      <c r="F490" s="18" t="inlineStr">
        <is>
          <t>80S</t>
        </is>
      </c>
      <c r="G490" s="20" t="n">
        <v>1.9</v>
      </c>
      <c r="H490" s="82" t="n">
        <v>48.26</v>
      </c>
      <c r="I490" s="20" t="n">
        <v>0.2</v>
      </c>
      <c r="J490" s="82" t="n">
        <v>5.08</v>
      </c>
      <c r="K490" s="20">
        <f>ROUND((H490-J490)*J490*IF(B490="Carbon Steel",$K$7,IF(B490="Stainless Steel 304",$K$8,$L$8)), 3)</f>
        <v/>
      </c>
      <c r="L490" s="82">
        <f>ROUND(K490*$G$5, 2)</f>
        <v/>
      </c>
      <c r="M490" s="98">
        <f>INT($G$6/H490)</f>
        <v/>
      </c>
      <c r="N490" s="98">
        <f>IF(M490=0, 0, IF(OR($K$6="Square Grid", M490=1), INT($G$7/H490), IF($G$7&lt;H490, 0, 1+INT(($G$7-H490)/(0.8660254*H490)))))</f>
        <v/>
      </c>
      <c r="O490" s="84">
        <f>IF(OR(M490=0,N490=0), 0, IF(OR($K$6="Square Grid", M490=1), M490*N490*$K$5, (INT((N490+1)/2)*M490 + INT(N490/2)*IF(($G$6-M490*H490)&gt;=0.5*H490, M490, M490-1))*$K$5))</f>
        <v/>
      </c>
      <c r="P490" s="84">
        <f>IF(L490&lt;=0, 0, INT($G$8/L490))</f>
        <v/>
      </c>
      <c r="Q490" s="95">
        <f>MIN(O490, P490)</f>
        <v/>
      </c>
      <c r="R490" s="96">
        <f>ROUND((Q490*L490)/1000, 2)</f>
        <v/>
      </c>
      <c r="S490" s="85">
        <f>IF($C$8&gt;0, R490/$C$8, 0)</f>
        <v/>
      </c>
      <c r="T490" s="85">
        <f>IF(O490&gt;0, Q490/O490, 0)</f>
        <v/>
      </c>
      <c r="U490" s="18">
        <f>IF(Q490=0, "Exceeds Limit", IF(P490&lt;=O490, "Weight Limited", "Volume Limited"))</f>
        <v/>
      </c>
      <c r="V490" s="100">
        <f>B490&amp;"|"&amp;D490&amp;"|"&amp;F490</f>
        <v/>
      </c>
    </row>
    <row r="491" ht="19" customHeight="1">
      <c r="A491" s="93" t="n">
        <v>481</v>
      </c>
      <c r="B491" s="101" t="inlineStr">
        <is>
          <t>Stainless Steel 304</t>
        </is>
      </c>
      <c r="C491" s="13" t="inlineStr">
        <is>
          <t>ASME B36.19M / B36.10M</t>
        </is>
      </c>
      <c r="D491" s="12" t="inlineStr">
        <is>
          <t>1-1/2''</t>
        </is>
      </c>
      <c r="E491" s="93" t="n">
        <v>40</v>
      </c>
      <c r="F491" s="12" t="inlineStr">
        <is>
          <t>XS</t>
        </is>
      </c>
      <c r="G491" s="14" t="n">
        <v>1.9</v>
      </c>
      <c r="H491" s="78" t="n">
        <v>48.26</v>
      </c>
      <c r="I491" s="14" t="n">
        <v>0.2</v>
      </c>
      <c r="J491" s="78" t="n">
        <v>5.08</v>
      </c>
      <c r="K491" s="14">
        <f>ROUND((H491-J491)*J491*IF(B491="Carbon Steel",$K$7,IF(B491="Stainless Steel 304",$K$8,$L$8)), 3)</f>
        <v/>
      </c>
      <c r="L491" s="78">
        <f>ROUND(K491*$G$5, 2)</f>
        <v/>
      </c>
      <c r="M491" s="93">
        <f>INT($G$6/H491)</f>
        <v/>
      </c>
      <c r="N491" s="93">
        <f>IF(M491=0, 0, IF(OR($K$6="Square Grid", M491=1), INT($G$7/H491), IF($G$7&lt;H491, 0, 1+INT(($G$7-H491)/(0.8660254*H491)))))</f>
        <v/>
      </c>
      <c r="O491" s="59">
        <f>IF(OR(M491=0,N491=0), 0, IF(OR($K$6="Square Grid", M491=1), M491*N491*$K$5, (INT((N491+1)/2)*M491 + INT(N491/2)*IF(($G$6-M491*H491)&gt;=0.5*H491, M491, M491-1))*$K$5))</f>
        <v/>
      </c>
      <c r="P491" s="59">
        <f>IF(L491&lt;=0, 0, INT($G$8/L491))</f>
        <v/>
      </c>
      <c r="Q491" s="95">
        <f>MIN(O491, P491)</f>
        <v/>
      </c>
      <c r="R491" s="96">
        <f>ROUND((Q491*L491)/1000, 2)</f>
        <v/>
      </c>
      <c r="S491" s="79">
        <f>IF($C$8&gt;0, R491/$C$8, 0)</f>
        <v/>
      </c>
      <c r="T491" s="79">
        <f>IF(O491&gt;0, Q491/O491, 0)</f>
        <v/>
      </c>
      <c r="U491" s="12">
        <f>IF(Q491=0, "Exceeds Limit", IF(P491&lt;=O491, "Weight Limited", "Volume Limited"))</f>
        <v/>
      </c>
      <c r="V491" s="97">
        <f>B491&amp;"|"&amp;D491&amp;"|"&amp;F491</f>
        <v/>
      </c>
    </row>
    <row r="492" ht="19" customHeight="1">
      <c r="A492" s="98" t="n">
        <v>482</v>
      </c>
      <c r="B492" s="102" t="inlineStr">
        <is>
          <t>Stainless Steel 304</t>
        </is>
      </c>
      <c r="C492" s="19" t="inlineStr">
        <is>
          <t>ASME B36.19M / B36.10M</t>
        </is>
      </c>
      <c r="D492" s="18" t="inlineStr">
        <is>
          <t>1-1/2''</t>
        </is>
      </c>
      <c r="E492" s="98" t="n">
        <v>40</v>
      </c>
      <c r="F492" s="18" t="inlineStr">
        <is>
          <t>80</t>
        </is>
      </c>
      <c r="G492" s="20" t="n">
        <v>1.9</v>
      </c>
      <c r="H492" s="82" t="n">
        <v>48.26</v>
      </c>
      <c r="I492" s="20" t="n">
        <v>0.2</v>
      </c>
      <c r="J492" s="82" t="n">
        <v>5.08</v>
      </c>
      <c r="K492" s="20">
        <f>ROUND((H492-J492)*J492*IF(B492="Carbon Steel",$K$7,IF(B492="Stainless Steel 304",$K$8,$L$8)), 3)</f>
        <v/>
      </c>
      <c r="L492" s="82">
        <f>ROUND(K492*$G$5, 2)</f>
        <v/>
      </c>
      <c r="M492" s="98">
        <f>INT($G$6/H492)</f>
        <v/>
      </c>
      <c r="N492" s="98">
        <f>IF(M492=0, 0, IF(OR($K$6="Square Grid", M492=1), INT($G$7/H492), IF($G$7&lt;H492, 0, 1+INT(($G$7-H492)/(0.8660254*H492)))))</f>
        <v/>
      </c>
      <c r="O492" s="84">
        <f>IF(OR(M492=0,N492=0), 0, IF(OR($K$6="Square Grid", M492=1), M492*N492*$K$5, (INT((N492+1)/2)*M492 + INT(N492/2)*IF(($G$6-M492*H492)&gt;=0.5*H492, M492, M492-1))*$K$5))</f>
        <v/>
      </c>
      <c r="P492" s="84">
        <f>IF(L492&lt;=0, 0, INT($G$8/L492))</f>
        <v/>
      </c>
      <c r="Q492" s="95">
        <f>MIN(O492, P492)</f>
        <v/>
      </c>
      <c r="R492" s="96">
        <f>ROUND((Q492*L492)/1000, 2)</f>
        <v/>
      </c>
      <c r="S492" s="85">
        <f>IF($C$8&gt;0, R492/$C$8, 0)</f>
        <v/>
      </c>
      <c r="T492" s="85">
        <f>IF(O492&gt;0, Q492/O492, 0)</f>
        <v/>
      </c>
      <c r="U492" s="18">
        <f>IF(Q492=0, "Exceeds Limit", IF(P492&lt;=O492, "Weight Limited", "Volume Limited"))</f>
        <v/>
      </c>
      <c r="V492" s="100">
        <f>B492&amp;"|"&amp;D492&amp;"|"&amp;F492</f>
        <v/>
      </c>
    </row>
    <row r="493" ht="19" customHeight="1">
      <c r="A493" s="93" t="n">
        <v>483</v>
      </c>
      <c r="B493" s="101" t="inlineStr">
        <is>
          <t>Stainless Steel 304</t>
        </is>
      </c>
      <c r="C493" s="13" t="inlineStr">
        <is>
          <t>ASME B36.19M / B36.10M</t>
        </is>
      </c>
      <c r="D493" s="12" t="inlineStr">
        <is>
          <t>1-1/2''</t>
        </is>
      </c>
      <c r="E493" s="93" t="n">
        <v>40</v>
      </c>
      <c r="F493" s="12" t="inlineStr">
        <is>
          <t>160</t>
        </is>
      </c>
      <c r="G493" s="14" t="n">
        <v>1.9</v>
      </c>
      <c r="H493" s="78" t="n">
        <v>48.26</v>
      </c>
      <c r="I493" s="14" t="n">
        <v>0.281</v>
      </c>
      <c r="J493" s="78" t="n">
        <v>7.14</v>
      </c>
      <c r="K493" s="14">
        <f>ROUND((H493-J493)*J493*IF(B493="Carbon Steel",$K$7,IF(B493="Stainless Steel 304",$K$8,$L$8)), 3)</f>
        <v/>
      </c>
      <c r="L493" s="78">
        <f>ROUND(K493*$G$5, 2)</f>
        <v/>
      </c>
      <c r="M493" s="93">
        <f>INT($G$6/H493)</f>
        <v/>
      </c>
      <c r="N493" s="93">
        <f>IF(M493=0, 0, IF(OR($K$6="Square Grid", M493=1), INT($G$7/H493), IF($G$7&lt;H493, 0, 1+INT(($G$7-H493)/(0.8660254*H493)))))</f>
        <v/>
      </c>
      <c r="O493" s="59">
        <f>IF(OR(M493=0,N493=0), 0, IF(OR($K$6="Square Grid", M493=1), M493*N493*$K$5, (INT((N493+1)/2)*M493 + INT(N493/2)*IF(($G$6-M493*H493)&gt;=0.5*H493, M493, M493-1))*$K$5))</f>
        <v/>
      </c>
      <c r="P493" s="59">
        <f>IF(L493&lt;=0, 0, INT($G$8/L493))</f>
        <v/>
      </c>
      <c r="Q493" s="95">
        <f>MIN(O493, P493)</f>
        <v/>
      </c>
      <c r="R493" s="96">
        <f>ROUND((Q493*L493)/1000, 2)</f>
        <v/>
      </c>
      <c r="S493" s="79">
        <f>IF($C$8&gt;0, R493/$C$8, 0)</f>
        <v/>
      </c>
      <c r="T493" s="79">
        <f>IF(O493&gt;0, Q493/O493, 0)</f>
        <v/>
      </c>
      <c r="U493" s="12">
        <f>IF(Q493=0, "Exceeds Limit", IF(P493&lt;=O493, "Weight Limited", "Volume Limited"))</f>
        <v/>
      </c>
      <c r="V493" s="97">
        <f>B493&amp;"|"&amp;D493&amp;"|"&amp;F493</f>
        <v/>
      </c>
    </row>
    <row r="494" ht="19" customHeight="1">
      <c r="A494" s="98" t="n">
        <v>484</v>
      </c>
      <c r="B494" s="102" t="inlineStr">
        <is>
          <t>Stainless Steel 304</t>
        </is>
      </c>
      <c r="C494" s="19" t="inlineStr">
        <is>
          <t>ASME B36.19M / B36.10M</t>
        </is>
      </c>
      <c r="D494" s="18" t="inlineStr">
        <is>
          <t>1-1/2''</t>
        </is>
      </c>
      <c r="E494" s="98" t="n">
        <v>40</v>
      </c>
      <c r="F494" s="18" t="inlineStr">
        <is>
          <t>XXS</t>
        </is>
      </c>
      <c r="G494" s="20" t="n">
        <v>1.9</v>
      </c>
      <c r="H494" s="82" t="n">
        <v>48.26</v>
      </c>
      <c r="I494" s="20" t="n">
        <v>0.4</v>
      </c>
      <c r="J494" s="82" t="n">
        <v>10.16</v>
      </c>
      <c r="K494" s="20">
        <f>ROUND((H494-J494)*J494*IF(B494="Carbon Steel",$K$7,IF(B494="Stainless Steel 304",$K$8,$L$8)), 3)</f>
        <v/>
      </c>
      <c r="L494" s="82">
        <f>ROUND(K494*$G$5, 2)</f>
        <v/>
      </c>
      <c r="M494" s="98">
        <f>INT($G$6/H494)</f>
        <v/>
      </c>
      <c r="N494" s="98">
        <f>IF(M494=0, 0, IF(OR($K$6="Square Grid", M494=1), INT($G$7/H494), IF($G$7&lt;H494, 0, 1+INT(($G$7-H494)/(0.8660254*H494)))))</f>
        <v/>
      </c>
      <c r="O494" s="84">
        <f>IF(OR(M494=0,N494=0), 0, IF(OR($K$6="Square Grid", M494=1), M494*N494*$K$5, (INT((N494+1)/2)*M494 + INT(N494/2)*IF(($G$6-M494*H494)&gt;=0.5*H494, M494, M494-1))*$K$5))</f>
        <v/>
      </c>
      <c r="P494" s="84">
        <f>IF(L494&lt;=0, 0, INT($G$8/L494))</f>
        <v/>
      </c>
      <c r="Q494" s="95">
        <f>MIN(O494, P494)</f>
        <v/>
      </c>
      <c r="R494" s="96">
        <f>ROUND((Q494*L494)/1000, 2)</f>
        <v/>
      </c>
      <c r="S494" s="85">
        <f>IF($C$8&gt;0, R494/$C$8, 0)</f>
        <v/>
      </c>
      <c r="T494" s="85">
        <f>IF(O494&gt;0, Q494/O494, 0)</f>
        <v/>
      </c>
      <c r="U494" s="18">
        <f>IF(Q494=0, "Exceeds Limit", IF(P494&lt;=O494, "Weight Limited", "Volume Limited"))</f>
        <v/>
      </c>
      <c r="V494" s="100">
        <f>B494&amp;"|"&amp;D494&amp;"|"&amp;F494</f>
        <v/>
      </c>
    </row>
    <row r="495" ht="19" customHeight="1">
      <c r="A495" s="93" t="n">
        <v>485</v>
      </c>
      <c r="B495" s="101" t="inlineStr">
        <is>
          <t>Stainless Steel 304</t>
        </is>
      </c>
      <c r="C495" s="13" t="inlineStr">
        <is>
          <t>ASME B36.19M / B36.10M</t>
        </is>
      </c>
      <c r="D495" s="12" t="inlineStr">
        <is>
          <t>2''</t>
        </is>
      </c>
      <c r="E495" s="93" t="n">
        <v>50</v>
      </c>
      <c r="F495" s="12" t="inlineStr">
        <is>
          <t>5S</t>
        </is>
      </c>
      <c r="G495" s="14" t="n">
        <v>2.375</v>
      </c>
      <c r="H495" s="78" t="n">
        <v>60.32</v>
      </c>
      <c r="I495" s="14" t="n">
        <v>0.065</v>
      </c>
      <c r="J495" s="78" t="n">
        <v>1.65</v>
      </c>
      <c r="K495" s="14">
        <f>ROUND((H495-J495)*J495*IF(B495="Carbon Steel",$K$7,IF(B495="Stainless Steel 304",$K$8,$L$8)), 3)</f>
        <v/>
      </c>
      <c r="L495" s="78">
        <f>ROUND(K495*$G$5, 2)</f>
        <v/>
      </c>
      <c r="M495" s="93">
        <f>INT($G$6/H495)</f>
        <v/>
      </c>
      <c r="N495" s="93">
        <f>IF(M495=0, 0, IF(OR($K$6="Square Grid", M495=1), INT($G$7/H495), IF($G$7&lt;H495, 0, 1+INT(($G$7-H495)/(0.8660254*H495)))))</f>
        <v/>
      </c>
      <c r="O495" s="59">
        <f>IF(OR(M495=0,N495=0), 0, IF(OR($K$6="Square Grid", M495=1), M495*N495*$K$5, (INT((N495+1)/2)*M495 + INT(N495/2)*IF(($G$6-M495*H495)&gt;=0.5*H495, M495, M495-1))*$K$5))</f>
        <v/>
      </c>
      <c r="P495" s="59">
        <f>IF(L495&lt;=0, 0, INT($G$8/L495))</f>
        <v/>
      </c>
      <c r="Q495" s="95">
        <f>MIN(O495, P495)</f>
        <v/>
      </c>
      <c r="R495" s="96">
        <f>ROUND((Q495*L495)/1000, 2)</f>
        <v/>
      </c>
      <c r="S495" s="79">
        <f>IF($C$8&gt;0, R495/$C$8, 0)</f>
        <v/>
      </c>
      <c r="T495" s="79">
        <f>IF(O495&gt;0, Q495/O495, 0)</f>
        <v/>
      </c>
      <c r="U495" s="12">
        <f>IF(Q495=0, "Exceeds Limit", IF(P495&lt;=O495, "Weight Limited", "Volume Limited"))</f>
        <v/>
      </c>
      <c r="V495" s="97">
        <f>B495&amp;"|"&amp;D495&amp;"|"&amp;F495</f>
        <v/>
      </c>
    </row>
    <row r="496" ht="19" customHeight="1">
      <c r="A496" s="98" t="n">
        <v>486</v>
      </c>
      <c r="B496" s="102" t="inlineStr">
        <is>
          <t>Stainless Steel 304</t>
        </is>
      </c>
      <c r="C496" s="19" t="inlineStr">
        <is>
          <t>ASME B36.19M / B36.10M</t>
        </is>
      </c>
      <c r="D496" s="18" t="inlineStr">
        <is>
          <t>2''</t>
        </is>
      </c>
      <c r="E496" s="98" t="n">
        <v>50</v>
      </c>
      <c r="F496" s="18" t="inlineStr">
        <is>
          <t>5</t>
        </is>
      </c>
      <c r="G496" s="20" t="n">
        <v>2.375</v>
      </c>
      <c r="H496" s="82" t="n">
        <v>60.32</v>
      </c>
      <c r="I496" s="20" t="n">
        <v>0.065</v>
      </c>
      <c r="J496" s="82" t="n">
        <v>1.65</v>
      </c>
      <c r="K496" s="20">
        <f>ROUND((H496-J496)*J496*IF(B496="Carbon Steel",$K$7,IF(B496="Stainless Steel 304",$K$8,$L$8)), 3)</f>
        <v/>
      </c>
      <c r="L496" s="82">
        <f>ROUND(K496*$G$5, 2)</f>
        <v/>
      </c>
      <c r="M496" s="98">
        <f>INT($G$6/H496)</f>
        <v/>
      </c>
      <c r="N496" s="98">
        <f>IF(M496=0, 0, IF(OR($K$6="Square Grid", M496=1), INT($G$7/H496), IF($G$7&lt;H496, 0, 1+INT(($G$7-H496)/(0.8660254*H496)))))</f>
        <v/>
      </c>
      <c r="O496" s="84">
        <f>IF(OR(M496=0,N496=0), 0, IF(OR($K$6="Square Grid", M496=1), M496*N496*$K$5, (INT((N496+1)/2)*M496 + INT(N496/2)*IF(($G$6-M496*H496)&gt;=0.5*H496, M496, M496-1))*$K$5))</f>
        <v/>
      </c>
      <c r="P496" s="84">
        <f>IF(L496&lt;=0, 0, INT($G$8/L496))</f>
        <v/>
      </c>
      <c r="Q496" s="95">
        <f>MIN(O496, P496)</f>
        <v/>
      </c>
      <c r="R496" s="96">
        <f>ROUND((Q496*L496)/1000, 2)</f>
        <v/>
      </c>
      <c r="S496" s="85">
        <f>IF($C$8&gt;0, R496/$C$8, 0)</f>
        <v/>
      </c>
      <c r="T496" s="85">
        <f>IF(O496&gt;0, Q496/O496, 0)</f>
        <v/>
      </c>
      <c r="U496" s="18">
        <f>IF(Q496=0, "Exceeds Limit", IF(P496&lt;=O496, "Weight Limited", "Volume Limited"))</f>
        <v/>
      </c>
      <c r="V496" s="100">
        <f>B496&amp;"|"&amp;D496&amp;"|"&amp;F496</f>
        <v/>
      </c>
    </row>
    <row r="497" ht="19" customHeight="1">
      <c r="A497" s="93" t="n">
        <v>487</v>
      </c>
      <c r="B497" s="101" t="inlineStr">
        <is>
          <t>Stainless Steel 304</t>
        </is>
      </c>
      <c r="C497" s="13" t="inlineStr">
        <is>
          <t>ASME B36.19M / B36.10M</t>
        </is>
      </c>
      <c r="D497" s="12" t="inlineStr">
        <is>
          <t>2''</t>
        </is>
      </c>
      <c r="E497" s="93" t="n">
        <v>50</v>
      </c>
      <c r="F497" s="12" t="inlineStr">
        <is>
          <t>10S</t>
        </is>
      </c>
      <c r="G497" s="14" t="n">
        <v>2.375</v>
      </c>
      <c r="H497" s="78" t="n">
        <v>60.32</v>
      </c>
      <c r="I497" s="14" t="n">
        <v>0.109</v>
      </c>
      <c r="J497" s="78" t="n">
        <v>2.77</v>
      </c>
      <c r="K497" s="14">
        <f>ROUND((H497-J497)*J497*IF(B497="Carbon Steel",$K$7,IF(B497="Stainless Steel 304",$K$8,$L$8)), 3)</f>
        <v/>
      </c>
      <c r="L497" s="78">
        <f>ROUND(K497*$G$5, 2)</f>
        <v/>
      </c>
      <c r="M497" s="93">
        <f>INT($G$6/H497)</f>
        <v/>
      </c>
      <c r="N497" s="93">
        <f>IF(M497=0, 0, IF(OR($K$6="Square Grid", M497=1), INT($G$7/H497), IF($G$7&lt;H497, 0, 1+INT(($G$7-H497)/(0.8660254*H497)))))</f>
        <v/>
      </c>
      <c r="O497" s="59">
        <f>IF(OR(M497=0,N497=0), 0, IF(OR($K$6="Square Grid", M497=1), M497*N497*$K$5, (INT((N497+1)/2)*M497 + INT(N497/2)*IF(($G$6-M497*H497)&gt;=0.5*H497, M497, M497-1))*$K$5))</f>
        <v/>
      </c>
      <c r="P497" s="59">
        <f>IF(L497&lt;=0, 0, INT($G$8/L497))</f>
        <v/>
      </c>
      <c r="Q497" s="95">
        <f>MIN(O497, P497)</f>
        <v/>
      </c>
      <c r="R497" s="96">
        <f>ROUND((Q497*L497)/1000, 2)</f>
        <v/>
      </c>
      <c r="S497" s="79">
        <f>IF($C$8&gt;0, R497/$C$8, 0)</f>
        <v/>
      </c>
      <c r="T497" s="79">
        <f>IF(O497&gt;0, Q497/O497, 0)</f>
        <v/>
      </c>
      <c r="U497" s="12">
        <f>IF(Q497=0, "Exceeds Limit", IF(P497&lt;=O497, "Weight Limited", "Volume Limited"))</f>
        <v/>
      </c>
      <c r="V497" s="97">
        <f>B497&amp;"|"&amp;D497&amp;"|"&amp;F497</f>
        <v/>
      </c>
    </row>
    <row r="498" ht="19" customHeight="1">
      <c r="A498" s="98" t="n">
        <v>488</v>
      </c>
      <c r="B498" s="102" t="inlineStr">
        <is>
          <t>Stainless Steel 304</t>
        </is>
      </c>
      <c r="C498" s="19" t="inlineStr">
        <is>
          <t>ASME B36.19M / B36.10M</t>
        </is>
      </c>
      <c r="D498" s="18" t="inlineStr">
        <is>
          <t>2''</t>
        </is>
      </c>
      <c r="E498" s="98" t="n">
        <v>50</v>
      </c>
      <c r="F498" s="18" t="inlineStr">
        <is>
          <t>10</t>
        </is>
      </c>
      <c r="G498" s="20" t="n">
        <v>2.375</v>
      </c>
      <c r="H498" s="82" t="n">
        <v>60.32</v>
      </c>
      <c r="I498" s="20" t="n">
        <v>0.109</v>
      </c>
      <c r="J498" s="82" t="n">
        <v>2.77</v>
      </c>
      <c r="K498" s="20">
        <f>ROUND((H498-J498)*J498*IF(B498="Carbon Steel",$K$7,IF(B498="Stainless Steel 304",$K$8,$L$8)), 3)</f>
        <v/>
      </c>
      <c r="L498" s="82">
        <f>ROUND(K498*$G$5, 2)</f>
        <v/>
      </c>
      <c r="M498" s="98">
        <f>INT($G$6/H498)</f>
        <v/>
      </c>
      <c r="N498" s="98">
        <f>IF(M498=0, 0, IF(OR($K$6="Square Grid", M498=1), INT($G$7/H498), IF($G$7&lt;H498, 0, 1+INT(($G$7-H498)/(0.8660254*H498)))))</f>
        <v/>
      </c>
      <c r="O498" s="84">
        <f>IF(OR(M498=0,N498=0), 0, IF(OR($K$6="Square Grid", M498=1), M498*N498*$K$5, (INT((N498+1)/2)*M498 + INT(N498/2)*IF(($G$6-M498*H498)&gt;=0.5*H498, M498, M498-1))*$K$5))</f>
        <v/>
      </c>
      <c r="P498" s="84">
        <f>IF(L498&lt;=0, 0, INT($G$8/L498))</f>
        <v/>
      </c>
      <c r="Q498" s="95">
        <f>MIN(O498, P498)</f>
        <v/>
      </c>
      <c r="R498" s="96">
        <f>ROUND((Q498*L498)/1000, 2)</f>
        <v/>
      </c>
      <c r="S498" s="85">
        <f>IF($C$8&gt;0, R498/$C$8, 0)</f>
        <v/>
      </c>
      <c r="T498" s="85">
        <f>IF(O498&gt;0, Q498/O498, 0)</f>
        <v/>
      </c>
      <c r="U498" s="18">
        <f>IF(Q498=0, "Exceeds Limit", IF(P498&lt;=O498, "Weight Limited", "Volume Limited"))</f>
        <v/>
      </c>
      <c r="V498" s="100">
        <f>B498&amp;"|"&amp;D498&amp;"|"&amp;F498</f>
        <v/>
      </c>
    </row>
    <row r="499" ht="19" customHeight="1">
      <c r="A499" s="93" t="n">
        <v>489</v>
      </c>
      <c r="B499" s="101" t="inlineStr">
        <is>
          <t>Stainless Steel 304</t>
        </is>
      </c>
      <c r="C499" s="13" t="inlineStr">
        <is>
          <t>ASME B36.19M / B36.10M</t>
        </is>
      </c>
      <c r="D499" s="12" t="inlineStr">
        <is>
          <t>2''</t>
        </is>
      </c>
      <c r="E499" s="93" t="n">
        <v>50</v>
      </c>
      <c r="F499" s="12" t="inlineStr">
        <is>
          <t>30</t>
        </is>
      </c>
      <c r="G499" s="14" t="n">
        <v>2.375</v>
      </c>
      <c r="H499" s="78" t="n">
        <v>60.32</v>
      </c>
      <c r="I499" s="14" t="n">
        <v>0.125</v>
      </c>
      <c r="J499" s="78" t="n">
        <v>3.17</v>
      </c>
      <c r="K499" s="14">
        <f>ROUND((H499-J499)*J499*IF(B499="Carbon Steel",$K$7,IF(B499="Stainless Steel 304",$K$8,$L$8)), 3)</f>
        <v/>
      </c>
      <c r="L499" s="78">
        <f>ROUND(K499*$G$5, 2)</f>
        <v/>
      </c>
      <c r="M499" s="93">
        <f>INT($G$6/H499)</f>
        <v/>
      </c>
      <c r="N499" s="93">
        <f>IF(M499=0, 0, IF(OR($K$6="Square Grid", M499=1), INT($G$7/H499), IF($G$7&lt;H499, 0, 1+INT(($G$7-H499)/(0.8660254*H499)))))</f>
        <v/>
      </c>
      <c r="O499" s="59">
        <f>IF(OR(M499=0,N499=0), 0, IF(OR($K$6="Square Grid", M499=1), M499*N499*$K$5, (INT((N499+1)/2)*M499 + INT(N499/2)*IF(($G$6-M499*H499)&gt;=0.5*H499, M499, M499-1))*$K$5))</f>
        <v/>
      </c>
      <c r="P499" s="59">
        <f>IF(L499&lt;=0, 0, INT($G$8/L499))</f>
        <v/>
      </c>
      <c r="Q499" s="95">
        <f>MIN(O499, P499)</f>
        <v/>
      </c>
      <c r="R499" s="96">
        <f>ROUND((Q499*L499)/1000, 2)</f>
        <v/>
      </c>
      <c r="S499" s="79">
        <f>IF($C$8&gt;0, R499/$C$8, 0)</f>
        <v/>
      </c>
      <c r="T499" s="79">
        <f>IF(O499&gt;0, Q499/O499, 0)</f>
        <v/>
      </c>
      <c r="U499" s="12">
        <f>IF(Q499=0, "Exceeds Limit", IF(P499&lt;=O499, "Weight Limited", "Volume Limited"))</f>
        <v/>
      </c>
      <c r="V499" s="97">
        <f>B499&amp;"|"&amp;D499&amp;"|"&amp;F499</f>
        <v/>
      </c>
    </row>
    <row r="500" ht="19" customHeight="1">
      <c r="A500" s="98" t="n">
        <v>490</v>
      </c>
      <c r="B500" s="102" t="inlineStr">
        <is>
          <t>Stainless Steel 304</t>
        </is>
      </c>
      <c r="C500" s="19" t="inlineStr">
        <is>
          <t>ASME B36.19M / B36.10M</t>
        </is>
      </c>
      <c r="D500" s="18" t="inlineStr">
        <is>
          <t>2''</t>
        </is>
      </c>
      <c r="E500" s="98" t="n">
        <v>50</v>
      </c>
      <c r="F500" s="18" t="inlineStr">
        <is>
          <t>40S</t>
        </is>
      </c>
      <c r="G500" s="20" t="n">
        <v>2.375</v>
      </c>
      <c r="H500" s="82" t="n">
        <v>60.32</v>
      </c>
      <c r="I500" s="20" t="n">
        <v>0.154</v>
      </c>
      <c r="J500" s="82" t="n">
        <v>3.91</v>
      </c>
      <c r="K500" s="20">
        <f>ROUND((H500-J500)*J500*IF(B500="Carbon Steel",$K$7,IF(B500="Stainless Steel 304",$K$8,$L$8)), 3)</f>
        <v/>
      </c>
      <c r="L500" s="82">
        <f>ROUND(K500*$G$5, 2)</f>
        <v/>
      </c>
      <c r="M500" s="98">
        <f>INT($G$6/H500)</f>
        <v/>
      </c>
      <c r="N500" s="98">
        <f>IF(M500=0, 0, IF(OR($K$6="Square Grid", M500=1), INT($G$7/H500), IF($G$7&lt;H500, 0, 1+INT(($G$7-H500)/(0.8660254*H500)))))</f>
        <v/>
      </c>
      <c r="O500" s="84">
        <f>IF(OR(M500=0,N500=0), 0, IF(OR($K$6="Square Grid", M500=1), M500*N500*$K$5, (INT((N500+1)/2)*M500 + INT(N500/2)*IF(($G$6-M500*H500)&gt;=0.5*H500, M500, M500-1))*$K$5))</f>
        <v/>
      </c>
      <c r="P500" s="84">
        <f>IF(L500&lt;=0, 0, INT($G$8/L500))</f>
        <v/>
      </c>
      <c r="Q500" s="95">
        <f>MIN(O500, P500)</f>
        <v/>
      </c>
      <c r="R500" s="96">
        <f>ROUND((Q500*L500)/1000, 2)</f>
        <v/>
      </c>
      <c r="S500" s="85">
        <f>IF($C$8&gt;0, R500/$C$8, 0)</f>
        <v/>
      </c>
      <c r="T500" s="85">
        <f>IF(O500&gt;0, Q500/O500, 0)</f>
        <v/>
      </c>
      <c r="U500" s="18">
        <f>IF(Q500=0, "Exceeds Limit", IF(P500&lt;=O500, "Weight Limited", "Volume Limited"))</f>
        <v/>
      </c>
      <c r="V500" s="100">
        <f>B500&amp;"|"&amp;D500&amp;"|"&amp;F500</f>
        <v/>
      </c>
    </row>
    <row r="501" ht="19" customHeight="1">
      <c r="A501" s="93" t="n">
        <v>491</v>
      </c>
      <c r="B501" s="101" t="inlineStr">
        <is>
          <t>Stainless Steel 304</t>
        </is>
      </c>
      <c r="C501" s="13" t="inlineStr">
        <is>
          <t>ASME B36.19M / B36.10M</t>
        </is>
      </c>
      <c r="D501" s="12" t="inlineStr">
        <is>
          <t>2''</t>
        </is>
      </c>
      <c r="E501" s="93" t="n">
        <v>50</v>
      </c>
      <c r="F501" s="12" t="inlineStr">
        <is>
          <t>STD</t>
        </is>
      </c>
      <c r="G501" s="14" t="n">
        <v>2.375</v>
      </c>
      <c r="H501" s="78" t="n">
        <v>60.32</v>
      </c>
      <c r="I501" s="14" t="n">
        <v>0.154</v>
      </c>
      <c r="J501" s="78" t="n">
        <v>3.91</v>
      </c>
      <c r="K501" s="14">
        <f>ROUND((H501-J501)*J501*IF(B501="Carbon Steel",$K$7,IF(B501="Stainless Steel 304",$K$8,$L$8)), 3)</f>
        <v/>
      </c>
      <c r="L501" s="78">
        <f>ROUND(K501*$G$5, 2)</f>
        <v/>
      </c>
      <c r="M501" s="93">
        <f>INT($G$6/H501)</f>
        <v/>
      </c>
      <c r="N501" s="93">
        <f>IF(M501=0, 0, IF(OR($K$6="Square Grid", M501=1), INT($G$7/H501), IF($G$7&lt;H501, 0, 1+INT(($G$7-H501)/(0.8660254*H501)))))</f>
        <v/>
      </c>
      <c r="O501" s="59">
        <f>IF(OR(M501=0,N501=0), 0, IF(OR($K$6="Square Grid", M501=1), M501*N501*$K$5, (INT((N501+1)/2)*M501 + INT(N501/2)*IF(($G$6-M501*H501)&gt;=0.5*H501, M501, M501-1))*$K$5))</f>
        <v/>
      </c>
      <c r="P501" s="59">
        <f>IF(L501&lt;=0, 0, INT($G$8/L501))</f>
        <v/>
      </c>
      <c r="Q501" s="95">
        <f>MIN(O501, P501)</f>
        <v/>
      </c>
      <c r="R501" s="96">
        <f>ROUND((Q501*L501)/1000, 2)</f>
        <v/>
      </c>
      <c r="S501" s="79">
        <f>IF($C$8&gt;0, R501/$C$8, 0)</f>
        <v/>
      </c>
      <c r="T501" s="79">
        <f>IF(O501&gt;0, Q501/O501, 0)</f>
        <v/>
      </c>
      <c r="U501" s="12">
        <f>IF(Q501=0, "Exceeds Limit", IF(P501&lt;=O501, "Weight Limited", "Volume Limited"))</f>
        <v/>
      </c>
      <c r="V501" s="97">
        <f>B501&amp;"|"&amp;D501&amp;"|"&amp;F501</f>
        <v/>
      </c>
    </row>
    <row r="502" ht="19" customHeight="1">
      <c r="A502" s="98" t="n">
        <v>492</v>
      </c>
      <c r="B502" s="102" t="inlineStr">
        <is>
          <t>Stainless Steel 304</t>
        </is>
      </c>
      <c r="C502" s="19" t="inlineStr">
        <is>
          <t>ASME B36.19M / B36.10M</t>
        </is>
      </c>
      <c r="D502" s="18" t="inlineStr">
        <is>
          <t>2''</t>
        </is>
      </c>
      <c r="E502" s="98" t="n">
        <v>50</v>
      </c>
      <c r="F502" s="18" t="inlineStr">
        <is>
          <t>40</t>
        </is>
      </c>
      <c r="G502" s="20" t="n">
        <v>2.375</v>
      </c>
      <c r="H502" s="82" t="n">
        <v>60.32</v>
      </c>
      <c r="I502" s="20" t="n">
        <v>0.154</v>
      </c>
      <c r="J502" s="82" t="n">
        <v>3.91</v>
      </c>
      <c r="K502" s="20">
        <f>ROUND((H502-J502)*J502*IF(B502="Carbon Steel",$K$7,IF(B502="Stainless Steel 304",$K$8,$L$8)), 3)</f>
        <v/>
      </c>
      <c r="L502" s="82">
        <f>ROUND(K502*$G$5, 2)</f>
        <v/>
      </c>
      <c r="M502" s="98">
        <f>INT($G$6/H502)</f>
        <v/>
      </c>
      <c r="N502" s="98">
        <f>IF(M502=0, 0, IF(OR($K$6="Square Grid", M502=1), INT($G$7/H502), IF($G$7&lt;H502, 0, 1+INT(($G$7-H502)/(0.8660254*H502)))))</f>
        <v/>
      </c>
      <c r="O502" s="84">
        <f>IF(OR(M502=0,N502=0), 0, IF(OR($K$6="Square Grid", M502=1), M502*N502*$K$5, (INT((N502+1)/2)*M502 + INT(N502/2)*IF(($G$6-M502*H502)&gt;=0.5*H502, M502, M502-1))*$K$5))</f>
        <v/>
      </c>
      <c r="P502" s="84">
        <f>IF(L502&lt;=0, 0, INT($G$8/L502))</f>
        <v/>
      </c>
      <c r="Q502" s="95">
        <f>MIN(O502, P502)</f>
        <v/>
      </c>
      <c r="R502" s="96">
        <f>ROUND((Q502*L502)/1000, 2)</f>
        <v/>
      </c>
      <c r="S502" s="85">
        <f>IF($C$8&gt;0, R502/$C$8, 0)</f>
        <v/>
      </c>
      <c r="T502" s="85">
        <f>IF(O502&gt;0, Q502/O502, 0)</f>
        <v/>
      </c>
      <c r="U502" s="18">
        <f>IF(Q502=0, "Exceeds Limit", IF(P502&lt;=O502, "Weight Limited", "Volume Limited"))</f>
        <v/>
      </c>
      <c r="V502" s="100">
        <f>B502&amp;"|"&amp;D502&amp;"|"&amp;F502</f>
        <v/>
      </c>
    </row>
    <row r="503" ht="19" customHeight="1">
      <c r="A503" s="93" t="n">
        <v>493</v>
      </c>
      <c r="B503" s="101" t="inlineStr">
        <is>
          <t>Stainless Steel 304</t>
        </is>
      </c>
      <c r="C503" s="13" t="inlineStr">
        <is>
          <t>ASME B36.19M / B36.10M</t>
        </is>
      </c>
      <c r="D503" s="12" t="inlineStr">
        <is>
          <t>2''</t>
        </is>
      </c>
      <c r="E503" s="93" t="n">
        <v>50</v>
      </c>
      <c r="F503" s="12" t="inlineStr">
        <is>
          <t>80S</t>
        </is>
      </c>
      <c r="G503" s="14" t="n">
        <v>2.375</v>
      </c>
      <c r="H503" s="78" t="n">
        <v>60.32</v>
      </c>
      <c r="I503" s="14" t="n">
        <v>0.218</v>
      </c>
      <c r="J503" s="78" t="n">
        <v>5.54</v>
      </c>
      <c r="K503" s="14">
        <f>ROUND((H503-J503)*J503*IF(B503="Carbon Steel",$K$7,IF(B503="Stainless Steel 304",$K$8,$L$8)), 3)</f>
        <v/>
      </c>
      <c r="L503" s="78">
        <f>ROUND(K503*$G$5, 2)</f>
        <v/>
      </c>
      <c r="M503" s="93">
        <f>INT($G$6/H503)</f>
        <v/>
      </c>
      <c r="N503" s="93">
        <f>IF(M503=0, 0, IF(OR($K$6="Square Grid", M503=1), INT($G$7/H503), IF($G$7&lt;H503, 0, 1+INT(($G$7-H503)/(0.8660254*H503)))))</f>
        <v/>
      </c>
      <c r="O503" s="59">
        <f>IF(OR(M503=0,N503=0), 0, IF(OR($K$6="Square Grid", M503=1), M503*N503*$K$5, (INT((N503+1)/2)*M503 + INT(N503/2)*IF(($G$6-M503*H503)&gt;=0.5*H503, M503, M503-1))*$K$5))</f>
        <v/>
      </c>
      <c r="P503" s="59">
        <f>IF(L503&lt;=0, 0, INT($G$8/L503))</f>
        <v/>
      </c>
      <c r="Q503" s="95">
        <f>MIN(O503, P503)</f>
        <v/>
      </c>
      <c r="R503" s="96">
        <f>ROUND((Q503*L503)/1000, 2)</f>
        <v/>
      </c>
      <c r="S503" s="79">
        <f>IF($C$8&gt;0, R503/$C$8, 0)</f>
        <v/>
      </c>
      <c r="T503" s="79">
        <f>IF(O503&gt;0, Q503/O503, 0)</f>
        <v/>
      </c>
      <c r="U503" s="12">
        <f>IF(Q503=0, "Exceeds Limit", IF(P503&lt;=O503, "Weight Limited", "Volume Limited"))</f>
        <v/>
      </c>
      <c r="V503" s="97">
        <f>B503&amp;"|"&amp;D503&amp;"|"&amp;F503</f>
        <v/>
      </c>
    </row>
    <row r="504" ht="19" customHeight="1">
      <c r="A504" s="98" t="n">
        <v>494</v>
      </c>
      <c r="B504" s="102" t="inlineStr">
        <is>
          <t>Stainless Steel 304</t>
        </is>
      </c>
      <c r="C504" s="19" t="inlineStr">
        <is>
          <t>ASME B36.19M / B36.10M</t>
        </is>
      </c>
      <c r="D504" s="18" t="inlineStr">
        <is>
          <t>2''</t>
        </is>
      </c>
      <c r="E504" s="98" t="n">
        <v>50</v>
      </c>
      <c r="F504" s="18" t="inlineStr">
        <is>
          <t>XS</t>
        </is>
      </c>
      <c r="G504" s="20" t="n">
        <v>2.375</v>
      </c>
      <c r="H504" s="82" t="n">
        <v>60.32</v>
      </c>
      <c r="I504" s="20" t="n">
        <v>0.218</v>
      </c>
      <c r="J504" s="82" t="n">
        <v>5.54</v>
      </c>
      <c r="K504" s="20">
        <f>ROUND((H504-J504)*J504*IF(B504="Carbon Steel",$K$7,IF(B504="Stainless Steel 304",$K$8,$L$8)), 3)</f>
        <v/>
      </c>
      <c r="L504" s="82">
        <f>ROUND(K504*$G$5, 2)</f>
        <v/>
      </c>
      <c r="M504" s="98">
        <f>INT($G$6/H504)</f>
        <v/>
      </c>
      <c r="N504" s="98">
        <f>IF(M504=0, 0, IF(OR($K$6="Square Grid", M504=1), INT($G$7/H504), IF($G$7&lt;H504, 0, 1+INT(($G$7-H504)/(0.8660254*H504)))))</f>
        <v/>
      </c>
      <c r="O504" s="84">
        <f>IF(OR(M504=0,N504=0), 0, IF(OR($K$6="Square Grid", M504=1), M504*N504*$K$5, (INT((N504+1)/2)*M504 + INT(N504/2)*IF(($G$6-M504*H504)&gt;=0.5*H504, M504, M504-1))*$K$5))</f>
        <v/>
      </c>
      <c r="P504" s="84">
        <f>IF(L504&lt;=0, 0, INT($G$8/L504))</f>
        <v/>
      </c>
      <c r="Q504" s="95">
        <f>MIN(O504, P504)</f>
        <v/>
      </c>
      <c r="R504" s="96">
        <f>ROUND((Q504*L504)/1000, 2)</f>
        <v/>
      </c>
      <c r="S504" s="85">
        <f>IF($C$8&gt;0, R504/$C$8, 0)</f>
        <v/>
      </c>
      <c r="T504" s="85">
        <f>IF(O504&gt;0, Q504/O504, 0)</f>
        <v/>
      </c>
      <c r="U504" s="18">
        <f>IF(Q504=0, "Exceeds Limit", IF(P504&lt;=O504, "Weight Limited", "Volume Limited"))</f>
        <v/>
      </c>
      <c r="V504" s="100">
        <f>B504&amp;"|"&amp;D504&amp;"|"&amp;F504</f>
        <v/>
      </c>
    </row>
    <row r="505" ht="19" customHeight="1">
      <c r="A505" s="93" t="n">
        <v>495</v>
      </c>
      <c r="B505" s="101" t="inlineStr">
        <is>
          <t>Stainless Steel 304</t>
        </is>
      </c>
      <c r="C505" s="13" t="inlineStr">
        <is>
          <t>ASME B36.19M / B36.10M</t>
        </is>
      </c>
      <c r="D505" s="12" t="inlineStr">
        <is>
          <t>2''</t>
        </is>
      </c>
      <c r="E505" s="93" t="n">
        <v>50</v>
      </c>
      <c r="F505" s="12" t="inlineStr">
        <is>
          <t>80</t>
        </is>
      </c>
      <c r="G505" s="14" t="n">
        <v>2.375</v>
      </c>
      <c r="H505" s="78" t="n">
        <v>60.32</v>
      </c>
      <c r="I505" s="14" t="n">
        <v>0.218</v>
      </c>
      <c r="J505" s="78" t="n">
        <v>5.54</v>
      </c>
      <c r="K505" s="14">
        <f>ROUND((H505-J505)*J505*IF(B505="Carbon Steel",$K$7,IF(B505="Stainless Steel 304",$K$8,$L$8)), 3)</f>
        <v/>
      </c>
      <c r="L505" s="78">
        <f>ROUND(K505*$G$5, 2)</f>
        <v/>
      </c>
      <c r="M505" s="93">
        <f>INT($G$6/H505)</f>
        <v/>
      </c>
      <c r="N505" s="93">
        <f>IF(M505=0, 0, IF(OR($K$6="Square Grid", M505=1), INT($G$7/H505), IF($G$7&lt;H505, 0, 1+INT(($G$7-H505)/(0.8660254*H505)))))</f>
        <v/>
      </c>
      <c r="O505" s="59">
        <f>IF(OR(M505=0,N505=0), 0, IF(OR($K$6="Square Grid", M505=1), M505*N505*$K$5, (INT((N505+1)/2)*M505 + INT(N505/2)*IF(($G$6-M505*H505)&gt;=0.5*H505, M505, M505-1))*$K$5))</f>
        <v/>
      </c>
      <c r="P505" s="59">
        <f>IF(L505&lt;=0, 0, INT($G$8/L505))</f>
        <v/>
      </c>
      <c r="Q505" s="95">
        <f>MIN(O505, P505)</f>
        <v/>
      </c>
      <c r="R505" s="96">
        <f>ROUND((Q505*L505)/1000, 2)</f>
        <v/>
      </c>
      <c r="S505" s="79">
        <f>IF($C$8&gt;0, R505/$C$8, 0)</f>
        <v/>
      </c>
      <c r="T505" s="79">
        <f>IF(O505&gt;0, Q505/O505, 0)</f>
        <v/>
      </c>
      <c r="U505" s="12">
        <f>IF(Q505=0, "Exceeds Limit", IF(P505&lt;=O505, "Weight Limited", "Volume Limited"))</f>
        <v/>
      </c>
      <c r="V505" s="97">
        <f>B505&amp;"|"&amp;D505&amp;"|"&amp;F505</f>
        <v/>
      </c>
    </row>
    <row r="506" ht="19" customHeight="1">
      <c r="A506" s="98" t="n">
        <v>496</v>
      </c>
      <c r="B506" s="102" t="inlineStr">
        <is>
          <t>Stainless Steel 304</t>
        </is>
      </c>
      <c r="C506" s="19" t="inlineStr">
        <is>
          <t>ASME B36.19M / B36.10M</t>
        </is>
      </c>
      <c r="D506" s="18" t="inlineStr">
        <is>
          <t>2''</t>
        </is>
      </c>
      <c r="E506" s="98" t="n">
        <v>50</v>
      </c>
      <c r="F506" s="18" t="inlineStr">
        <is>
          <t>160</t>
        </is>
      </c>
      <c r="G506" s="20" t="n">
        <v>2.375</v>
      </c>
      <c r="H506" s="82" t="n">
        <v>60.32</v>
      </c>
      <c r="I506" s="20" t="n">
        <v>0.344</v>
      </c>
      <c r="J506" s="82" t="n">
        <v>8.74</v>
      </c>
      <c r="K506" s="20">
        <f>ROUND((H506-J506)*J506*IF(B506="Carbon Steel",$K$7,IF(B506="Stainless Steel 304",$K$8,$L$8)), 3)</f>
        <v/>
      </c>
      <c r="L506" s="82">
        <f>ROUND(K506*$G$5, 2)</f>
        <v/>
      </c>
      <c r="M506" s="98">
        <f>INT($G$6/H506)</f>
        <v/>
      </c>
      <c r="N506" s="98">
        <f>IF(M506=0, 0, IF(OR($K$6="Square Grid", M506=1), INT($G$7/H506), IF($G$7&lt;H506, 0, 1+INT(($G$7-H506)/(0.8660254*H506)))))</f>
        <v/>
      </c>
      <c r="O506" s="84">
        <f>IF(OR(M506=0,N506=0), 0, IF(OR($K$6="Square Grid", M506=1), M506*N506*$K$5, (INT((N506+1)/2)*M506 + INT(N506/2)*IF(($G$6-M506*H506)&gt;=0.5*H506, M506, M506-1))*$K$5))</f>
        <v/>
      </c>
      <c r="P506" s="84">
        <f>IF(L506&lt;=0, 0, INT($G$8/L506))</f>
        <v/>
      </c>
      <c r="Q506" s="95">
        <f>MIN(O506, P506)</f>
        <v/>
      </c>
      <c r="R506" s="96">
        <f>ROUND((Q506*L506)/1000, 2)</f>
        <v/>
      </c>
      <c r="S506" s="85">
        <f>IF($C$8&gt;0, R506/$C$8, 0)</f>
        <v/>
      </c>
      <c r="T506" s="85">
        <f>IF(O506&gt;0, Q506/O506, 0)</f>
        <v/>
      </c>
      <c r="U506" s="18">
        <f>IF(Q506=0, "Exceeds Limit", IF(P506&lt;=O506, "Weight Limited", "Volume Limited"))</f>
        <v/>
      </c>
      <c r="V506" s="100">
        <f>B506&amp;"|"&amp;D506&amp;"|"&amp;F506</f>
        <v/>
      </c>
    </row>
    <row r="507" ht="19" customHeight="1">
      <c r="A507" s="93" t="n">
        <v>497</v>
      </c>
      <c r="B507" s="101" t="inlineStr">
        <is>
          <t>Stainless Steel 304</t>
        </is>
      </c>
      <c r="C507" s="13" t="inlineStr">
        <is>
          <t>ASME B36.19M / B36.10M</t>
        </is>
      </c>
      <c r="D507" s="12" t="inlineStr">
        <is>
          <t>2''</t>
        </is>
      </c>
      <c r="E507" s="93" t="n">
        <v>50</v>
      </c>
      <c r="F507" s="12" t="inlineStr">
        <is>
          <t>XXS</t>
        </is>
      </c>
      <c r="G507" s="14" t="n">
        <v>2.375</v>
      </c>
      <c r="H507" s="78" t="n">
        <v>60.32</v>
      </c>
      <c r="I507" s="14" t="n">
        <v>0.436</v>
      </c>
      <c r="J507" s="78" t="n">
        <v>11.07</v>
      </c>
      <c r="K507" s="14">
        <f>ROUND((H507-J507)*J507*IF(B507="Carbon Steel",$K$7,IF(B507="Stainless Steel 304",$K$8,$L$8)), 3)</f>
        <v/>
      </c>
      <c r="L507" s="78">
        <f>ROUND(K507*$G$5, 2)</f>
        <v/>
      </c>
      <c r="M507" s="93">
        <f>INT($G$6/H507)</f>
        <v/>
      </c>
      <c r="N507" s="93">
        <f>IF(M507=0, 0, IF(OR($K$6="Square Grid", M507=1), INT($G$7/H507), IF($G$7&lt;H507, 0, 1+INT(($G$7-H507)/(0.8660254*H507)))))</f>
        <v/>
      </c>
      <c r="O507" s="59">
        <f>IF(OR(M507=0,N507=0), 0, IF(OR($K$6="Square Grid", M507=1), M507*N507*$K$5, (INT((N507+1)/2)*M507 + INT(N507/2)*IF(($G$6-M507*H507)&gt;=0.5*H507, M507, M507-1))*$K$5))</f>
        <v/>
      </c>
      <c r="P507" s="59">
        <f>IF(L507&lt;=0, 0, INT($G$8/L507))</f>
        <v/>
      </c>
      <c r="Q507" s="95">
        <f>MIN(O507, P507)</f>
        <v/>
      </c>
      <c r="R507" s="96">
        <f>ROUND((Q507*L507)/1000, 2)</f>
        <v/>
      </c>
      <c r="S507" s="79">
        <f>IF($C$8&gt;0, R507/$C$8, 0)</f>
        <v/>
      </c>
      <c r="T507" s="79">
        <f>IF(O507&gt;0, Q507/O507, 0)</f>
        <v/>
      </c>
      <c r="U507" s="12">
        <f>IF(Q507=0, "Exceeds Limit", IF(P507&lt;=O507, "Weight Limited", "Volume Limited"))</f>
        <v/>
      </c>
      <c r="V507" s="97">
        <f>B507&amp;"|"&amp;D507&amp;"|"&amp;F507</f>
        <v/>
      </c>
    </row>
    <row r="508" ht="19" customHeight="1">
      <c r="A508" s="98" t="n">
        <v>498</v>
      </c>
      <c r="B508" s="102" t="inlineStr">
        <is>
          <t>Stainless Steel 304</t>
        </is>
      </c>
      <c r="C508" s="19" t="inlineStr">
        <is>
          <t>ASME B36.19M / B36.10M</t>
        </is>
      </c>
      <c r="D508" s="18" t="inlineStr">
        <is>
          <t>2-1/2''</t>
        </is>
      </c>
      <c r="E508" s="98" t="n">
        <v>65</v>
      </c>
      <c r="F508" s="18" t="inlineStr">
        <is>
          <t>5S</t>
        </is>
      </c>
      <c r="G508" s="20" t="n">
        <v>2.875</v>
      </c>
      <c r="H508" s="82" t="n">
        <v>73.02</v>
      </c>
      <c r="I508" s="20" t="n">
        <v>0.083</v>
      </c>
      <c r="J508" s="82" t="n">
        <v>2.11</v>
      </c>
      <c r="K508" s="20">
        <f>ROUND((H508-J508)*J508*IF(B508="Carbon Steel",$K$7,IF(B508="Stainless Steel 304",$K$8,$L$8)), 3)</f>
        <v/>
      </c>
      <c r="L508" s="82">
        <f>ROUND(K508*$G$5, 2)</f>
        <v/>
      </c>
      <c r="M508" s="98">
        <f>INT($G$6/H508)</f>
        <v/>
      </c>
      <c r="N508" s="98">
        <f>IF(M508=0, 0, IF(OR($K$6="Square Grid", M508=1), INT($G$7/H508), IF($G$7&lt;H508, 0, 1+INT(($G$7-H508)/(0.8660254*H508)))))</f>
        <v/>
      </c>
      <c r="O508" s="84">
        <f>IF(OR(M508=0,N508=0), 0, IF(OR($K$6="Square Grid", M508=1), M508*N508*$K$5, (INT((N508+1)/2)*M508 + INT(N508/2)*IF(($G$6-M508*H508)&gt;=0.5*H508, M508, M508-1))*$K$5))</f>
        <v/>
      </c>
      <c r="P508" s="84">
        <f>IF(L508&lt;=0, 0, INT($G$8/L508))</f>
        <v/>
      </c>
      <c r="Q508" s="95">
        <f>MIN(O508, P508)</f>
        <v/>
      </c>
      <c r="R508" s="96">
        <f>ROUND((Q508*L508)/1000, 2)</f>
        <v/>
      </c>
      <c r="S508" s="85">
        <f>IF($C$8&gt;0, R508/$C$8, 0)</f>
        <v/>
      </c>
      <c r="T508" s="85">
        <f>IF(O508&gt;0, Q508/O508, 0)</f>
        <v/>
      </c>
      <c r="U508" s="18">
        <f>IF(Q508=0, "Exceeds Limit", IF(P508&lt;=O508, "Weight Limited", "Volume Limited"))</f>
        <v/>
      </c>
      <c r="V508" s="100">
        <f>B508&amp;"|"&amp;D508&amp;"|"&amp;F508</f>
        <v/>
      </c>
    </row>
    <row r="509" ht="19" customHeight="1">
      <c r="A509" s="93" t="n">
        <v>499</v>
      </c>
      <c r="B509" s="101" t="inlineStr">
        <is>
          <t>Stainless Steel 304</t>
        </is>
      </c>
      <c r="C509" s="13" t="inlineStr">
        <is>
          <t>ASME B36.19M / B36.10M</t>
        </is>
      </c>
      <c r="D509" s="12" t="inlineStr">
        <is>
          <t>2-1/2''</t>
        </is>
      </c>
      <c r="E509" s="93" t="n">
        <v>65</v>
      </c>
      <c r="F509" s="12" t="inlineStr">
        <is>
          <t>5</t>
        </is>
      </c>
      <c r="G509" s="14" t="n">
        <v>2.875</v>
      </c>
      <c r="H509" s="78" t="n">
        <v>73.02</v>
      </c>
      <c r="I509" s="14" t="n">
        <v>0.083</v>
      </c>
      <c r="J509" s="78" t="n">
        <v>2.11</v>
      </c>
      <c r="K509" s="14">
        <f>ROUND((H509-J509)*J509*IF(B509="Carbon Steel",$K$7,IF(B509="Stainless Steel 304",$K$8,$L$8)), 3)</f>
        <v/>
      </c>
      <c r="L509" s="78">
        <f>ROUND(K509*$G$5, 2)</f>
        <v/>
      </c>
      <c r="M509" s="93">
        <f>INT($G$6/H509)</f>
        <v/>
      </c>
      <c r="N509" s="93">
        <f>IF(M509=0, 0, IF(OR($K$6="Square Grid", M509=1), INT($G$7/H509), IF($G$7&lt;H509, 0, 1+INT(($G$7-H509)/(0.8660254*H509)))))</f>
        <v/>
      </c>
      <c r="O509" s="59">
        <f>IF(OR(M509=0,N509=0), 0, IF(OR($K$6="Square Grid", M509=1), M509*N509*$K$5, (INT((N509+1)/2)*M509 + INT(N509/2)*IF(($G$6-M509*H509)&gt;=0.5*H509, M509, M509-1))*$K$5))</f>
        <v/>
      </c>
      <c r="P509" s="59">
        <f>IF(L509&lt;=0, 0, INT($G$8/L509))</f>
        <v/>
      </c>
      <c r="Q509" s="95">
        <f>MIN(O509, P509)</f>
        <v/>
      </c>
      <c r="R509" s="96">
        <f>ROUND((Q509*L509)/1000, 2)</f>
        <v/>
      </c>
      <c r="S509" s="79">
        <f>IF($C$8&gt;0, R509/$C$8, 0)</f>
        <v/>
      </c>
      <c r="T509" s="79">
        <f>IF(O509&gt;0, Q509/O509, 0)</f>
        <v/>
      </c>
      <c r="U509" s="12">
        <f>IF(Q509=0, "Exceeds Limit", IF(P509&lt;=O509, "Weight Limited", "Volume Limited"))</f>
        <v/>
      </c>
      <c r="V509" s="97">
        <f>B509&amp;"|"&amp;D509&amp;"|"&amp;F509</f>
        <v/>
      </c>
    </row>
    <row r="510" ht="19" customHeight="1">
      <c r="A510" s="98" t="n">
        <v>500</v>
      </c>
      <c r="B510" s="102" t="inlineStr">
        <is>
          <t>Stainless Steel 304</t>
        </is>
      </c>
      <c r="C510" s="19" t="inlineStr">
        <is>
          <t>ASME B36.19M / B36.10M</t>
        </is>
      </c>
      <c r="D510" s="18" t="inlineStr">
        <is>
          <t>2-1/2''</t>
        </is>
      </c>
      <c r="E510" s="98" t="n">
        <v>65</v>
      </c>
      <c r="F510" s="18" t="inlineStr">
        <is>
          <t>10S</t>
        </is>
      </c>
      <c r="G510" s="20" t="n">
        <v>2.875</v>
      </c>
      <c r="H510" s="82" t="n">
        <v>73.02</v>
      </c>
      <c r="I510" s="20" t="n">
        <v>0.12</v>
      </c>
      <c r="J510" s="82" t="n">
        <v>3.05</v>
      </c>
      <c r="K510" s="20">
        <f>ROUND((H510-J510)*J510*IF(B510="Carbon Steel",$K$7,IF(B510="Stainless Steel 304",$K$8,$L$8)), 3)</f>
        <v/>
      </c>
      <c r="L510" s="82">
        <f>ROUND(K510*$G$5, 2)</f>
        <v/>
      </c>
      <c r="M510" s="98">
        <f>INT($G$6/H510)</f>
        <v/>
      </c>
      <c r="N510" s="98">
        <f>IF(M510=0, 0, IF(OR($K$6="Square Grid", M510=1), INT($G$7/H510), IF($G$7&lt;H510, 0, 1+INT(($G$7-H510)/(0.8660254*H510)))))</f>
        <v/>
      </c>
      <c r="O510" s="84">
        <f>IF(OR(M510=0,N510=0), 0, IF(OR($K$6="Square Grid", M510=1), M510*N510*$K$5, (INT((N510+1)/2)*M510 + INT(N510/2)*IF(($G$6-M510*H510)&gt;=0.5*H510, M510, M510-1))*$K$5))</f>
        <v/>
      </c>
      <c r="P510" s="84">
        <f>IF(L510&lt;=0, 0, INT($G$8/L510))</f>
        <v/>
      </c>
      <c r="Q510" s="95">
        <f>MIN(O510, P510)</f>
        <v/>
      </c>
      <c r="R510" s="96">
        <f>ROUND((Q510*L510)/1000, 2)</f>
        <v/>
      </c>
      <c r="S510" s="85">
        <f>IF($C$8&gt;0, R510/$C$8, 0)</f>
        <v/>
      </c>
      <c r="T510" s="85">
        <f>IF(O510&gt;0, Q510/O510, 0)</f>
        <v/>
      </c>
      <c r="U510" s="18">
        <f>IF(Q510=0, "Exceeds Limit", IF(P510&lt;=O510, "Weight Limited", "Volume Limited"))</f>
        <v/>
      </c>
      <c r="V510" s="100">
        <f>B510&amp;"|"&amp;D510&amp;"|"&amp;F510</f>
        <v/>
      </c>
    </row>
    <row r="511" ht="19" customHeight="1">
      <c r="A511" s="93" t="n">
        <v>501</v>
      </c>
      <c r="B511" s="101" t="inlineStr">
        <is>
          <t>Stainless Steel 304</t>
        </is>
      </c>
      <c r="C511" s="13" t="inlineStr">
        <is>
          <t>ASME B36.19M / B36.10M</t>
        </is>
      </c>
      <c r="D511" s="12" t="inlineStr">
        <is>
          <t>2-1/2''</t>
        </is>
      </c>
      <c r="E511" s="93" t="n">
        <v>65</v>
      </c>
      <c r="F511" s="12" t="inlineStr">
        <is>
          <t>10</t>
        </is>
      </c>
      <c r="G511" s="14" t="n">
        <v>2.875</v>
      </c>
      <c r="H511" s="78" t="n">
        <v>73.02</v>
      </c>
      <c r="I511" s="14" t="n">
        <v>0.12</v>
      </c>
      <c r="J511" s="78" t="n">
        <v>3.05</v>
      </c>
      <c r="K511" s="14">
        <f>ROUND((H511-J511)*J511*IF(B511="Carbon Steel",$K$7,IF(B511="Stainless Steel 304",$K$8,$L$8)), 3)</f>
        <v/>
      </c>
      <c r="L511" s="78">
        <f>ROUND(K511*$G$5, 2)</f>
        <v/>
      </c>
      <c r="M511" s="93">
        <f>INT($G$6/H511)</f>
        <v/>
      </c>
      <c r="N511" s="93">
        <f>IF(M511=0, 0, IF(OR($K$6="Square Grid", M511=1), INT($G$7/H511), IF($G$7&lt;H511, 0, 1+INT(($G$7-H511)/(0.8660254*H511)))))</f>
        <v/>
      </c>
      <c r="O511" s="59">
        <f>IF(OR(M511=0,N511=0), 0, IF(OR($K$6="Square Grid", M511=1), M511*N511*$K$5, (INT((N511+1)/2)*M511 + INT(N511/2)*IF(($G$6-M511*H511)&gt;=0.5*H511, M511, M511-1))*$K$5))</f>
        <v/>
      </c>
      <c r="P511" s="59">
        <f>IF(L511&lt;=0, 0, INT($G$8/L511))</f>
        <v/>
      </c>
      <c r="Q511" s="95">
        <f>MIN(O511, P511)</f>
        <v/>
      </c>
      <c r="R511" s="96">
        <f>ROUND((Q511*L511)/1000, 2)</f>
        <v/>
      </c>
      <c r="S511" s="79">
        <f>IF($C$8&gt;0, R511/$C$8, 0)</f>
        <v/>
      </c>
      <c r="T511" s="79">
        <f>IF(O511&gt;0, Q511/O511, 0)</f>
        <v/>
      </c>
      <c r="U511" s="12">
        <f>IF(Q511=0, "Exceeds Limit", IF(P511&lt;=O511, "Weight Limited", "Volume Limited"))</f>
        <v/>
      </c>
      <c r="V511" s="97">
        <f>B511&amp;"|"&amp;D511&amp;"|"&amp;F511</f>
        <v/>
      </c>
    </row>
    <row r="512" ht="19" customHeight="1">
      <c r="A512" s="98" t="n">
        <v>502</v>
      </c>
      <c r="B512" s="102" t="inlineStr">
        <is>
          <t>Stainless Steel 304</t>
        </is>
      </c>
      <c r="C512" s="19" t="inlineStr">
        <is>
          <t>ASME B36.19M / B36.10M</t>
        </is>
      </c>
      <c r="D512" s="18" t="inlineStr">
        <is>
          <t>2-1/2''</t>
        </is>
      </c>
      <c r="E512" s="98" t="n">
        <v>65</v>
      </c>
      <c r="F512" s="18" t="inlineStr">
        <is>
          <t>30</t>
        </is>
      </c>
      <c r="G512" s="20" t="n">
        <v>2.875</v>
      </c>
      <c r="H512" s="82" t="n">
        <v>73.02</v>
      </c>
      <c r="I512" s="20" t="n">
        <v>0.188</v>
      </c>
      <c r="J512" s="82" t="n">
        <v>4.78</v>
      </c>
      <c r="K512" s="20">
        <f>ROUND((H512-J512)*J512*IF(B512="Carbon Steel",$K$7,IF(B512="Stainless Steel 304",$K$8,$L$8)), 3)</f>
        <v/>
      </c>
      <c r="L512" s="82">
        <f>ROUND(K512*$G$5, 2)</f>
        <v/>
      </c>
      <c r="M512" s="98">
        <f>INT($G$6/H512)</f>
        <v/>
      </c>
      <c r="N512" s="98">
        <f>IF(M512=0, 0, IF(OR($K$6="Square Grid", M512=1), INT($G$7/H512), IF($G$7&lt;H512, 0, 1+INT(($G$7-H512)/(0.8660254*H512)))))</f>
        <v/>
      </c>
      <c r="O512" s="84">
        <f>IF(OR(M512=0,N512=0), 0, IF(OR($K$6="Square Grid", M512=1), M512*N512*$K$5, (INT((N512+1)/2)*M512 + INT(N512/2)*IF(($G$6-M512*H512)&gt;=0.5*H512, M512, M512-1))*$K$5))</f>
        <v/>
      </c>
      <c r="P512" s="84">
        <f>IF(L512&lt;=0, 0, INT($G$8/L512))</f>
        <v/>
      </c>
      <c r="Q512" s="95">
        <f>MIN(O512, P512)</f>
        <v/>
      </c>
      <c r="R512" s="96">
        <f>ROUND((Q512*L512)/1000, 2)</f>
        <v/>
      </c>
      <c r="S512" s="85">
        <f>IF($C$8&gt;0, R512/$C$8, 0)</f>
        <v/>
      </c>
      <c r="T512" s="85">
        <f>IF(O512&gt;0, Q512/O512, 0)</f>
        <v/>
      </c>
      <c r="U512" s="18">
        <f>IF(Q512=0, "Exceeds Limit", IF(P512&lt;=O512, "Weight Limited", "Volume Limited"))</f>
        <v/>
      </c>
      <c r="V512" s="100">
        <f>B512&amp;"|"&amp;D512&amp;"|"&amp;F512</f>
        <v/>
      </c>
    </row>
    <row r="513" ht="19" customHeight="1">
      <c r="A513" s="93" t="n">
        <v>503</v>
      </c>
      <c r="B513" s="101" t="inlineStr">
        <is>
          <t>Stainless Steel 304</t>
        </is>
      </c>
      <c r="C513" s="13" t="inlineStr">
        <is>
          <t>ASME B36.19M / B36.10M</t>
        </is>
      </c>
      <c r="D513" s="12" t="inlineStr">
        <is>
          <t>2-1/2''</t>
        </is>
      </c>
      <c r="E513" s="93" t="n">
        <v>65</v>
      </c>
      <c r="F513" s="12" t="inlineStr">
        <is>
          <t>40S</t>
        </is>
      </c>
      <c r="G513" s="14" t="n">
        <v>2.875</v>
      </c>
      <c r="H513" s="78" t="n">
        <v>73.02</v>
      </c>
      <c r="I513" s="14" t="n">
        <v>0.203</v>
      </c>
      <c r="J513" s="78" t="n">
        <v>5.16</v>
      </c>
      <c r="K513" s="14">
        <f>ROUND((H513-J513)*J513*IF(B513="Carbon Steel",$K$7,IF(B513="Stainless Steel 304",$K$8,$L$8)), 3)</f>
        <v/>
      </c>
      <c r="L513" s="78">
        <f>ROUND(K513*$G$5, 2)</f>
        <v/>
      </c>
      <c r="M513" s="93">
        <f>INT($G$6/H513)</f>
        <v/>
      </c>
      <c r="N513" s="93">
        <f>IF(M513=0, 0, IF(OR($K$6="Square Grid", M513=1), INT($G$7/H513), IF($G$7&lt;H513, 0, 1+INT(($G$7-H513)/(0.8660254*H513)))))</f>
        <v/>
      </c>
      <c r="O513" s="59">
        <f>IF(OR(M513=0,N513=0), 0, IF(OR($K$6="Square Grid", M513=1), M513*N513*$K$5, (INT((N513+1)/2)*M513 + INT(N513/2)*IF(($G$6-M513*H513)&gt;=0.5*H513, M513, M513-1))*$K$5))</f>
        <v/>
      </c>
      <c r="P513" s="59">
        <f>IF(L513&lt;=0, 0, INT($G$8/L513))</f>
        <v/>
      </c>
      <c r="Q513" s="95">
        <f>MIN(O513, P513)</f>
        <v/>
      </c>
      <c r="R513" s="96">
        <f>ROUND((Q513*L513)/1000, 2)</f>
        <v/>
      </c>
      <c r="S513" s="79">
        <f>IF($C$8&gt;0, R513/$C$8, 0)</f>
        <v/>
      </c>
      <c r="T513" s="79">
        <f>IF(O513&gt;0, Q513/O513, 0)</f>
        <v/>
      </c>
      <c r="U513" s="12">
        <f>IF(Q513=0, "Exceeds Limit", IF(P513&lt;=O513, "Weight Limited", "Volume Limited"))</f>
        <v/>
      </c>
      <c r="V513" s="97">
        <f>B513&amp;"|"&amp;D513&amp;"|"&amp;F513</f>
        <v/>
      </c>
    </row>
    <row r="514" ht="19" customHeight="1">
      <c r="A514" s="98" t="n">
        <v>504</v>
      </c>
      <c r="B514" s="102" t="inlineStr">
        <is>
          <t>Stainless Steel 304</t>
        </is>
      </c>
      <c r="C514" s="19" t="inlineStr">
        <is>
          <t>ASME B36.19M / B36.10M</t>
        </is>
      </c>
      <c r="D514" s="18" t="inlineStr">
        <is>
          <t>2-1/2''</t>
        </is>
      </c>
      <c r="E514" s="98" t="n">
        <v>65</v>
      </c>
      <c r="F514" s="18" t="inlineStr">
        <is>
          <t>STD</t>
        </is>
      </c>
      <c r="G514" s="20" t="n">
        <v>2.875</v>
      </c>
      <c r="H514" s="82" t="n">
        <v>73.02</v>
      </c>
      <c r="I514" s="20" t="n">
        <v>0.203</v>
      </c>
      <c r="J514" s="82" t="n">
        <v>5.16</v>
      </c>
      <c r="K514" s="20">
        <f>ROUND((H514-J514)*J514*IF(B514="Carbon Steel",$K$7,IF(B514="Stainless Steel 304",$K$8,$L$8)), 3)</f>
        <v/>
      </c>
      <c r="L514" s="82">
        <f>ROUND(K514*$G$5, 2)</f>
        <v/>
      </c>
      <c r="M514" s="98">
        <f>INT($G$6/H514)</f>
        <v/>
      </c>
      <c r="N514" s="98">
        <f>IF(M514=0, 0, IF(OR($K$6="Square Grid", M514=1), INT($G$7/H514), IF($G$7&lt;H514, 0, 1+INT(($G$7-H514)/(0.8660254*H514)))))</f>
        <v/>
      </c>
      <c r="O514" s="84">
        <f>IF(OR(M514=0,N514=0), 0, IF(OR($K$6="Square Grid", M514=1), M514*N514*$K$5, (INT((N514+1)/2)*M514 + INT(N514/2)*IF(($G$6-M514*H514)&gt;=0.5*H514, M514, M514-1))*$K$5))</f>
        <v/>
      </c>
      <c r="P514" s="84">
        <f>IF(L514&lt;=0, 0, INT($G$8/L514))</f>
        <v/>
      </c>
      <c r="Q514" s="95">
        <f>MIN(O514, P514)</f>
        <v/>
      </c>
      <c r="R514" s="96">
        <f>ROUND((Q514*L514)/1000, 2)</f>
        <v/>
      </c>
      <c r="S514" s="85">
        <f>IF($C$8&gt;0, R514/$C$8, 0)</f>
        <v/>
      </c>
      <c r="T514" s="85">
        <f>IF(O514&gt;0, Q514/O514, 0)</f>
        <v/>
      </c>
      <c r="U514" s="18">
        <f>IF(Q514=0, "Exceeds Limit", IF(P514&lt;=O514, "Weight Limited", "Volume Limited"))</f>
        <v/>
      </c>
      <c r="V514" s="100">
        <f>B514&amp;"|"&amp;D514&amp;"|"&amp;F514</f>
        <v/>
      </c>
    </row>
    <row r="515" ht="19" customHeight="1">
      <c r="A515" s="93" t="n">
        <v>505</v>
      </c>
      <c r="B515" s="101" t="inlineStr">
        <is>
          <t>Stainless Steel 304</t>
        </is>
      </c>
      <c r="C515" s="13" t="inlineStr">
        <is>
          <t>ASME B36.19M / B36.10M</t>
        </is>
      </c>
      <c r="D515" s="12" t="inlineStr">
        <is>
          <t>2-1/2''</t>
        </is>
      </c>
      <c r="E515" s="93" t="n">
        <v>65</v>
      </c>
      <c r="F515" s="12" t="inlineStr">
        <is>
          <t>40</t>
        </is>
      </c>
      <c r="G515" s="14" t="n">
        <v>2.875</v>
      </c>
      <c r="H515" s="78" t="n">
        <v>73.02</v>
      </c>
      <c r="I515" s="14" t="n">
        <v>0.203</v>
      </c>
      <c r="J515" s="78" t="n">
        <v>5.16</v>
      </c>
      <c r="K515" s="14">
        <f>ROUND((H515-J515)*J515*IF(B515="Carbon Steel",$K$7,IF(B515="Stainless Steel 304",$K$8,$L$8)), 3)</f>
        <v/>
      </c>
      <c r="L515" s="78">
        <f>ROUND(K515*$G$5, 2)</f>
        <v/>
      </c>
      <c r="M515" s="93">
        <f>INT($G$6/H515)</f>
        <v/>
      </c>
      <c r="N515" s="93">
        <f>IF(M515=0, 0, IF(OR($K$6="Square Grid", M515=1), INT($G$7/H515), IF($G$7&lt;H515, 0, 1+INT(($G$7-H515)/(0.8660254*H515)))))</f>
        <v/>
      </c>
      <c r="O515" s="59">
        <f>IF(OR(M515=0,N515=0), 0, IF(OR($K$6="Square Grid", M515=1), M515*N515*$K$5, (INT((N515+1)/2)*M515 + INT(N515/2)*IF(($G$6-M515*H515)&gt;=0.5*H515, M515, M515-1))*$K$5))</f>
        <v/>
      </c>
      <c r="P515" s="59">
        <f>IF(L515&lt;=0, 0, INT($G$8/L515))</f>
        <v/>
      </c>
      <c r="Q515" s="95">
        <f>MIN(O515, P515)</f>
        <v/>
      </c>
      <c r="R515" s="96">
        <f>ROUND((Q515*L515)/1000, 2)</f>
        <v/>
      </c>
      <c r="S515" s="79">
        <f>IF($C$8&gt;0, R515/$C$8, 0)</f>
        <v/>
      </c>
      <c r="T515" s="79">
        <f>IF(O515&gt;0, Q515/O515, 0)</f>
        <v/>
      </c>
      <c r="U515" s="12">
        <f>IF(Q515=0, "Exceeds Limit", IF(P515&lt;=O515, "Weight Limited", "Volume Limited"))</f>
        <v/>
      </c>
      <c r="V515" s="97">
        <f>B515&amp;"|"&amp;D515&amp;"|"&amp;F515</f>
        <v/>
      </c>
    </row>
    <row r="516" ht="19" customHeight="1">
      <c r="A516" s="98" t="n">
        <v>506</v>
      </c>
      <c r="B516" s="102" t="inlineStr">
        <is>
          <t>Stainless Steel 304</t>
        </is>
      </c>
      <c r="C516" s="19" t="inlineStr">
        <is>
          <t>ASME B36.19M / B36.10M</t>
        </is>
      </c>
      <c r="D516" s="18" t="inlineStr">
        <is>
          <t>2-1/2''</t>
        </is>
      </c>
      <c r="E516" s="98" t="n">
        <v>65</v>
      </c>
      <c r="F516" s="18" t="inlineStr">
        <is>
          <t>80S</t>
        </is>
      </c>
      <c r="G516" s="20" t="n">
        <v>2.875</v>
      </c>
      <c r="H516" s="82" t="n">
        <v>73.02</v>
      </c>
      <c r="I516" s="20" t="n">
        <v>0.276</v>
      </c>
      <c r="J516" s="82" t="n">
        <v>7.01</v>
      </c>
      <c r="K516" s="20">
        <f>ROUND((H516-J516)*J516*IF(B516="Carbon Steel",$K$7,IF(B516="Stainless Steel 304",$K$8,$L$8)), 3)</f>
        <v/>
      </c>
      <c r="L516" s="82">
        <f>ROUND(K516*$G$5, 2)</f>
        <v/>
      </c>
      <c r="M516" s="98">
        <f>INT($G$6/H516)</f>
        <v/>
      </c>
      <c r="N516" s="98">
        <f>IF(M516=0, 0, IF(OR($K$6="Square Grid", M516=1), INT($G$7/H516), IF($G$7&lt;H516, 0, 1+INT(($G$7-H516)/(0.8660254*H516)))))</f>
        <v/>
      </c>
      <c r="O516" s="84">
        <f>IF(OR(M516=0,N516=0), 0, IF(OR($K$6="Square Grid", M516=1), M516*N516*$K$5, (INT((N516+1)/2)*M516 + INT(N516/2)*IF(($G$6-M516*H516)&gt;=0.5*H516, M516, M516-1))*$K$5))</f>
        <v/>
      </c>
      <c r="P516" s="84">
        <f>IF(L516&lt;=0, 0, INT($G$8/L516))</f>
        <v/>
      </c>
      <c r="Q516" s="95">
        <f>MIN(O516, P516)</f>
        <v/>
      </c>
      <c r="R516" s="96">
        <f>ROUND((Q516*L516)/1000, 2)</f>
        <v/>
      </c>
      <c r="S516" s="85">
        <f>IF($C$8&gt;0, R516/$C$8, 0)</f>
        <v/>
      </c>
      <c r="T516" s="85">
        <f>IF(O516&gt;0, Q516/O516, 0)</f>
        <v/>
      </c>
      <c r="U516" s="18">
        <f>IF(Q516=0, "Exceeds Limit", IF(P516&lt;=O516, "Weight Limited", "Volume Limited"))</f>
        <v/>
      </c>
      <c r="V516" s="100">
        <f>B516&amp;"|"&amp;D516&amp;"|"&amp;F516</f>
        <v/>
      </c>
    </row>
    <row r="517" ht="19" customHeight="1">
      <c r="A517" s="93" t="n">
        <v>507</v>
      </c>
      <c r="B517" s="101" t="inlineStr">
        <is>
          <t>Stainless Steel 304</t>
        </is>
      </c>
      <c r="C517" s="13" t="inlineStr">
        <is>
          <t>ASME B36.19M / B36.10M</t>
        </is>
      </c>
      <c r="D517" s="12" t="inlineStr">
        <is>
          <t>2-1/2''</t>
        </is>
      </c>
      <c r="E517" s="93" t="n">
        <v>65</v>
      </c>
      <c r="F517" s="12" t="inlineStr">
        <is>
          <t>XS</t>
        </is>
      </c>
      <c r="G517" s="14" t="n">
        <v>2.875</v>
      </c>
      <c r="H517" s="78" t="n">
        <v>73.02</v>
      </c>
      <c r="I517" s="14" t="n">
        <v>0.276</v>
      </c>
      <c r="J517" s="78" t="n">
        <v>7.01</v>
      </c>
      <c r="K517" s="14">
        <f>ROUND((H517-J517)*J517*IF(B517="Carbon Steel",$K$7,IF(B517="Stainless Steel 304",$K$8,$L$8)), 3)</f>
        <v/>
      </c>
      <c r="L517" s="78">
        <f>ROUND(K517*$G$5, 2)</f>
        <v/>
      </c>
      <c r="M517" s="93">
        <f>INT($G$6/H517)</f>
        <v/>
      </c>
      <c r="N517" s="93">
        <f>IF(M517=0, 0, IF(OR($K$6="Square Grid", M517=1), INT($G$7/H517), IF($G$7&lt;H517, 0, 1+INT(($G$7-H517)/(0.8660254*H517)))))</f>
        <v/>
      </c>
      <c r="O517" s="59">
        <f>IF(OR(M517=0,N517=0), 0, IF(OR($K$6="Square Grid", M517=1), M517*N517*$K$5, (INT((N517+1)/2)*M517 + INT(N517/2)*IF(($G$6-M517*H517)&gt;=0.5*H517, M517, M517-1))*$K$5))</f>
        <v/>
      </c>
      <c r="P517" s="59">
        <f>IF(L517&lt;=0, 0, INT($G$8/L517))</f>
        <v/>
      </c>
      <c r="Q517" s="95">
        <f>MIN(O517, P517)</f>
        <v/>
      </c>
      <c r="R517" s="96">
        <f>ROUND((Q517*L517)/1000, 2)</f>
        <v/>
      </c>
      <c r="S517" s="79">
        <f>IF($C$8&gt;0, R517/$C$8, 0)</f>
        <v/>
      </c>
      <c r="T517" s="79">
        <f>IF(O517&gt;0, Q517/O517, 0)</f>
        <v/>
      </c>
      <c r="U517" s="12">
        <f>IF(Q517=0, "Exceeds Limit", IF(P517&lt;=O517, "Weight Limited", "Volume Limited"))</f>
        <v/>
      </c>
      <c r="V517" s="97">
        <f>B517&amp;"|"&amp;D517&amp;"|"&amp;F517</f>
        <v/>
      </c>
    </row>
    <row r="518" ht="19" customHeight="1">
      <c r="A518" s="98" t="n">
        <v>508</v>
      </c>
      <c r="B518" s="102" t="inlineStr">
        <is>
          <t>Stainless Steel 304</t>
        </is>
      </c>
      <c r="C518" s="19" t="inlineStr">
        <is>
          <t>ASME B36.19M / B36.10M</t>
        </is>
      </c>
      <c r="D518" s="18" t="inlineStr">
        <is>
          <t>2-1/2''</t>
        </is>
      </c>
      <c r="E518" s="98" t="n">
        <v>65</v>
      </c>
      <c r="F518" s="18" t="inlineStr">
        <is>
          <t>80</t>
        </is>
      </c>
      <c r="G518" s="20" t="n">
        <v>2.875</v>
      </c>
      <c r="H518" s="82" t="n">
        <v>73.02</v>
      </c>
      <c r="I518" s="20" t="n">
        <v>0.276</v>
      </c>
      <c r="J518" s="82" t="n">
        <v>7.01</v>
      </c>
      <c r="K518" s="20">
        <f>ROUND((H518-J518)*J518*IF(B518="Carbon Steel",$K$7,IF(B518="Stainless Steel 304",$K$8,$L$8)), 3)</f>
        <v/>
      </c>
      <c r="L518" s="82">
        <f>ROUND(K518*$G$5, 2)</f>
        <v/>
      </c>
      <c r="M518" s="98">
        <f>INT($G$6/H518)</f>
        <v/>
      </c>
      <c r="N518" s="98">
        <f>IF(M518=0, 0, IF(OR($K$6="Square Grid", M518=1), INT($G$7/H518), IF($G$7&lt;H518, 0, 1+INT(($G$7-H518)/(0.8660254*H518)))))</f>
        <v/>
      </c>
      <c r="O518" s="84">
        <f>IF(OR(M518=0,N518=0), 0, IF(OR($K$6="Square Grid", M518=1), M518*N518*$K$5, (INT((N518+1)/2)*M518 + INT(N518/2)*IF(($G$6-M518*H518)&gt;=0.5*H518, M518, M518-1))*$K$5))</f>
        <v/>
      </c>
      <c r="P518" s="84">
        <f>IF(L518&lt;=0, 0, INT($G$8/L518))</f>
        <v/>
      </c>
      <c r="Q518" s="95">
        <f>MIN(O518, P518)</f>
        <v/>
      </c>
      <c r="R518" s="96">
        <f>ROUND((Q518*L518)/1000, 2)</f>
        <v/>
      </c>
      <c r="S518" s="85">
        <f>IF($C$8&gt;0, R518/$C$8, 0)</f>
        <v/>
      </c>
      <c r="T518" s="85">
        <f>IF(O518&gt;0, Q518/O518, 0)</f>
        <v/>
      </c>
      <c r="U518" s="18">
        <f>IF(Q518=0, "Exceeds Limit", IF(P518&lt;=O518, "Weight Limited", "Volume Limited"))</f>
        <v/>
      </c>
      <c r="V518" s="100">
        <f>B518&amp;"|"&amp;D518&amp;"|"&amp;F518</f>
        <v/>
      </c>
    </row>
    <row r="519" ht="19" customHeight="1">
      <c r="A519" s="93" t="n">
        <v>509</v>
      </c>
      <c r="B519" s="101" t="inlineStr">
        <is>
          <t>Stainless Steel 304</t>
        </is>
      </c>
      <c r="C519" s="13" t="inlineStr">
        <is>
          <t>ASME B36.19M / B36.10M</t>
        </is>
      </c>
      <c r="D519" s="12" t="inlineStr">
        <is>
          <t>2-1/2''</t>
        </is>
      </c>
      <c r="E519" s="93" t="n">
        <v>65</v>
      </c>
      <c r="F519" s="12" t="inlineStr">
        <is>
          <t>160</t>
        </is>
      </c>
      <c r="G519" s="14" t="n">
        <v>2.875</v>
      </c>
      <c r="H519" s="78" t="n">
        <v>73.02</v>
      </c>
      <c r="I519" s="14" t="n">
        <v>0.375</v>
      </c>
      <c r="J519" s="78" t="n">
        <v>9.52</v>
      </c>
      <c r="K519" s="14">
        <f>ROUND((H519-J519)*J519*IF(B519="Carbon Steel",$K$7,IF(B519="Stainless Steel 304",$K$8,$L$8)), 3)</f>
        <v/>
      </c>
      <c r="L519" s="78">
        <f>ROUND(K519*$G$5, 2)</f>
        <v/>
      </c>
      <c r="M519" s="93">
        <f>INT($G$6/H519)</f>
        <v/>
      </c>
      <c r="N519" s="93">
        <f>IF(M519=0, 0, IF(OR($K$6="Square Grid", M519=1), INT($G$7/H519), IF($G$7&lt;H519, 0, 1+INT(($G$7-H519)/(0.8660254*H519)))))</f>
        <v/>
      </c>
      <c r="O519" s="59">
        <f>IF(OR(M519=0,N519=0), 0, IF(OR($K$6="Square Grid", M519=1), M519*N519*$K$5, (INT((N519+1)/2)*M519 + INT(N519/2)*IF(($G$6-M519*H519)&gt;=0.5*H519, M519, M519-1))*$K$5))</f>
        <v/>
      </c>
      <c r="P519" s="59">
        <f>IF(L519&lt;=0, 0, INT($G$8/L519))</f>
        <v/>
      </c>
      <c r="Q519" s="95">
        <f>MIN(O519, P519)</f>
        <v/>
      </c>
      <c r="R519" s="96">
        <f>ROUND((Q519*L519)/1000, 2)</f>
        <v/>
      </c>
      <c r="S519" s="79">
        <f>IF($C$8&gt;0, R519/$C$8, 0)</f>
        <v/>
      </c>
      <c r="T519" s="79">
        <f>IF(O519&gt;0, Q519/O519, 0)</f>
        <v/>
      </c>
      <c r="U519" s="12">
        <f>IF(Q519=0, "Exceeds Limit", IF(P519&lt;=O519, "Weight Limited", "Volume Limited"))</f>
        <v/>
      </c>
      <c r="V519" s="97">
        <f>B519&amp;"|"&amp;D519&amp;"|"&amp;F519</f>
        <v/>
      </c>
    </row>
    <row r="520" ht="19" customHeight="1">
      <c r="A520" s="98" t="n">
        <v>510</v>
      </c>
      <c r="B520" s="102" t="inlineStr">
        <is>
          <t>Stainless Steel 304</t>
        </is>
      </c>
      <c r="C520" s="19" t="inlineStr">
        <is>
          <t>ASME B36.19M / B36.10M</t>
        </is>
      </c>
      <c r="D520" s="18" t="inlineStr">
        <is>
          <t>2-1/2''</t>
        </is>
      </c>
      <c r="E520" s="98" t="n">
        <v>65</v>
      </c>
      <c r="F520" s="18" t="inlineStr">
        <is>
          <t>XXS</t>
        </is>
      </c>
      <c r="G520" s="20" t="n">
        <v>2.875</v>
      </c>
      <c r="H520" s="82" t="n">
        <v>73.02</v>
      </c>
      <c r="I520" s="20" t="n">
        <v>0.552</v>
      </c>
      <c r="J520" s="82" t="n">
        <v>14.02</v>
      </c>
      <c r="K520" s="20">
        <f>ROUND((H520-J520)*J520*IF(B520="Carbon Steel",$K$7,IF(B520="Stainless Steel 304",$K$8,$L$8)), 3)</f>
        <v/>
      </c>
      <c r="L520" s="82">
        <f>ROUND(K520*$G$5, 2)</f>
        <v/>
      </c>
      <c r="M520" s="98">
        <f>INT($G$6/H520)</f>
        <v/>
      </c>
      <c r="N520" s="98">
        <f>IF(M520=0, 0, IF(OR($K$6="Square Grid", M520=1), INT($G$7/H520), IF($G$7&lt;H520, 0, 1+INT(($G$7-H520)/(0.8660254*H520)))))</f>
        <v/>
      </c>
      <c r="O520" s="84">
        <f>IF(OR(M520=0,N520=0), 0, IF(OR($K$6="Square Grid", M520=1), M520*N520*$K$5, (INT((N520+1)/2)*M520 + INT(N520/2)*IF(($G$6-M520*H520)&gt;=0.5*H520, M520, M520-1))*$K$5))</f>
        <v/>
      </c>
      <c r="P520" s="84">
        <f>IF(L520&lt;=0, 0, INT($G$8/L520))</f>
        <v/>
      </c>
      <c r="Q520" s="95">
        <f>MIN(O520, P520)</f>
        <v/>
      </c>
      <c r="R520" s="96">
        <f>ROUND((Q520*L520)/1000, 2)</f>
        <v/>
      </c>
      <c r="S520" s="85">
        <f>IF($C$8&gt;0, R520/$C$8, 0)</f>
        <v/>
      </c>
      <c r="T520" s="85">
        <f>IF(O520&gt;0, Q520/O520, 0)</f>
        <v/>
      </c>
      <c r="U520" s="18">
        <f>IF(Q520=0, "Exceeds Limit", IF(P520&lt;=O520, "Weight Limited", "Volume Limited"))</f>
        <v/>
      </c>
      <c r="V520" s="100">
        <f>B520&amp;"|"&amp;D520&amp;"|"&amp;F520</f>
        <v/>
      </c>
    </row>
    <row r="521" ht="19" customHeight="1">
      <c r="A521" s="93" t="n">
        <v>511</v>
      </c>
      <c r="B521" s="101" t="inlineStr">
        <is>
          <t>Stainless Steel 304</t>
        </is>
      </c>
      <c r="C521" s="13" t="inlineStr">
        <is>
          <t>ASME B36.19M / B36.10M</t>
        </is>
      </c>
      <c r="D521" s="12" t="inlineStr">
        <is>
          <t>3''</t>
        </is>
      </c>
      <c r="E521" s="93" t="n">
        <v>80</v>
      </c>
      <c r="F521" s="12" t="inlineStr">
        <is>
          <t>5S</t>
        </is>
      </c>
      <c r="G521" s="14" t="n">
        <v>3.5</v>
      </c>
      <c r="H521" s="78" t="n">
        <v>88.90000000000001</v>
      </c>
      <c r="I521" s="14" t="n">
        <v>0.083</v>
      </c>
      <c r="J521" s="78" t="n">
        <v>2.11</v>
      </c>
      <c r="K521" s="14">
        <f>ROUND((H521-J521)*J521*IF(B521="Carbon Steel",$K$7,IF(B521="Stainless Steel 304",$K$8,$L$8)), 3)</f>
        <v/>
      </c>
      <c r="L521" s="78">
        <f>ROUND(K521*$G$5, 2)</f>
        <v/>
      </c>
      <c r="M521" s="93">
        <f>INT($G$6/H521)</f>
        <v/>
      </c>
      <c r="N521" s="93">
        <f>IF(M521=0, 0, IF(OR($K$6="Square Grid", M521=1), INT($G$7/H521), IF($G$7&lt;H521, 0, 1+INT(($G$7-H521)/(0.8660254*H521)))))</f>
        <v/>
      </c>
      <c r="O521" s="59">
        <f>IF(OR(M521=0,N521=0), 0, IF(OR($K$6="Square Grid", M521=1), M521*N521*$K$5, (INT((N521+1)/2)*M521 + INT(N521/2)*IF(($G$6-M521*H521)&gt;=0.5*H521, M521, M521-1))*$K$5))</f>
        <v/>
      </c>
      <c r="P521" s="59">
        <f>IF(L521&lt;=0, 0, INT($G$8/L521))</f>
        <v/>
      </c>
      <c r="Q521" s="95">
        <f>MIN(O521, P521)</f>
        <v/>
      </c>
      <c r="R521" s="96">
        <f>ROUND((Q521*L521)/1000, 2)</f>
        <v/>
      </c>
      <c r="S521" s="79">
        <f>IF($C$8&gt;0, R521/$C$8, 0)</f>
        <v/>
      </c>
      <c r="T521" s="79">
        <f>IF(O521&gt;0, Q521/O521, 0)</f>
        <v/>
      </c>
      <c r="U521" s="12">
        <f>IF(Q521=0, "Exceeds Limit", IF(P521&lt;=O521, "Weight Limited", "Volume Limited"))</f>
        <v/>
      </c>
      <c r="V521" s="97">
        <f>B521&amp;"|"&amp;D521&amp;"|"&amp;F521</f>
        <v/>
      </c>
    </row>
    <row r="522" ht="19" customHeight="1">
      <c r="A522" s="98" t="n">
        <v>512</v>
      </c>
      <c r="B522" s="102" t="inlineStr">
        <is>
          <t>Stainless Steel 304</t>
        </is>
      </c>
      <c r="C522" s="19" t="inlineStr">
        <is>
          <t>ASME B36.19M / B36.10M</t>
        </is>
      </c>
      <c r="D522" s="18" t="inlineStr">
        <is>
          <t>3''</t>
        </is>
      </c>
      <c r="E522" s="98" t="n">
        <v>80</v>
      </c>
      <c r="F522" s="18" t="inlineStr">
        <is>
          <t>5</t>
        </is>
      </c>
      <c r="G522" s="20" t="n">
        <v>3.5</v>
      </c>
      <c r="H522" s="82" t="n">
        <v>88.90000000000001</v>
      </c>
      <c r="I522" s="20" t="n">
        <v>0.083</v>
      </c>
      <c r="J522" s="82" t="n">
        <v>2.11</v>
      </c>
      <c r="K522" s="20">
        <f>ROUND((H522-J522)*J522*IF(B522="Carbon Steel",$K$7,IF(B522="Stainless Steel 304",$K$8,$L$8)), 3)</f>
        <v/>
      </c>
      <c r="L522" s="82">
        <f>ROUND(K522*$G$5, 2)</f>
        <v/>
      </c>
      <c r="M522" s="98">
        <f>INT($G$6/H522)</f>
        <v/>
      </c>
      <c r="N522" s="98">
        <f>IF(M522=0, 0, IF(OR($K$6="Square Grid", M522=1), INT($G$7/H522), IF($G$7&lt;H522, 0, 1+INT(($G$7-H522)/(0.8660254*H522)))))</f>
        <v/>
      </c>
      <c r="O522" s="84">
        <f>IF(OR(M522=0,N522=0), 0, IF(OR($K$6="Square Grid", M522=1), M522*N522*$K$5, (INT((N522+1)/2)*M522 + INT(N522/2)*IF(($G$6-M522*H522)&gt;=0.5*H522, M522, M522-1))*$K$5))</f>
        <v/>
      </c>
      <c r="P522" s="84">
        <f>IF(L522&lt;=0, 0, INT($G$8/L522))</f>
        <v/>
      </c>
      <c r="Q522" s="95">
        <f>MIN(O522, P522)</f>
        <v/>
      </c>
      <c r="R522" s="96">
        <f>ROUND((Q522*L522)/1000, 2)</f>
        <v/>
      </c>
      <c r="S522" s="85">
        <f>IF($C$8&gt;0, R522/$C$8, 0)</f>
        <v/>
      </c>
      <c r="T522" s="85">
        <f>IF(O522&gt;0, Q522/O522, 0)</f>
        <v/>
      </c>
      <c r="U522" s="18">
        <f>IF(Q522=0, "Exceeds Limit", IF(P522&lt;=O522, "Weight Limited", "Volume Limited"))</f>
        <v/>
      </c>
      <c r="V522" s="100">
        <f>B522&amp;"|"&amp;D522&amp;"|"&amp;F522</f>
        <v/>
      </c>
    </row>
    <row r="523" ht="19" customHeight="1">
      <c r="A523" s="93" t="n">
        <v>513</v>
      </c>
      <c r="B523" s="101" t="inlineStr">
        <is>
          <t>Stainless Steel 304</t>
        </is>
      </c>
      <c r="C523" s="13" t="inlineStr">
        <is>
          <t>ASME B36.19M / B36.10M</t>
        </is>
      </c>
      <c r="D523" s="12" t="inlineStr">
        <is>
          <t>3''</t>
        </is>
      </c>
      <c r="E523" s="93" t="n">
        <v>80</v>
      </c>
      <c r="F523" s="12" t="inlineStr">
        <is>
          <t>10S</t>
        </is>
      </c>
      <c r="G523" s="14" t="n">
        <v>3.5</v>
      </c>
      <c r="H523" s="78" t="n">
        <v>88.90000000000001</v>
      </c>
      <c r="I523" s="14" t="n">
        <v>0.12</v>
      </c>
      <c r="J523" s="78" t="n">
        <v>3.05</v>
      </c>
      <c r="K523" s="14">
        <f>ROUND((H523-J523)*J523*IF(B523="Carbon Steel",$K$7,IF(B523="Stainless Steel 304",$K$8,$L$8)), 3)</f>
        <v/>
      </c>
      <c r="L523" s="78">
        <f>ROUND(K523*$G$5, 2)</f>
        <v/>
      </c>
      <c r="M523" s="93">
        <f>INT($G$6/H523)</f>
        <v/>
      </c>
      <c r="N523" s="93">
        <f>IF(M523=0, 0, IF(OR($K$6="Square Grid", M523=1), INT($G$7/H523), IF($G$7&lt;H523, 0, 1+INT(($G$7-H523)/(0.8660254*H523)))))</f>
        <v/>
      </c>
      <c r="O523" s="59">
        <f>IF(OR(M523=0,N523=0), 0, IF(OR($K$6="Square Grid", M523=1), M523*N523*$K$5, (INT((N523+1)/2)*M523 + INT(N523/2)*IF(($G$6-M523*H523)&gt;=0.5*H523, M523, M523-1))*$K$5))</f>
        <v/>
      </c>
      <c r="P523" s="59">
        <f>IF(L523&lt;=0, 0, INT($G$8/L523))</f>
        <v/>
      </c>
      <c r="Q523" s="95">
        <f>MIN(O523, P523)</f>
        <v/>
      </c>
      <c r="R523" s="96">
        <f>ROUND((Q523*L523)/1000, 2)</f>
        <v/>
      </c>
      <c r="S523" s="79">
        <f>IF($C$8&gt;0, R523/$C$8, 0)</f>
        <v/>
      </c>
      <c r="T523" s="79">
        <f>IF(O523&gt;0, Q523/O523, 0)</f>
        <v/>
      </c>
      <c r="U523" s="12">
        <f>IF(Q523=0, "Exceeds Limit", IF(P523&lt;=O523, "Weight Limited", "Volume Limited"))</f>
        <v/>
      </c>
      <c r="V523" s="97">
        <f>B523&amp;"|"&amp;D523&amp;"|"&amp;F523</f>
        <v/>
      </c>
    </row>
    <row r="524" ht="19" customHeight="1">
      <c r="A524" s="98" t="n">
        <v>514</v>
      </c>
      <c r="B524" s="102" t="inlineStr">
        <is>
          <t>Stainless Steel 304</t>
        </is>
      </c>
      <c r="C524" s="19" t="inlineStr">
        <is>
          <t>ASME B36.19M / B36.10M</t>
        </is>
      </c>
      <c r="D524" s="18" t="inlineStr">
        <is>
          <t>3''</t>
        </is>
      </c>
      <c r="E524" s="98" t="n">
        <v>80</v>
      </c>
      <c r="F524" s="18" t="inlineStr">
        <is>
          <t>10</t>
        </is>
      </c>
      <c r="G524" s="20" t="n">
        <v>3.5</v>
      </c>
      <c r="H524" s="82" t="n">
        <v>88.90000000000001</v>
      </c>
      <c r="I524" s="20" t="n">
        <v>0.12</v>
      </c>
      <c r="J524" s="82" t="n">
        <v>3.05</v>
      </c>
      <c r="K524" s="20">
        <f>ROUND((H524-J524)*J524*IF(B524="Carbon Steel",$K$7,IF(B524="Stainless Steel 304",$K$8,$L$8)), 3)</f>
        <v/>
      </c>
      <c r="L524" s="82">
        <f>ROUND(K524*$G$5, 2)</f>
        <v/>
      </c>
      <c r="M524" s="98">
        <f>INT($G$6/H524)</f>
        <v/>
      </c>
      <c r="N524" s="98">
        <f>IF(M524=0, 0, IF(OR($K$6="Square Grid", M524=1), INT($G$7/H524), IF($G$7&lt;H524, 0, 1+INT(($G$7-H524)/(0.8660254*H524)))))</f>
        <v/>
      </c>
      <c r="O524" s="84">
        <f>IF(OR(M524=0,N524=0), 0, IF(OR($K$6="Square Grid", M524=1), M524*N524*$K$5, (INT((N524+1)/2)*M524 + INT(N524/2)*IF(($G$6-M524*H524)&gt;=0.5*H524, M524, M524-1))*$K$5))</f>
        <v/>
      </c>
      <c r="P524" s="84">
        <f>IF(L524&lt;=0, 0, INT($G$8/L524))</f>
        <v/>
      </c>
      <c r="Q524" s="95">
        <f>MIN(O524, P524)</f>
        <v/>
      </c>
      <c r="R524" s="96">
        <f>ROUND((Q524*L524)/1000, 2)</f>
        <v/>
      </c>
      <c r="S524" s="85">
        <f>IF($C$8&gt;0, R524/$C$8, 0)</f>
        <v/>
      </c>
      <c r="T524" s="85">
        <f>IF(O524&gt;0, Q524/O524, 0)</f>
        <v/>
      </c>
      <c r="U524" s="18">
        <f>IF(Q524=0, "Exceeds Limit", IF(P524&lt;=O524, "Weight Limited", "Volume Limited"))</f>
        <v/>
      </c>
      <c r="V524" s="100">
        <f>B524&amp;"|"&amp;D524&amp;"|"&amp;F524</f>
        <v/>
      </c>
    </row>
    <row r="525" ht="19" customHeight="1">
      <c r="A525" s="93" t="n">
        <v>515</v>
      </c>
      <c r="B525" s="101" t="inlineStr">
        <is>
          <t>Stainless Steel 304</t>
        </is>
      </c>
      <c r="C525" s="13" t="inlineStr">
        <is>
          <t>ASME B36.19M / B36.10M</t>
        </is>
      </c>
      <c r="D525" s="12" t="inlineStr">
        <is>
          <t>3''</t>
        </is>
      </c>
      <c r="E525" s="93" t="n">
        <v>80</v>
      </c>
      <c r="F525" s="12" t="inlineStr">
        <is>
          <t>30</t>
        </is>
      </c>
      <c r="G525" s="14" t="n">
        <v>3.5</v>
      </c>
      <c r="H525" s="78" t="n">
        <v>88.90000000000001</v>
      </c>
      <c r="I525" s="14" t="n">
        <v>0.188</v>
      </c>
      <c r="J525" s="78" t="n">
        <v>4.78</v>
      </c>
      <c r="K525" s="14">
        <f>ROUND((H525-J525)*J525*IF(B525="Carbon Steel",$K$7,IF(B525="Stainless Steel 304",$K$8,$L$8)), 3)</f>
        <v/>
      </c>
      <c r="L525" s="78">
        <f>ROUND(K525*$G$5, 2)</f>
        <v/>
      </c>
      <c r="M525" s="93">
        <f>INT($G$6/H525)</f>
        <v/>
      </c>
      <c r="N525" s="93">
        <f>IF(M525=0, 0, IF(OR($K$6="Square Grid", M525=1), INT($G$7/H525), IF($G$7&lt;H525, 0, 1+INT(($G$7-H525)/(0.8660254*H525)))))</f>
        <v/>
      </c>
      <c r="O525" s="59">
        <f>IF(OR(M525=0,N525=0), 0, IF(OR($K$6="Square Grid", M525=1), M525*N525*$K$5, (INT((N525+1)/2)*M525 + INT(N525/2)*IF(($G$6-M525*H525)&gt;=0.5*H525, M525, M525-1))*$K$5))</f>
        <v/>
      </c>
      <c r="P525" s="59">
        <f>IF(L525&lt;=0, 0, INT($G$8/L525))</f>
        <v/>
      </c>
      <c r="Q525" s="95">
        <f>MIN(O525, P525)</f>
        <v/>
      </c>
      <c r="R525" s="96">
        <f>ROUND((Q525*L525)/1000, 2)</f>
        <v/>
      </c>
      <c r="S525" s="79">
        <f>IF($C$8&gt;0, R525/$C$8, 0)</f>
        <v/>
      </c>
      <c r="T525" s="79">
        <f>IF(O525&gt;0, Q525/O525, 0)</f>
        <v/>
      </c>
      <c r="U525" s="12">
        <f>IF(Q525=0, "Exceeds Limit", IF(P525&lt;=O525, "Weight Limited", "Volume Limited"))</f>
        <v/>
      </c>
      <c r="V525" s="97">
        <f>B525&amp;"|"&amp;D525&amp;"|"&amp;F525</f>
        <v/>
      </c>
    </row>
    <row r="526" ht="19" customHeight="1">
      <c r="A526" s="98" t="n">
        <v>516</v>
      </c>
      <c r="B526" s="102" t="inlineStr">
        <is>
          <t>Stainless Steel 304</t>
        </is>
      </c>
      <c r="C526" s="19" t="inlineStr">
        <is>
          <t>ASME B36.19M / B36.10M</t>
        </is>
      </c>
      <c r="D526" s="18" t="inlineStr">
        <is>
          <t>3''</t>
        </is>
      </c>
      <c r="E526" s="98" t="n">
        <v>80</v>
      </c>
      <c r="F526" s="18" t="inlineStr">
        <is>
          <t>40S</t>
        </is>
      </c>
      <c r="G526" s="20" t="n">
        <v>3.5</v>
      </c>
      <c r="H526" s="82" t="n">
        <v>88.90000000000001</v>
      </c>
      <c r="I526" s="20" t="n">
        <v>0.216</v>
      </c>
      <c r="J526" s="82" t="n">
        <v>5.49</v>
      </c>
      <c r="K526" s="20">
        <f>ROUND((H526-J526)*J526*IF(B526="Carbon Steel",$K$7,IF(B526="Stainless Steel 304",$K$8,$L$8)), 3)</f>
        <v/>
      </c>
      <c r="L526" s="82">
        <f>ROUND(K526*$G$5, 2)</f>
        <v/>
      </c>
      <c r="M526" s="98">
        <f>INT($G$6/H526)</f>
        <v/>
      </c>
      <c r="N526" s="98">
        <f>IF(M526=0, 0, IF(OR($K$6="Square Grid", M526=1), INT($G$7/H526), IF($G$7&lt;H526, 0, 1+INT(($G$7-H526)/(0.8660254*H526)))))</f>
        <v/>
      </c>
      <c r="O526" s="84">
        <f>IF(OR(M526=0,N526=0), 0, IF(OR($K$6="Square Grid", M526=1), M526*N526*$K$5, (INT((N526+1)/2)*M526 + INT(N526/2)*IF(($G$6-M526*H526)&gt;=0.5*H526, M526, M526-1))*$K$5))</f>
        <v/>
      </c>
      <c r="P526" s="84">
        <f>IF(L526&lt;=0, 0, INT($G$8/L526))</f>
        <v/>
      </c>
      <c r="Q526" s="95">
        <f>MIN(O526, P526)</f>
        <v/>
      </c>
      <c r="R526" s="96">
        <f>ROUND((Q526*L526)/1000, 2)</f>
        <v/>
      </c>
      <c r="S526" s="85">
        <f>IF($C$8&gt;0, R526/$C$8, 0)</f>
        <v/>
      </c>
      <c r="T526" s="85">
        <f>IF(O526&gt;0, Q526/O526, 0)</f>
        <v/>
      </c>
      <c r="U526" s="18">
        <f>IF(Q526=0, "Exceeds Limit", IF(P526&lt;=O526, "Weight Limited", "Volume Limited"))</f>
        <v/>
      </c>
      <c r="V526" s="100">
        <f>B526&amp;"|"&amp;D526&amp;"|"&amp;F526</f>
        <v/>
      </c>
    </row>
    <row r="527" ht="19" customHeight="1">
      <c r="A527" s="93" t="n">
        <v>517</v>
      </c>
      <c r="B527" s="101" t="inlineStr">
        <is>
          <t>Stainless Steel 304</t>
        </is>
      </c>
      <c r="C527" s="13" t="inlineStr">
        <is>
          <t>ASME B36.19M / B36.10M</t>
        </is>
      </c>
      <c r="D527" s="12" t="inlineStr">
        <is>
          <t>3''</t>
        </is>
      </c>
      <c r="E527" s="93" t="n">
        <v>80</v>
      </c>
      <c r="F527" s="12" t="inlineStr">
        <is>
          <t>STD</t>
        </is>
      </c>
      <c r="G527" s="14" t="n">
        <v>3.5</v>
      </c>
      <c r="H527" s="78" t="n">
        <v>88.90000000000001</v>
      </c>
      <c r="I527" s="14" t="n">
        <v>0.216</v>
      </c>
      <c r="J527" s="78" t="n">
        <v>5.49</v>
      </c>
      <c r="K527" s="14">
        <f>ROUND((H527-J527)*J527*IF(B527="Carbon Steel",$K$7,IF(B527="Stainless Steel 304",$K$8,$L$8)), 3)</f>
        <v/>
      </c>
      <c r="L527" s="78">
        <f>ROUND(K527*$G$5, 2)</f>
        <v/>
      </c>
      <c r="M527" s="93">
        <f>INT($G$6/H527)</f>
        <v/>
      </c>
      <c r="N527" s="93">
        <f>IF(M527=0, 0, IF(OR($K$6="Square Grid", M527=1), INT($G$7/H527), IF($G$7&lt;H527, 0, 1+INT(($G$7-H527)/(0.8660254*H527)))))</f>
        <v/>
      </c>
      <c r="O527" s="59">
        <f>IF(OR(M527=0,N527=0), 0, IF(OR($K$6="Square Grid", M527=1), M527*N527*$K$5, (INT((N527+1)/2)*M527 + INT(N527/2)*IF(($G$6-M527*H527)&gt;=0.5*H527, M527, M527-1))*$K$5))</f>
        <v/>
      </c>
      <c r="P527" s="59">
        <f>IF(L527&lt;=0, 0, INT($G$8/L527))</f>
        <v/>
      </c>
      <c r="Q527" s="95">
        <f>MIN(O527, P527)</f>
        <v/>
      </c>
      <c r="R527" s="96">
        <f>ROUND((Q527*L527)/1000, 2)</f>
        <v/>
      </c>
      <c r="S527" s="79">
        <f>IF($C$8&gt;0, R527/$C$8, 0)</f>
        <v/>
      </c>
      <c r="T527" s="79">
        <f>IF(O527&gt;0, Q527/O527, 0)</f>
        <v/>
      </c>
      <c r="U527" s="12">
        <f>IF(Q527=0, "Exceeds Limit", IF(P527&lt;=O527, "Weight Limited", "Volume Limited"))</f>
        <v/>
      </c>
      <c r="V527" s="97">
        <f>B527&amp;"|"&amp;D527&amp;"|"&amp;F527</f>
        <v/>
      </c>
    </row>
    <row r="528" ht="19" customHeight="1">
      <c r="A528" s="98" t="n">
        <v>518</v>
      </c>
      <c r="B528" s="102" t="inlineStr">
        <is>
          <t>Stainless Steel 304</t>
        </is>
      </c>
      <c r="C528" s="19" t="inlineStr">
        <is>
          <t>ASME B36.19M / B36.10M</t>
        </is>
      </c>
      <c r="D528" s="18" t="inlineStr">
        <is>
          <t>3''</t>
        </is>
      </c>
      <c r="E528" s="98" t="n">
        <v>80</v>
      </c>
      <c r="F528" s="18" t="inlineStr">
        <is>
          <t>40</t>
        </is>
      </c>
      <c r="G528" s="20" t="n">
        <v>3.5</v>
      </c>
      <c r="H528" s="82" t="n">
        <v>88.90000000000001</v>
      </c>
      <c r="I528" s="20" t="n">
        <v>0.216</v>
      </c>
      <c r="J528" s="82" t="n">
        <v>5.49</v>
      </c>
      <c r="K528" s="20">
        <f>ROUND((H528-J528)*J528*IF(B528="Carbon Steel",$K$7,IF(B528="Stainless Steel 304",$K$8,$L$8)), 3)</f>
        <v/>
      </c>
      <c r="L528" s="82">
        <f>ROUND(K528*$G$5, 2)</f>
        <v/>
      </c>
      <c r="M528" s="98">
        <f>INT($G$6/H528)</f>
        <v/>
      </c>
      <c r="N528" s="98">
        <f>IF(M528=0, 0, IF(OR($K$6="Square Grid", M528=1), INT($G$7/H528), IF($G$7&lt;H528, 0, 1+INT(($G$7-H528)/(0.8660254*H528)))))</f>
        <v/>
      </c>
      <c r="O528" s="84">
        <f>IF(OR(M528=0,N528=0), 0, IF(OR($K$6="Square Grid", M528=1), M528*N528*$K$5, (INT((N528+1)/2)*M528 + INT(N528/2)*IF(($G$6-M528*H528)&gt;=0.5*H528, M528, M528-1))*$K$5))</f>
        <v/>
      </c>
      <c r="P528" s="84">
        <f>IF(L528&lt;=0, 0, INT($G$8/L528))</f>
        <v/>
      </c>
      <c r="Q528" s="95">
        <f>MIN(O528, P528)</f>
        <v/>
      </c>
      <c r="R528" s="96">
        <f>ROUND((Q528*L528)/1000, 2)</f>
        <v/>
      </c>
      <c r="S528" s="85">
        <f>IF($C$8&gt;0, R528/$C$8, 0)</f>
        <v/>
      </c>
      <c r="T528" s="85">
        <f>IF(O528&gt;0, Q528/O528, 0)</f>
        <v/>
      </c>
      <c r="U528" s="18">
        <f>IF(Q528=0, "Exceeds Limit", IF(P528&lt;=O528, "Weight Limited", "Volume Limited"))</f>
        <v/>
      </c>
      <c r="V528" s="100">
        <f>B528&amp;"|"&amp;D528&amp;"|"&amp;F528</f>
        <v/>
      </c>
    </row>
    <row r="529" ht="19" customHeight="1">
      <c r="A529" s="93" t="n">
        <v>519</v>
      </c>
      <c r="B529" s="101" t="inlineStr">
        <is>
          <t>Stainless Steel 304</t>
        </is>
      </c>
      <c r="C529" s="13" t="inlineStr">
        <is>
          <t>ASME B36.19M / B36.10M</t>
        </is>
      </c>
      <c r="D529" s="12" t="inlineStr">
        <is>
          <t>3''</t>
        </is>
      </c>
      <c r="E529" s="93" t="n">
        <v>80</v>
      </c>
      <c r="F529" s="12" t="inlineStr">
        <is>
          <t>80S</t>
        </is>
      </c>
      <c r="G529" s="14" t="n">
        <v>3.5</v>
      </c>
      <c r="H529" s="78" t="n">
        <v>88.90000000000001</v>
      </c>
      <c r="I529" s="14" t="n">
        <v>0.3</v>
      </c>
      <c r="J529" s="78" t="n">
        <v>7.62</v>
      </c>
      <c r="K529" s="14">
        <f>ROUND((H529-J529)*J529*IF(B529="Carbon Steel",$K$7,IF(B529="Stainless Steel 304",$K$8,$L$8)), 3)</f>
        <v/>
      </c>
      <c r="L529" s="78">
        <f>ROUND(K529*$G$5, 2)</f>
        <v/>
      </c>
      <c r="M529" s="93">
        <f>INT($G$6/H529)</f>
        <v/>
      </c>
      <c r="N529" s="93">
        <f>IF(M529=0, 0, IF(OR($K$6="Square Grid", M529=1), INT($G$7/H529), IF($G$7&lt;H529, 0, 1+INT(($G$7-H529)/(0.8660254*H529)))))</f>
        <v/>
      </c>
      <c r="O529" s="59">
        <f>IF(OR(M529=0,N529=0), 0, IF(OR($K$6="Square Grid", M529=1), M529*N529*$K$5, (INT((N529+1)/2)*M529 + INT(N529/2)*IF(($G$6-M529*H529)&gt;=0.5*H529, M529, M529-1))*$K$5))</f>
        <v/>
      </c>
      <c r="P529" s="59">
        <f>IF(L529&lt;=0, 0, INT($G$8/L529))</f>
        <v/>
      </c>
      <c r="Q529" s="95">
        <f>MIN(O529, P529)</f>
        <v/>
      </c>
      <c r="R529" s="96">
        <f>ROUND((Q529*L529)/1000, 2)</f>
        <v/>
      </c>
      <c r="S529" s="79">
        <f>IF($C$8&gt;0, R529/$C$8, 0)</f>
        <v/>
      </c>
      <c r="T529" s="79">
        <f>IF(O529&gt;0, Q529/O529, 0)</f>
        <v/>
      </c>
      <c r="U529" s="12">
        <f>IF(Q529=0, "Exceeds Limit", IF(P529&lt;=O529, "Weight Limited", "Volume Limited"))</f>
        <v/>
      </c>
      <c r="V529" s="97">
        <f>B529&amp;"|"&amp;D529&amp;"|"&amp;F529</f>
        <v/>
      </c>
    </row>
    <row r="530" ht="19" customHeight="1">
      <c r="A530" s="98" t="n">
        <v>520</v>
      </c>
      <c r="B530" s="102" t="inlineStr">
        <is>
          <t>Stainless Steel 304</t>
        </is>
      </c>
      <c r="C530" s="19" t="inlineStr">
        <is>
          <t>ASME B36.19M / B36.10M</t>
        </is>
      </c>
      <c r="D530" s="18" t="inlineStr">
        <is>
          <t>3''</t>
        </is>
      </c>
      <c r="E530" s="98" t="n">
        <v>80</v>
      </c>
      <c r="F530" s="18" t="inlineStr">
        <is>
          <t>XS</t>
        </is>
      </c>
      <c r="G530" s="20" t="n">
        <v>3.5</v>
      </c>
      <c r="H530" s="82" t="n">
        <v>88.90000000000001</v>
      </c>
      <c r="I530" s="20" t="n">
        <v>0.3</v>
      </c>
      <c r="J530" s="82" t="n">
        <v>7.62</v>
      </c>
      <c r="K530" s="20">
        <f>ROUND((H530-J530)*J530*IF(B530="Carbon Steel",$K$7,IF(B530="Stainless Steel 304",$K$8,$L$8)), 3)</f>
        <v/>
      </c>
      <c r="L530" s="82">
        <f>ROUND(K530*$G$5, 2)</f>
        <v/>
      </c>
      <c r="M530" s="98">
        <f>INT($G$6/H530)</f>
        <v/>
      </c>
      <c r="N530" s="98">
        <f>IF(M530=0, 0, IF(OR($K$6="Square Grid", M530=1), INT($G$7/H530), IF($G$7&lt;H530, 0, 1+INT(($G$7-H530)/(0.8660254*H530)))))</f>
        <v/>
      </c>
      <c r="O530" s="84">
        <f>IF(OR(M530=0,N530=0), 0, IF(OR($K$6="Square Grid", M530=1), M530*N530*$K$5, (INT((N530+1)/2)*M530 + INT(N530/2)*IF(($G$6-M530*H530)&gt;=0.5*H530, M530, M530-1))*$K$5))</f>
        <v/>
      </c>
      <c r="P530" s="84">
        <f>IF(L530&lt;=0, 0, INT($G$8/L530))</f>
        <v/>
      </c>
      <c r="Q530" s="95">
        <f>MIN(O530, P530)</f>
        <v/>
      </c>
      <c r="R530" s="96">
        <f>ROUND((Q530*L530)/1000, 2)</f>
        <v/>
      </c>
      <c r="S530" s="85">
        <f>IF($C$8&gt;0, R530/$C$8, 0)</f>
        <v/>
      </c>
      <c r="T530" s="85">
        <f>IF(O530&gt;0, Q530/O530, 0)</f>
        <v/>
      </c>
      <c r="U530" s="18">
        <f>IF(Q530=0, "Exceeds Limit", IF(P530&lt;=O530, "Weight Limited", "Volume Limited"))</f>
        <v/>
      </c>
      <c r="V530" s="100">
        <f>B530&amp;"|"&amp;D530&amp;"|"&amp;F530</f>
        <v/>
      </c>
    </row>
    <row r="531" ht="19" customHeight="1">
      <c r="A531" s="93" t="n">
        <v>521</v>
      </c>
      <c r="B531" s="101" t="inlineStr">
        <is>
          <t>Stainless Steel 304</t>
        </is>
      </c>
      <c r="C531" s="13" t="inlineStr">
        <is>
          <t>ASME B36.19M / B36.10M</t>
        </is>
      </c>
      <c r="D531" s="12" t="inlineStr">
        <is>
          <t>3''</t>
        </is>
      </c>
      <c r="E531" s="93" t="n">
        <v>80</v>
      </c>
      <c r="F531" s="12" t="inlineStr">
        <is>
          <t>80</t>
        </is>
      </c>
      <c r="G531" s="14" t="n">
        <v>3.5</v>
      </c>
      <c r="H531" s="78" t="n">
        <v>88.90000000000001</v>
      </c>
      <c r="I531" s="14" t="n">
        <v>0.3</v>
      </c>
      <c r="J531" s="78" t="n">
        <v>7.62</v>
      </c>
      <c r="K531" s="14">
        <f>ROUND((H531-J531)*J531*IF(B531="Carbon Steel",$K$7,IF(B531="Stainless Steel 304",$K$8,$L$8)), 3)</f>
        <v/>
      </c>
      <c r="L531" s="78">
        <f>ROUND(K531*$G$5, 2)</f>
        <v/>
      </c>
      <c r="M531" s="93">
        <f>INT($G$6/H531)</f>
        <v/>
      </c>
      <c r="N531" s="93">
        <f>IF(M531=0, 0, IF(OR($K$6="Square Grid", M531=1), INT($G$7/H531), IF($G$7&lt;H531, 0, 1+INT(($G$7-H531)/(0.8660254*H531)))))</f>
        <v/>
      </c>
      <c r="O531" s="59">
        <f>IF(OR(M531=0,N531=0), 0, IF(OR($K$6="Square Grid", M531=1), M531*N531*$K$5, (INT((N531+1)/2)*M531 + INT(N531/2)*IF(($G$6-M531*H531)&gt;=0.5*H531, M531, M531-1))*$K$5))</f>
        <v/>
      </c>
      <c r="P531" s="59">
        <f>IF(L531&lt;=0, 0, INT($G$8/L531))</f>
        <v/>
      </c>
      <c r="Q531" s="95">
        <f>MIN(O531, P531)</f>
        <v/>
      </c>
      <c r="R531" s="96">
        <f>ROUND((Q531*L531)/1000, 2)</f>
        <v/>
      </c>
      <c r="S531" s="79">
        <f>IF($C$8&gt;0, R531/$C$8, 0)</f>
        <v/>
      </c>
      <c r="T531" s="79">
        <f>IF(O531&gt;0, Q531/O531, 0)</f>
        <v/>
      </c>
      <c r="U531" s="12">
        <f>IF(Q531=0, "Exceeds Limit", IF(P531&lt;=O531, "Weight Limited", "Volume Limited"))</f>
        <v/>
      </c>
      <c r="V531" s="97">
        <f>B531&amp;"|"&amp;D531&amp;"|"&amp;F531</f>
        <v/>
      </c>
    </row>
    <row r="532" ht="19" customHeight="1">
      <c r="A532" s="98" t="n">
        <v>522</v>
      </c>
      <c r="B532" s="102" t="inlineStr">
        <is>
          <t>Stainless Steel 304</t>
        </is>
      </c>
      <c r="C532" s="19" t="inlineStr">
        <is>
          <t>ASME B36.19M / B36.10M</t>
        </is>
      </c>
      <c r="D532" s="18" t="inlineStr">
        <is>
          <t>3''</t>
        </is>
      </c>
      <c r="E532" s="98" t="n">
        <v>80</v>
      </c>
      <c r="F532" s="18" t="inlineStr">
        <is>
          <t>160</t>
        </is>
      </c>
      <c r="G532" s="20" t="n">
        <v>3.5</v>
      </c>
      <c r="H532" s="82" t="n">
        <v>88.90000000000001</v>
      </c>
      <c r="I532" s="20" t="n">
        <v>0.438</v>
      </c>
      <c r="J532" s="82" t="n">
        <v>11.13</v>
      </c>
      <c r="K532" s="20">
        <f>ROUND((H532-J532)*J532*IF(B532="Carbon Steel",$K$7,IF(B532="Stainless Steel 304",$K$8,$L$8)), 3)</f>
        <v/>
      </c>
      <c r="L532" s="82">
        <f>ROUND(K532*$G$5, 2)</f>
        <v/>
      </c>
      <c r="M532" s="98">
        <f>INT($G$6/H532)</f>
        <v/>
      </c>
      <c r="N532" s="98">
        <f>IF(M532=0, 0, IF(OR($K$6="Square Grid", M532=1), INT($G$7/H532), IF($G$7&lt;H532, 0, 1+INT(($G$7-H532)/(0.8660254*H532)))))</f>
        <v/>
      </c>
      <c r="O532" s="84">
        <f>IF(OR(M532=0,N532=0), 0, IF(OR($K$6="Square Grid", M532=1), M532*N532*$K$5, (INT((N532+1)/2)*M532 + INT(N532/2)*IF(($G$6-M532*H532)&gt;=0.5*H532, M532, M532-1))*$K$5))</f>
        <v/>
      </c>
      <c r="P532" s="84">
        <f>IF(L532&lt;=0, 0, INT($G$8/L532))</f>
        <v/>
      </c>
      <c r="Q532" s="95">
        <f>MIN(O532, P532)</f>
        <v/>
      </c>
      <c r="R532" s="96">
        <f>ROUND((Q532*L532)/1000, 2)</f>
        <v/>
      </c>
      <c r="S532" s="85">
        <f>IF($C$8&gt;0, R532/$C$8, 0)</f>
        <v/>
      </c>
      <c r="T532" s="85">
        <f>IF(O532&gt;0, Q532/O532, 0)</f>
        <v/>
      </c>
      <c r="U532" s="18">
        <f>IF(Q532=0, "Exceeds Limit", IF(P532&lt;=O532, "Weight Limited", "Volume Limited"))</f>
        <v/>
      </c>
      <c r="V532" s="100">
        <f>B532&amp;"|"&amp;D532&amp;"|"&amp;F532</f>
        <v/>
      </c>
    </row>
    <row r="533" ht="19" customHeight="1">
      <c r="A533" s="93" t="n">
        <v>523</v>
      </c>
      <c r="B533" s="101" t="inlineStr">
        <is>
          <t>Stainless Steel 304</t>
        </is>
      </c>
      <c r="C533" s="13" t="inlineStr">
        <is>
          <t>ASME B36.19M / B36.10M</t>
        </is>
      </c>
      <c r="D533" s="12" t="inlineStr">
        <is>
          <t>3''</t>
        </is>
      </c>
      <c r="E533" s="93" t="n">
        <v>80</v>
      </c>
      <c r="F533" s="12" t="inlineStr">
        <is>
          <t>XXS</t>
        </is>
      </c>
      <c r="G533" s="14" t="n">
        <v>3.5</v>
      </c>
      <c r="H533" s="78" t="n">
        <v>88.90000000000001</v>
      </c>
      <c r="I533" s="14" t="n">
        <v>0.6</v>
      </c>
      <c r="J533" s="78" t="n">
        <v>15.24</v>
      </c>
      <c r="K533" s="14">
        <f>ROUND((H533-J533)*J533*IF(B533="Carbon Steel",$K$7,IF(B533="Stainless Steel 304",$K$8,$L$8)), 3)</f>
        <v/>
      </c>
      <c r="L533" s="78">
        <f>ROUND(K533*$G$5, 2)</f>
        <v/>
      </c>
      <c r="M533" s="93">
        <f>INT($G$6/H533)</f>
        <v/>
      </c>
      <c r="N533" s="93">
        <f>IF(M533=0, 0, IF(OR($K$6="Square Grid", M533=1), INT($G$7/H533), IF($G$7&lt;H533, 0, 1+INT(($G$7-H533)/(0.8660254*H533)))))</f>
        <v/>
      </c>
      <c r="O533" s="59">
        <f>IF(OR(M533=0,N533=0), 0, IF(OR($K$6="Square Grid", M533=1), M533*N533*$K$5, (INT((N533+1)/2)*M533 + INT(N533/2)*IF(($G$6-M533*H533)&gt;=0.5*H533, M533, M533-1))*$K$5))</f>
        <v/>
      </c>
      <c r="P533" s="59">
        <f>IF(L533&lt;=0, 0, INT($G$8/L533))</f>
        <v/>
      </c>
      <c r="Q533" s="95">
        <f>MIN(O533, P533)</f>
        <v/>
      </c>
      <c r="R533" s="96">
        <f>ROUND((Q533*L533)/1000, 2)</f>
        <v/>
      </c>
      <c r="S533" s="79">
        <f>IF($C$8&gt;0, R533/$C$8, 0)</f>
        <v/>
      </c>
      <c r="T533" s="79">
        <f>IF(O533&gt;0, Q533/O533, 0)</f>
        <v/>
      </c>
      <c r="U533" s="12">
        <f>IF(Q533=0, "Exceeds Limit", IF(P533&lt;=O533, "Weight Limited", "Volume Limited"))</f>
        <v/>
      </c>
      <c r="V533" s="97">
        <f>B533&amp;"|"&amp;D533&amp;"|"&amp;F533</f>
        <v/>
      </c>
    </row>
    <row r="534" ht="19" customHeight="1">
      <c r="A534" s="98" t="n">
        <v>524</v>
      </c>
      <c r="B534" s="102" t="inlineStr">
        <is>
          <t>Stainless Steel 304</t>
        </is>
      </c>
      <c r="C534" s="19" t="inlineStr">
        <is>
          <t>ASME B36.19M / B36.10M</t>
        </is>
      </c>
      <c r="D534" s="18" t="inlineStr">
        <is>
          <t>3-1/2''</t>
        </is>
      </c>
      <c r="E534" s="98" t="n">
        <v>90</v>
      </c>
      <c r="F534" s="18" t="inlineStr">
        <is>
          <t>5S</t>
        </is>
      </c>
      <c r="G534" s="20" t="n">
        <v>4</v>
      </c>
      <c r="H534" s="82" t="n">
        <v>101.6</v>
      </c>
      <c r="I534" s="20" t="n">
        <v>0.083</v>
      </c>
      <c r="J534" s="82" t="n">
        <v>2.11</v>
      </c>
      <c r="K534" s="20">
        <f>ROUND((H534-J534)*J534*IF(B534="Carbon Steel",$K$7,IF(B534="Stainless Steel 304",$K$8,$L$8)), 3)</f>
        <v/>
      </c>
      <c r="L534" s="82">
        <f>ROUND(K534*$G$5, 2)</f>
        <v/>
      </c>
      <c r="M534" s="98">
        <f>INT($G$6/H534)</f>
        <v/>
      </c>
      <c r="N534" s="98">
        <f>IF(M534=0, 0, IF(OR($K$6="Square Grid", M534=1), INT($G$7/H534), IF($G$7&lt;H534, 0, 1+INT(($G$7-H534)/(0.8660254*H534)))))</f>
        <v/>
      </c>
      <c r="O534" s="84">
        <f>IF(OR(M534=0,N534=0), 0, IF(OR($K$6="Square Grid", M534=1), M534*N534*$K$5, (INT((N534+1)/2)*M534 + INT(N534/2)*IF(($G$6-M534*H534)&gt;=0.5*H534, M534, M534-1))*$K$5))</f>
        <v/>
      </c>
      <c r="P534" s="84">
        <f>IF(L534&lt;=0, 0, INT($G$8/L534))</f>
        <v/>
      </c>
      <c r="Q534" s="95">
        <f>MIN(O534, P534)</f>
        <v/>
      </c>
      <c r="R534" s="96">
        <f>ROUND((Q534*L534)/1000, 2)</f>
        <v/>
      </c>
      <c r="S534" s="85">
        <f>IF($C$8&gt;0, R534/$C$8, 0)</f>
        <v/>
      </c>
      <c r="T534" s="85">
        <f>IF(O534&gt;0, Q534/O534, 0)</f>
        <v/>
      </c>
      <c r="U534" s="18">
        <f>IF(Q534=0, "Exceeds Limit", IF(P534&lt;=O534, "Weight Limited", "Volume Limited"))</f>
        <v/>
      </c>
      <c r="V534" s="100">
        <f>B534&amp;"|"&amp;D534&amp;"|"&amp;F534</f>
        <v/>
      </c>
    </row>
    <row r="535" ht="19" customHeight="1">
      <c r="A535" s="93" t="n">
        <v>525</v>
      </c>
      <c r="B535" s="101" t="inlineStr">
        <is>
          <t>Stainless Steel 304</t>
        </is>
      </c>
      <c r="C535" s="13" t="inlineStr">
        <is>
          <t>ASME B36.19M / B36.10M</t>
        </is>
      </c>
      <c r="D535" s="12" t="inlineStr">
        <is>
          <t>3-1/2''</t>
        </is>
      </c>
      <c r="E535" s="93" t="n">
        <v>90</v>
      </c>
      <c r="F535" s="12" t="inlineStr">
        <is>
          <t>5</t>
        </is>
      </c>
      <c r="G535" s="14" t="n">
        <v>4</v>
      </c>
      <c r="H535" s="78" t="n">
        <v>101.6</v>
      </c>
      <c r="I535" s="14" t="n">
        <v>0.083</v>
      </c>
      <c r="J535" s="78" t="n">
        <v>2.11</v>
      </c>
      <c r="K535" s="14">
        <f>ROUND((H535-J535)*J535*IF(B535="Carbon Steel",$K$7,IF(B535="Stainless Steel 304",$K$8,$L$8)), 3)</f>
        <v/>
      </c>
      <c r="L535" s="78">
        <f>ROUND(K535*$G$5, 2)</f>
        <v/>
      </c>
      <c r="M535" s="93">
        <f>INT($G$6/H535)</f>
        <v/>
      </c>
      <c r="N535" s="93">
        <f>IF(M535=0, 0, IF(OR($K$6="Square Grid", M535=1), INT($G$7/H535), IF($G$7&lt;H535, 0, 1+INT(($G$7-H535)/(0.8660254*H535)))))</f>
        <v/>
      </c>
      <c r="O535" s="59">
        <f>IF(OR(M535=0,N535=0), 0, IF(OR($K$6="Square Grid", M535=1), M535*N535*$K$5, (INT((N535+1)/2)*M535 + INT(N535/2)*IF(($G$6-M535*H535)&gt;=0.5*H535, M535, M535-1))*$K$5))</f>
        <v/>
      </c>
      <c r="P535" s="59">
        <f>IF(L535&lt;=0, 0, INT($G$8/L535))</f>
        <v/>
      </c>
      <c r="Q535" s="95">
        <f>MIN(O535, P535)</f>
        <v/>
      </c>
      <c r="R535" s="96">
        <f>ROUND((Q535*L535)/1000, 2)</f>
        <v/>
      </c>
      <c r="S535" s="79">
        <f>IF($C$8&gt;0, R535/$C$8, 0)</f>
        <v/>
      </c>
      <c r="T535" s="79">
        <f>IF(O535&gt;0, Q535/O535, 0)</f>
        <v/>
      </c>
      <c r="U535" s="12">
        <f>IF(Q535=0, "Exceeds Limit", IF(P535&lt;=O535, "Weight Limited", "Volume Limited"))</f>
        <v/>
      </c>
      <c r="V535" s="97">
        <f>B535&amp;"|"&amp;D535&amp;"|"&amp;F535</f>
        <v/>
      </c>
    </row>
    <row r="536" ht="19" customHeight="1">
      <c r="A536" s="98" t="n">
        <v>526</v>
      </c>
      <c r="B536" s="102" t="inlineStr">
        <is>
          <t>Stainless Steel 304</t>
        </is>
      </c>
      <c r="C536" s="19" t="inlineStr">
        <is>
          <t>ASME B36.19M / B36.10M</t>
        </is>
      </c>
      <c r="D536" s="18" t="inlineStr">
        <is>
          <t>3-1/2''</t>
        </is>
      </c>
      <c r="E536" s="98" t="n">
        <v>90</v>
      </c>
      <c r="F536" s="18" t="inlineStr">
        <is>
          <t>10S</t>
        </is>
      </c>
      <c r="G536" s="20" t="n">
        <v>4</v>
      </c>
      <c r="H536" s="82" t="n">
        <v>101.6</v>
      </c>
      <c r="I536" s="20" t="n">
        <v>0.12</v>
      </c>
      <c r="J536" s="82" t="n">
        <v>3.05</v>
      </c>
      <c r="K536" s="20">
        <f>ROUND((H536-J536)*J536*IF(B536="Carbon Steel",$K$7,IF(B536="Stainless Steel 304",$K$8,$L$8)), 3)</f>
        <v/>
      </c>
      <c r="L536" s="82">
        <f>ROUND(K536*$G$5, 2)</f>
        <v/>
      </c>
      <c r="M536" s="98">
        <f>INT($G$6/H536)</f>
        <v/>
      </c>
      <c r="N536" s="98">
        <f>IF(M536=0, 0, IF(OR($K$6="Square Grid", M536=1), INT($G$7/H536), IF($G$7&lt;H536, 0, 1+INT(($G$7-H536)/(0.8660254*H536)))))</f>
        <v/>
      </c>
      <c r="O536" s="84">
        <f>IF(OR(M536=0,N536=0), 0, IF(OR($K$6="Square Grid", M536=1), M536*N536*$K$5, (INT((N536+1)/2)*M536 + INT(N536/2)*IF(($G$6-M536*H536)&gt;=0.5*H536, M536, M536-1))*$K$5))</f>
        <v/>
      </c>
      <c r="P536" s="84">
        <f>IF(L536&lt;=0, 0, INT($G$8/L536))</f>
        <v/>
      </c>
      <c r="Q536" s="95">
        <f>MIN(O536, P536)</f>
        <v/>
      </c>
      <c r="R536" s="96">
        <f>ROUND((Q536*L536)/1000, 2)</f>
        <v/>
      </c>
      <c r="S536" s="85">
        <f>IF($C$8&gt;0, R536/$C$8, 0)</f>
        <v/>
      </c>
      <c r="T536" s="85">
        <f>IF(O536&gt;0, Q536/O536, 0)</f>
        <v/>
      </c>
      <c r="U536" s="18">
        <f>IF(Q536=0, "Exceeds Limit", IF(P536&lt;=O536, "Weight Limited", "Volume Limited"))</f>
        <v/>
      </c>
      <c r="V536" s="100">
        <f>B536&amp;"|"&amp;D536&amp;"|"&amp;F536</f>
        <v/>
      </c>
    </row>
    <row r="537" ht="19" customHeight="1">
      <c r="A537" s="93" t="n">
        <v>527</v>
      </c>
      <c r="B537" s="101" t="inlineStr">
        <is>
          <t>Stainless Steel 304</t>
        </is>
      </c>
      <c r="C537" s="13" t="inlineStr">
        <is>
          <t>ASME B36.19M / B36.10M</t>
        </is>
      </c>
      <c r="D537" s="12" t="inlineStr">
        <is>
          <t>3-1/2''</t>
        </is>
      </c>
      <c r="E537" s="93" t="n">
        <v>90</v>
      </c>
      <c r="F537" s="12" t="inlineStr">
        <is>
          <t>10</t>
        </is>
      </c>
      <c r="G537" s="14" t="n">
        <v>4</v>
      </c>
      <c r="H537" s="78" t="n">
        <v>101.6</v>
      </c>
      <c r="I537" s="14" t="n">
        <v>0.12</v>
      </c>
      <c r="J537" s="78" t="n">
        <v>3.05</v>
      </c>
      <c r="K537" s="14">
        <f>ROUND((H537-J537)*J537*IF(B537="Carbon Steel",$K$7,IF(B537="Stainless Steel 304",$K$8,$L$8)), 3)</f>
        <v/>
      </c>
      <c r="L537" s="78">
        <f>ROUND(K537*$G$5, 2)</f>
        <v/>
      </c>
      <c r="M537" s="93">
        <f>INT($G$6/H537)</f>
        <v/>
      </c>
      <c r="N537" s="93">
        <f>IF(M537=0, 0, IF(OR($K$6="Square Grid", M537=1), INT($G$7/H537), IF($G$7&lt;H537, 0, 1+INT(($G$7-H537)/(0.8660254*H537)))))</f>
        <v/>
      </c>
      <c r="O537" s="59">
        <f>IF(OR(M537=0,N537=0), 0, IF(OR($K$6="Square Grid", M537=1), M537*N537*$K$5, (INT((N537+1)/2)*M537 + INT(N537/2)*IF(($G$6-M537*H537)&gt;=0.5*H537, M537, M537-1))*$K$5))</f>
        <v/>
      </c>
      <c r="P537" s="59">
        <f>IF(L537&lt;=0, 0, INT($G$8/L537))</f>
        <v/>
      </c>
      <c r="Q537" s="95">
        <f>MIN(O537, P537)</f>
        <v/>
      </c>
      <c r="R537" s="96">
        <f>ROUND((Q537*L537)/1000, 2)</f>
        <v/>
      </c>
      <c r="S537" s="79">
        <f>IF($C$8&gt;0, R537/$C$8, 0)</f>
        <v/>
      </c>
      <c r="T537" s="79">
        <f>IF(O537&gt;0, Q537/O537, 0)</f>
        <v/>
      </c>
      <c r="U537" s="12">
        <f>IF(Q537=0, "Exceeds Limit", IF(P537&lt;=O537, "Weight Limited", "Volume Limited"))</f>
        <v/>
      </c>
      <c r="V537" s="97">
        <f>B537&amp;"|"&amp;D537&amp;"|"&amp;F537</f>
        <v/>
      </c>
    </row>
    <row r="538" ht="19" customHeight="1">
      <c r="A538" s="98" t="n">
        <v>528</v>
      </c>
      <c r="B538" s="102" t="inlineStr">
        <is>
          <t>Stainless Steel 304</t>
        </is>
      </c>
      <c r="C538" s="19" t="inlineStr">
        <is>
          <t>ASME B36.19M / B36.10M</t>
        </is>
      </c>
      <c r="D538" s="18" t="inlineStr">
        <is>
          <t>3-1/2''</t>
        </is>
      </c>
      <c r="E538" s="98" t="n">
        <v>90</v>
      </c>
      <c r="F538" s="18" t="inlineStr">
        <is>
          <t>30</t>
        </is>
      </c>
      <c r="G538" s="20" t="n">
        <v>4</v>
      </c>
      <c r="H538" s="82" t="n">
        <v>101.6</v>
      </c>
      <c r="I538" s="20" t="n">
        <v>0.188</v>
      </c>
      <c r="J538" s="82" t="n">
        <v>4.78</v>
      </c>
      <c r="K538" s="20">
        <f>ROUND((H538-J538)*J538*IF(B538="Carbon Steel",$K$7,IF(B538="Stainless Steel 304",$K$8,$L$8)), 3)</f>
        <v/>
      </c>
      <c r="L538" s="82">
        <f>ROUND(K538*$G$5, 2)</f>
        <v/>
      </c>
      <c r="M538" s="98">
        <f>INT($G$6/H538)</f>
        <v/>
      </c>
      <c r="N538" s="98">
        <f>IF(M538=0, 0, IF(OR($K$6="Square Grid", M538=1), INT($G$7/H538), IF($G$7&lt;H538, 0, 1+INT(($G$7-H538)/(0.8660254*H538)))))</f>
        <v/>
      </c>
      <c r="O538" s="84">
        <f>IF(OR(M538=0,N538=0), 0, IF(OR($K$6="Square Grid", M538=1), M538*N538*$K$5, (INT((N538+1)/2)*M538 + INT(N538/2)*IF(($G$6-M538*H538)&gt;=0.5*H538, M538, M538-1))*$K$5))</f>
        <v/>
      </c>
      <c r="P538" s="84">
        <f>IF(L538&lt;=0, 0, INT($G$8/L538))</f>
        <v/>
      </c>
      <c r="Q538" s="95">
        <f>MIN(O538, P538)</f>
        <v/>
      </c>
      <c r="R538" s="96">
        <f>ROUND((Q538*L538)/1000, 2)</f>
        <v/>
      </c>
      <c r="S538" s="85">
        <f>IF($C$8&gt;0, R538/$C$8, 0)</f>
        <v/>
      </c>
      <c r="T538" s="85">
        <f>IF(O538&gt;0, Q538/O538, 0)</f>
        <v/>
      </c>
      <c r="U538" s="18">
        <f>IF(Q538=0, "Exceeds Limit", IF(P538&lt;=O538, "Weight Limited", "Volume Limited"))</f>
        <v/>
      </c>
      <c r="V538" s="100">
        <f>B538&amp;"|"&amp;D538&amp;"|"&amp;F538</f>
        <v/>
      </c>
    </row>
    <row r="539" ht="19" customHeight="1">
      <c r="A539" s="93" t="n">
        <v>529</v>
      </c>
      <c r="B539" s="101" t="inlineStr">
        <is>
          <t>Stainless Steel 304</t>
        </is>
      </c>
      <c r="C539" s="13" t="inlineStr">
        <is>
          <t>ASME B36.19M / B36.10M</t>
        </is>
      </c>
      <c r="D539" s="12" t="inlineStr">
        <is>
          <t>3-1/2''</t>
        </is>
      </c>
      <c r="E539" s="93" t="n">
        <v>90</v>
      </c>
      <c r="F539" s="12" t="inlineStr">
        <is>
          <t>40S</t>
        </is>
      </c>
      <c r="G539" s="14" t="n">
        <v>4</v>
      </c>
      <c r="H539" s="78" t="n">
        <v>101.6</v>
      </c>
      <c r="I539" s="14" t="n">
        <v>0.226</v>
      </c>
      <c r="J539" s="78" t="n">
        <v>5.74</v>
      </c>
      <c r="K539" s="14">
        <f>ROUND((H539-J539)*J539*IF(B539="Carbon Steel",$K$7,IF(B539="Stainless Steel 304",$K$8,$L$8)), 3)</f>
        <v/>
      </c>
      <c r="L539" s="78">
        <f>ROUND(K539*$G$5, 2)</f>
        <v/>
      </c>
      <c r="M539" s="93">
        <f>INT($G$6/H539)</f>
        <v/>
      </c>
      <c r="N539" s="93">
        <f>IF(M539=0, 0, IF(OR($K$6="Square Grid", M539=1), INT($G$7/H539), IF($G$7&lt;H539, 0, 1+INT(($G$7-H539)/(0.8660254*H539)))))</f>
        <v/>
      </c>
      <c r="O539" s="59">
        <f>IF(OR(M539=0,N539=0), 0, IF(OR($K$6="Square Grid", M539=1), M539*N539*$K$5, (INT((N539+1)/2)*M539 + INT(N539/2)*IF(($G$6-M539*H539)&gt;=0.5*H539, M539, M539-1))*$K$5))</f>
        <v/>
      </c>
      <c r="P539" s="59">
        <f>IF(L539&lt;=0, 0, INT($G$8/L539))</f>
        <v/>
      </c>
      <c r="Q539" s="95">
        <f>MIN(O539, P539)</f>
        <v/>
      </c>
      <c r="R539" s="96">
        <f>ROUND((Q539*L539)/1000, 2)</f>
        <v/>
      </c>
      <c r="S539" s="79">
        <f>IF($C$8&gt;0, R539/$C$8, 0)</f>
        <v/>
      </c>
      <c r="T539" s="79">
        <f>IF(O539&gt;0, Q539/O539, 0)</f>
        <v/>
      </c>
      <c r="U539" s="12">
        <f>IF(Q539=0, "Exceeds Limit", IF(P539&lt;=O539, "Weight Limited", "Volume Limited"))</f>
        <v/>
      </c>
      <c r="V539" s="97">
        <f>B539&amp;"|"&amp;D539&amp;"|"&amp;F539</f>
        <v/>
      </c>
    </row>
    <row r="540" ht="19" customHeight="1">
      <c r="A540" s="98" t="n">
        <v>530</v>
      </c>
      <c r="B540" s="102" t="inlineStr">
        <is>
          <t>Stainless Steel 304</t>
        </is>
      </c>
      <c r="C540" s="19" t="inlineStr">
        <is>
          <t>ASME B36.19M / B36.10M</t>
        </is>
      </c>
      <c r="D540" s="18" t="inlineStr">
        <is>
          <t>3-1/2''</t>
        </is>
      </c>
      <c r="E540" s="98" t="n">
        <v>90</v>
      </c>
      <c r="F540" s="18" t="inlineStr">
        <is>
          <t>STD</t>
        </is>
      </c>
      <c r="G540" s="20" t="n">
        <v>4</v>
      </c>
      <c r="H540" s="82" t="n">
        <v>101.6</v>
      </c>
      <c r="I540" s="20" t="n">
        <v>0.226</v>
      </c>
      <c r="J540" s="82" t="n">
        <v>5.74</v>
      </c>
      <c r="K540" s="20">
        <f>ROUND((H540-J540)*J540*IF(B540="Carbon Steel",$K$7,IF(B540="Stainless Steel 304",$K$8,$L$8)), 3)</f>
        <v/>
      </c>
      <c r="L540" s="82">
        <f>ROUND(K540*$G$5, 2)</f>
        <v/>
      </c>
      <c r="M540" s="98">
        <f>INT($G$6/H540)</f>
        <v/>
      </c>
      <c r="N540" s="98">
        <f>IF(M540=0, 0, IF(OR($K$6="Square Grid", M540=1), INT($G$7/H540), IF($G$7&lt;H540, 0, 1+INT(($G$7-H540)/(0.8660254*H540)))))</f>
        <v/>
      </c>
      <c r="O540" s="84">
        <f>IF(OR(M540=0,N540=0), 0, IF(OR($K$6="Square Grid", M540=1), M540*N540*$K$5, (INT((N540+1)/2)*M540 + INT(N540/2)*IF(($G$6-M540*H540)&gt;=0.5*H540, M540, M540-1))*$K$5))</f>
        <v/>
      </c>
      <c r="P540" s="84">
        <f>IF(L540&lt;=0, 0, INT($G$8/L540))</f>
        <v/>
      </c>
      <c r="Q540" s="95">
        <f>MIN(O540, P540)</f>
        <v/>
      </c>
      <c r="R540" s="96">
        <f>ROUND((Q540*L540)/1000, 2)</f>
        <v/>
      </c>
      <c r="S540" s="85">
        <f>IF($C$8&gt;0, R540/$C$8, 0)</f>
        <v/>
      </c>
      <c r="T540" s="85">
        <f>IF(O540&gt;0, Q540/O540, 0)</f>
        <v/>
      </c>
      <c r="U540" s="18">
        <f>IF(Q540=0, "Exceeds Limit", IF(P540&lt;=O540, "Weight Limited", "Volume Limited"))</f>
        <v/>
      </c>
      <c r="V540" s="100">
        <f>B540&amp;"|"&amp;D540&amp;"|"&amp;F540</f>
        <v/>
      </c>
    </row>
    <row r="541" ht="19" customHeight="1">
      <c r="A541" s="93" t="n">
        <v>531</v>
      </c>
      <c r="B541" s="101" t="inlineStr">
        <is>
          <t>Stainless Steel 304</t>
        </is>
      </c>
      <c r="C541" s="13" t="inlineStr">
        <is>
          <t>ASME B36.19M / B36.10M</t>
        </is>
      </c>
      <c r="D541" s="12" t="inlineStr">
        <is>
          <t>3-1/2''</t>
        </is>
      </c>
      <c r="E541" s="93" t="n">
        <v>90</v>
      </c>
      <c r="F541" s="12" t="inlineStr">
        <is>
          <t>40</t>
        </is>
      </c>
      <c r="G541" s="14" t="n">
        <v>4</v>
      </c>
      <c r="H541" s="78" t="n">
        <v>101.6</v>
      </c>
      <c r="I541" s="14" t="n">
        <v>0.226</v>
      </c>
      <c r="J541" s="78" t="n">
        <v>5.74</v>
      </c>
      <c r="K541" s="14">
        <f>ROUND((H541-J541)*J541*IF(B541="Carbon Steel",$K$7,IF(B541="Stainless Steel 304",$K$8,$L$8)), 3)</f>
        <v/>
      </c>
      <c r="L541" s="78">
        <f>ROUND(K541*$G$5, 2)</f>
        <v/>
      </c>
      <c r="M541" s="93">
        <f>INT($G$6/H541)</f>
        <v/>
      </c>
      <c r="N541" s="93">
        <f>IF(M541=0, 0, IF(OR($K$6="Square Grid", M541=1), INT($G$7/H541), IF($G$7&lt;H541, 0, 1+INT(($G$7-H541)/(0.8660254*H541)))))</f>
        <v/>
      </c>
      <c r="O541" s="59">
        <f>IF(OR(M541=0,N541=0), 0, IF(OR($K$6="Square Grid", M541=1), M541*N541*$K$5, (INT((N541+1)/2)*M541 + INT(N541/2)*IF(($G$6-M541*H541)&gt;=0.5*H541, M541, M541-1))*$K$5))</f>
        <v/>
      </c>
      <c r="P541" s="59">
        <f>IF(L541&lt;=0, 0, INT($G$8/L541))</f>
        <v/>
      </c>
      <c r="Q541" s="95">
        <f>MIN(O541, P541)</f>
        <v/>
      </c>
      <c r="R541" s="96">
        <f>ROUND((Q541*L541)/1000, 2)</f>
        <v/>
      </c>
      <c r="S541" s="79">
        <f>IF($C$8&gt;0, R541/$C$8, 0)</f>
        <v/>
      </c>
      <c r="T541" s="79">
        <f>IF(O541&gt;0, Q541/O541, 0)</f>
        <v/>
      </c>
      <c r="U541" s="12">
        <f>IF(Q541=0, "Exceeds Limit", IF(P541&lt;=O541, "Weight Limited", "Volume Limited"))</f>
        <v/>
      </c>
      <c r="V541" s="97">
        <f>B541&amp;"|"&amp;D541&amp;"|"&amp;F541</f>
        <v/>
      </c>
    </row>
    <row r="542" ht="19" customHeight="1">
      <c r="A542" s="98" t="n">
        <v>532</v>
      </c>
      <c r="B542" s="102" t="inlineStr">
        <is>
          <t>Stainless Steel 304</t>
        </is>
      </c>
      <c r="C542" s="19" t="inlineStr">
        <is>
          <t>ASME B36.19M / B36.10M</t>
        </is>
      </c>
      <c r="D542" s="18" t="inlineStr">
        <is>
          <t>3-1/2''</t>
        </is>
      </c>
      <c r="E542" s="98" t="n">
        <v>90</v>
      </c>
      <c r="F542" s="18" t="inlineStr">
        <is>
          <t>80S</t>
        </is>
      </c>
      <c r="G542" s="20" t="n">
        <v>4</v>
      </c>
      <c r="H542" s="82" t="n">
        <v>101.6</v>
      </c>
      <c r="I542" s="20" t="n">
        <v>0.318</v>
      </c>
      <c r="J542" s="82" t="n">
        <v>8.08</v>
      </c>
      <c r="K542" s="20">
        <f>ROUND((H542-J542)*J542*IF(B542="Carbon Steel",$K$7,IF(B542="Stainless Steel 304",$K$8,$L$8)), 3)</f>
        <v/>
      </c>
      <c r="L542" s="82">
        <f>ROUND(K542*$G$5, 2)</f>
        <v/>
      </c>
      <c r="M542" s="98">
        <f>INT($G$6/H542)</f>
        <v/>
      </c>
      <c r="N542" s="98">
        <f>IF(M542=0, 0, IF(OR($K$6="Square Grid", M542=1), INT($G$7/H542), IF($G$7&lt;H542, 0, 1+INT(($G$7-H542)/(0.8660254*H542)))))</f>
        <v/>
      </c>
      <c r="O542" s="84">
        <f>IF(OR(M542=0,N542=0), 0, IF(OR($K$6="Square Grid", M542=1), M542*N542*$K$5, (INT((N542+1)/2)*M542 + INT(N542/2)*IF(($G$6-M542*H542)&gt;=0.5*H542, M542, M542-1))*$K$5))</f>
        <v/>
      </c>
      <c r="P542" s="84">
        <f>IF(L542&lt;=0, 0, INT($G$8/L542))</f>
        <v/>
      </c>
      <c r="Q542" s="95">
        <f>MIN(O542, P542)</f>
        <v/>
      </c>
      <c r="R542" s="96">
        <f>ROUND((Q542*L542)/1000, 2)</f>
        <v/>
      </c>
      <c r="S542" s="85">
        <f>IF($C$8&gt;0, R542/$C$8, 0)</f>
        <v/>
      </c>
      <c r="T542" s="85">
        <f>IF(O542&gt;0, Q542/O542, 0)</f>
        <v/>
      </c>
      <c r="U542" s="18">
        <f>IF(Q542=0, "Exceeds Limit", IF(P542&lt;=O542, "Weight Limited", "Volume Limited"))</f>
        <v/>
      </c>
      <c r="V542" s="100">
        <f>B542&amp;"|"&amp;D542&amp;"|"&amp;F542</f>
        <v/>
      </c>
    </row>
    <row r="543" ht="19" customHeight="1">
      <c r="A543" s="93" t="n">
        <v>533</v>
      </c>
      <c r="B543" s="101" t="inlineStr">
        <is>
          <t>Stainless Steel 304</t>
        </is>
      </c>
      <c r="C543" s="13" t="inlineStr">
        <is>
          <t>ASME B36.19M / B36.10M</t>
        </is>
      </c>
      <c r="D543" s="12" t="inlineStr">
        <is>
          <t>3-1/2''</t>
        </is>
      </c>
      <c r="E543" s="93" t="n">
        <v>90</v>
      </c>
      <c r="F543" s="12" t="inlineStr">
        <is>
          <t>XS</t>
        </is>
      </c>
      <c r="G543" s="14" t="n">
        <v>4</v>
      </c>
      <c r="H543" s="78" t="n">
        <v>101.6</v>
      </c>
      <c r="I543" s="14" t="n">
        <v>0.318</v>
      </c>
      <c r="J543" s="78" t="n">
        <v>8.08</v>
      </c>
      <c r="K543" s="14">
        <f>ROUND((H543-J543)*J543*IF(B543="Carbon Steel",$K$7,IF(B543="Stainless Steel 304",$K$8,$L$8)), 3)</f>
        <v/>
      </c>
      <c r="L543" s="78">
        <f>ROUND(K543*$G$5, 2)</f>
        <v/>
      </c>
      <c r="M543" s="93">
        <f>INT($G$6/H543)</f>
        <v/>
      </c>
      <c r="N543" s="93">
        <f>IF(M543=0, 0, IF(OR($K$6="Square Grid", M543=1), INT($G$7/H543), IF($G$7&lt;H543, 0, 1+INT(($G$7-H543)/(0.8660254*H543)))))</f>
        <v/>
      </c>
      <c r="O543" s="59">
        <f>IF(OR(M543=0,N543=0), 0, IF(OR($K$6="Square Grid", M543=1), M543*N543*$K$5, (INT((N543+1)/2)*M543 + INT(N543/2)*IF(($G$6-M543*H543)&gt;=0.5*H543, M543, M543-1))*$K$5))</f>
        <v/>
      </c>
      <c r="P543" s="59">
        <f>IF(L543&lt;=0, 0, INT($G$8/L543))</f>
        <v/>
      </c>
      <c r="Q543" s="95">
        <f>MIN(O543, P543)</f>
        <v/>
      </c>
      <c r="R543" s="96">
        <f>ROUND((Q543*L543)/1000, 2)</f>
        <v/>
      </c>
      <c r="S543" s="79">
        <f>IF($C$8&gt;0, R543/$C$8, 0)</f>
        <v/>
      </c>
      <c r="T543" s="79">
        <f>IF(O543&gt;0, Q543/O543, 0)</f>
        <v/>
      </c>
      <c r="U543" s="12">
        <f>IF(Q543=0, "Exceeds Limit", IF(P543&lt;=O543, "Weight Limited", "Volume Limited"))</f>
        <v/>
      </c>
      <c r="V543" s="97">
        <f>B543&amp;"|"&amp;D543&amp;"|"&amp;F543</f>
        <v/>
      </c>
    </row>
    <row r="544" ht="19" customHeight="1">
      <c r="A544" s="98" t="n">
        <v>534</v>
      </c>
      <c r="B544" s="102" t="inlineStr">
        <is>
          <t>Stainless Steel 304</t>
        </is>
      </c>
      <c r="C544" s="19" t="inlineStr">
        <is>
          <t>ASME B36.19M / B36.10M</t>
        </is>
      </c>
      <c r="D544" s="18" t="inlineStr">
        <is>
          <t>3-1/2''</t>
        </is>
      </c>
      <c r="E544" s="98" t="n">
        <v>90</v>
      </c>
      <c r="F544" s="18" t="inlineStr">
        <is>
          <t>80</t>
        </is>
      </c>
      <c r="G544" s="20" t="n">
        <v>4</v>
      </c>
      <c r="H544" s="82" t="n">
        <v>101.6</v>
      </c>
      <c r="I544" s="20" t="n">
        <v>0.318</v>
      </c>
      <c r="J544" s="82" t="n">
        <v>8.08</v>
      </c>
      <c r="K544" s="20">
        <f>ROUND((H544-J544)*J544*IF(B544="Carbon Steel",$K$7,IF(B544="Stainless Steel 304",$K$8,$L$8)), 3)</f>
        <v/>
      </c>
      <c r="L544" s="82">
        <f>ROUND(K544*$G$5, 2)</f>
        <v/>
      </c>
      <c r="M544" s="98">
        <f>INT($G$6/H544)</f>
        <v/>
      </c>
      <c r="N544" s="98">
        <f>IF(M544=0, 0, IF(OR($K$6="Square Grid", M544=1), INT($G$7/H544), IF($G$7&lt;H544, 0, 1+INT(($G$7-H544)/(0.8660254*H544)))))</f>
        <v/>
      </c>
      <c r="O544" s="84">
        <f>IF(OR(M544=0,N544=0), 0, IF(OR($K$6="Square Grid", M544=1), M544*N544*$K$5, (INT((N544+1)/2)*M544 + INT(N544/2)*IF(($G$6-M544*H544)&gt;=0.5*H544, M544, M544-1))*$K$5))</f>
        <v/>
      </c>
      <c r="P544" s="84">
        <f>IF(L544&lt;=0, 0, INT($G$8/L544))</f>
        <v/>
      </c>
      <c r="Q544" s="95">
        <f>MIN(O544, P544)</f>
        <v/>
      </c>
      <c r="R544" s="96">
        <f>ROUND((Q544*L544)/1000, 2)</f>
        <v/>
      </c>
      <c r="S544" s="85">
        <f>IF($C$8&gt;0, R544/$C$8, 0)</f>
        <v/>
      </c>
      <c r="T544" s="85">
        <f>IF(O544&gt;0, Q544/O544, 0)</f>
        <v/>
      </c>
      <c r="U544" s="18">
        <f>IF(Q544=0, "Exceeds Limit", IF(P544&lt;=O544, "Weight Limited", "Volume Limited"))</f>
        <v/>
      </c>
      <c r="V544" s="100">
        <f>B544&amp;"|"&amp;D544&amp;"|"&amp;F544</f>
        <v/>
      </c>
    </row>
    <row r="545" ht="19" customHeight="1">
      <c r="A545" s="93" t="n">
        <v>535</v>
      </c>
      <c r="B545" s="101" t="inlineStr">
        <is>
          <t>Stainless Steel 304</t>
        </is>
      </c>
      <c r="C545" s="13" t="inlineStr">
        <is>
          <t>ASME B36.19M / B36.10M</t>
        </is>
      </c>
      <c r="D545" s="12" t="inlineStr">
        <is>
          <t>3-1/2''</t>
        </is>
      </c>
      <c r="E545" s="93" t="n">
        <v>90</v>
      </c>
      <c r="F545" s="12" t="inlineStr">
        <is>
          <t>XXS</t>
        </is>
      </c>
      <c r="G545" s="14" t="n">
        <v>4</v>
      </c>
      <c r="H545" s="78" t="n">
        <v>101.6</v>
      </c>
      <c r="I545" s="14" t="n">
        <v>0.636</v>
      </c>
      <c r="J545" s="78" t="n">
        <v>16.15</v>
      </c>
      <c r="K545" s="14">
        <f>ROUND((H545-J545)*J545*IF(B545="Carbon Steel",$K$7,IF(B545="Stainless Steel 304",$K$8,$L$8)), 3)</f>
        <v/>
      </c>
      <c r="L545" s="78">
        <f>ROUND(K545*$G$5, 2)</f>
        <v/>
      </c>
      <c r="M545" s="93">
        <f>INT($G$6/H545)</f>
        <v/>
      </c>
      <c r="N545" s="93">
        <f>IF(M545=0, 0, IF(OR($K$6="Square Grid", M545=1), INT($G$7/H545), IF($G$7&lt;H545, 0, 1+INT(($G$7-H545)/(0.8660254*H545)))))</f>
        <v/>
      </c>
      <c r="O545" s="59">
        <f>IF(OR(M545=0,N545=0), 0, IF(OR($K$6="Square Grid", M545=1), M545*N545*$K$5, (INT((N545+1)/2)*M545 + INT(N545/2)*IF(($G$6-M545*H545)&gt;=0.5*H545, M545, M545-1))*$K$5))</f>
        <v/>
      </c>
      <c r="P545" s="59">
        <f>IF(L545&lt;=0, 0, INT($G$8/L545))</f>
        <v/>
      </c>
      <c r="Q545" s="95">
        <f>MIN(O545, P545)</f>
        <v/>
      </c>
      <c r="R545" s="96">
        <f>ROUND((Q545*L545)/1000, 2)</f>
        <v/>
      </c>
      <c r="S545" s="79">
        <f>IF($C$8&gt;0, R545/$C$8, 0)</f>
        <v/>
      </c>
      <c r="T545" s="79">
        <f>IF(O545&gt;0, Q545/O545, 0)</f>
        <v/>
      </c>
      <c r="U545" s="12">
        <f>IF(Q545=0, "Exceeds Limit", IF(P545&lt;=O545, "Weight Limited", "Volume Limited"))</f>
        <v/>
      </c>
      <c r="V545" s="97">
        <f>B545&amp;"|"&amp;D545&amp;"|"&amp;F545</f>
        <v/>
      </c>
    </row>
    <row r="546" ht="19" customHeight="1">
      <c r="A546" s="98" t="n">
        <v>536</v>
      </c>
      <c r="B546" s="102" t="inlineStr">
        <is>
          <t>Stainless Steel 304</t>
        </is>
      </c>
      <c r="C546" s="19" t="inlineStr">
        <is>
          <t>ASME B36.19M / B36.10M</t>
        </is>
      </c>
      <c r="D546" s="18" t="inlineStr">
        <is>
          <t>4''</t>
        </is>
      </c>
      <c r="E546" s="98" t="n">
        <v>100</v>
      </c>
      <c r="F546" s="18" t="inlineStr">
        <is>
          <t>5S</t>
        </is>
      </c>
      <c r="G546" s="20" t="n">
        <v>4.5</v>
      </c>
      <c r="H546" s="82" t="n">
        <v>114.3</v>
      </c>
      <c r="I546" s="20" t="n">
        <v>0.083</v>
      </c>
      <c r="J546" s="82" t="n">
        <v>2.11</v>
      </c>
      <c r="K546" s="20">
        <f>ROUND((H546-J546)*J546*IF(B546="Carbon Steel",$K$7,IF(B546="Stainless Steel 304",$K$8,$L$8)), 3)</f>
        <v/>
      </c>
      <c r="L546" s="82">
        <f>ROUND(K546*$G$5, 2)</f>
        <v/>
      </c>
      <c r="M546" s="98">
        <f>INT($G$6/H546)</f>
        <v/>
      </c>
      <c r="N546" s="98">
        <f>IF(M546=0, 0, IF(OR($K$6="Square Grid", M546=1), INT($G$7/H546), IF($G$7&lt;H546, 0, 1+INT(($G$7-H546)/(0.8660254*H546)))))</f>
        <v/>
      </c>
      <c r="O546" s="84">
        <f>IF(OR(M546=0,N546=0), 0, IF(OR($K$6="Square Grid", M546=1), M546*N546*$K$5, (INT((N546+1)/2)*M546 + INT(N546/2)*IF(($G$6-M546*H546)&gt;=0.5*H546, M546, M546-1))*$K$5))</f>
        <v/>
      </c>
      <c r="P546" s="84">
        <f>IF(L546&lt;=0, 0, INT($G$8/L546))</f>
        <v/>
      </c>
      <c r="Q546" s="95">
        <f>MIN(O546, P546)</f>
        <v/>
      </c>
      <c r="R546" s="96">
        <f>ROUND((Q546*L546)/1000, 2)</f>
        <v/>
      </c>
      <c r="S546" s="85">
        <f>IF($C$8&gt;0, R546/$C$8, 0)</f>
        <v/>
      </c>
      <c r="T546" s="85">
        <f>IF(O546&gt;0, Q546/O546, 0)</f>
        <v/>
      </c>
      <c r="U546" s="18">
        <f>IF(Q546=0, "Exceeds Limit", IF(P546&lt;=O546, "Weight Limited", "Volume Limited"))</f>
        <v/>
      </c>
      <c r="V546" s="100">
        <f>B546&amp;"|"&amp;D546&amp;"|"&amp;F546</f>
        <v/>
      </c>
    </row>
    <row r="547" ht="19" customHeight="1">
      <c r="A547" s="93" t="n">
        <v>537</v>
      </c>
      <c r="B547" s="101" t="inlineStr">
        <is>
          <t>Stainless Steel 304</t>
        </is>
      </c>
      <c r="C547" s="13" t="inlineStr">
        <is>
          <t>ASME B36.19M / B36.10M</t>
        </is>
      </c>
      <c r="D547" s="12" t="inlineStr">
        <is>
          <t>4''</t>
        </is>
      </c>
      <c r="E547" s="93" t="n">
        <v>100</v>
      </c>
      <c r="F547" s="12" t="inlineStr">
        <is>
          <t>5</t>
        </is>
      </c>
      <c r="G547" s="14" t="n">
        <v>4.5</v>
      </c>
      <c r="H547" s="78" t="n">
        <v>114.3</v>
      </c>
      <c r="I547" s="14" t="n">
        <v>0.083</v>
      </c>
      <c r="J547" s="78" t="n">
        <v>2.11</v>
      </c>
      <c r="K547" s="14">
        <f>ROUND((H547-J547)*J547*IF(B547="Carbon Steel",$K$7,IF(B547="Stainless Steel 304",$K$8,$L$8)), 3)</f>
        <v/>
      </c>
      <c r="L547" s="78">
        <f>ROUND(K547*$G$5, 2)</f>
        <v/>
      </c>
      <c r="M547" s="93">
        <f>INT($G$6/H547)</f>
        <v/>
      </c>
      <c r="N547" s="93">
        <f>IF(M547=0, 0, IF(OR($K$6="Square Grid", M547=1), INT($G$7/H547), IF($G$7&lt;H547, 0, 1+INT(($G$7-H547)/(0.8660254*H547)))))</f>
        <v/>
      </c>
      <c r="O547" s="59">
        <f>IF(OR(M547=0,N547=0), 0, IF(OR($K$6="Square Grid", M547=1), M547*N547*$K$5, (INT((N547+1)/2)*M547 + INT(N547/2)*IF(($G$6-M547*H547)&gt;=0.5*H547, M547, M547-1))*$K$5))</f>
        <v/>
      </c>
      <c r="P547" s="59">
        <f>IF(L547&lt;=0, 0, INT($G$8/L547))</f>
        <v/>
      </c>
      <c r="Q547" s="95">
        <f>MIN(O547, P547)</f>
        <v/>
      </c>
      <c r="R547" s="96">
        <f>ROUND((Q547*L547)/1000, 2)</f>
        <v/>
      </c>
      <c r="S547" s="79">
        <f>IF($C$8&gt;0, R547/$C$8, 0)</f>
        <v/>
      </c>
      <c r="T547" s="79">
        <f>IF(O547&gt;0, Q547/O547, 0)</f>
        <v/>
      </c>
      <c r="U547" s="12">
        <f>IF(Q547=0, "Exceeds Limit", IF(P547&lt;=O547, "Weight Limited", "Volume Limited"))</f>
        <v/>
      </c>
      <c r="V547" s="97">
        <f>B547&amp;"|"&amp;D547&amp;"|"&amp;F547</f>
        <v/>
      </c>
    </row>
    <row r="548" ht="19" customHeight="1">
      <c r="A548" s="98" t="n">
        <v>538</v>
      </c>
      <c r="B548" s="102" t="inlineStr">
        <is>
          <t>Stainless Steel 304</t>
        </is>
      </c>
      <c r="C548" s="19" t="inlineStr">
        <is>
          <t>ASME B36.19M / B36.10M</t>
        </is>
      </c>
      <c r="D548" s="18" t="inlineStr">
        <is>
          <t>4''</t>
        </is>
      </c>
      <c r="E548" s="98" t="n">
        <v>100</v>
      </c>
      <c r="F548" s="18" t="inlineStr">
        <is>
          <t>10S</t>
        </is>
      </c>
      <c r="G548" s="20" t="n">
        <v>4.5</v>
      </c>
      <c r="H548" s="82" t="n">
        <v>114.3</v>
      </c>
      <c r="I548" s="20" t="n">
        <v>0.12</v>
      </c>
      <c r="J548" s="82" t="n">
        <v>3.05</v>
      </c>
      <c r="K548" s="20">
        <f>ROUND((H548-J548)*J548*IF(B548="Carbon Steel",$K$7,IF(B548="Stainless Steel 304",$K$8,$L$8)), 3)</f>
        <v/>
      </c>
      <c r="L548" s="82">
        <f>ROUND(K548*$G$5, 2)</f>
        <v/>
      </c>
      <c r="M548" s="98">
        <f>INT($G$6/H548)</f>
        <v/>
      </c>
      <c r="N548" s="98">
        <f>IF(M548=0, 0, IF(OR($K$6="Square Grid", M548=1), INT($G$7/H548), IF($G$7&lt;H548, 0, 1+INT(($G$7-H548)/(0.8660254*H548)))))</f>
        <v/>
      </c>
      <c r="O548" s="84">
        <f>IF(OR(M548=0,N548=0), 0, IF(OR($K$6="Square Grid", M548=1), M548*N548*$K$5, (INT((N548+1)/2)*M548 + INT(N548/2)*IF(($G$6-M548*H548)&gt;=0.5*H548, M548, M548-1))*$K$5))</f>
        <v/>
      </c>
      <c r="P548" s="84">
        <f>IF(L548&lt;=0, 0, INT($G$8/L548))</f>
        <v/>
      </c>
      <c r="Q548" s="95">
        <f>MIN(O548, P548)</f>
        <v/>
      </c>
      <c r="R548" s="96">
        <f>ROUND((Q548*L548)/1000, 2)</f>
        <v/>
      </c>
      <c r="S548" s="85">
        <f>IF($C$8&gt;0, R548/$C$8, 0)</f>
        <v/>
      </c>
      <c r="T548" s="85">
        <f>IF(O548&gt;0, Q548/O548, 0)</f>
        <v/>
      </c>
      <c r="U548" s="18">
        <f>IF(Q548=0, "Exceeds Limit", IF(P548&lt;=O548, "Weight Limited", "Volume Limited"))</f>
        <v/>
      </c>
      <c r="V548" s="100">
        <f>B548&amp;"|"&amp;D548&amp;"|"&amp;F548</f>
        <v/>
      </c>
    </row>
    <row r="549" ht="19" customHeight="1">
      <c r="A549" s="93" t="n">
        <v>539</v>
      </c>
      <c r="B549" s="101" t="inlineStr">
        <is>
          <t>Stainless Steel 304</t>
        </is>
      </c>
      <c r="C549" s="13" t="inlineStr">
        <is>
          <t>ASME B36.19M / B36.10M</t>
        </is>
      </c>
      <c r="D549" s="12" t="inlineStr">
        <is>
          <t>4''</t>
        </is>
      </c>
      <c r="E549" s="93" t="n">
        <v>100</v>
      </c>
      <c r="F549" s="12" t="inlineStr">
        <is>
          <t>10</t>
        </is>
      </c>
      <c r="G549" s="14" t="n">
        <v>4.5</v>
      </c>
      <c r="H549" s="78" t="n">
        <v>114.3</v>
      </c>
      <c r="I549" s="14" t="n">
        <v>0.12</v>
      </c>
      <c r="J549" s="78" t="n">
        <v>3.05</v>
      </c>
      <c r="K549" s="14">
        <f>ROUND((H549-J549)*J549*IF(B549="Carbon Steel",$K$7,IF(B549="Stainless Steel 304",$K$8,$L$8)), 3)</f>
        <v/>
      </c>
      <c r="L549" s="78">
        <f>ROUND(K549*$G$5, 2)</f>
        <v/>
      </c>
      <c r="M549" s="93">
        <f>INT($G$6/H549)</f>
        <v/>
      </c>
      <c r="N549" s="93">
        <f>IF(M549=0, 0, IF(OR($K$6="Square Grid", M549=1), INT($G$7/H549), IF($G$7&lt;H549, 0, 1+INT(($G$7-H549)/(0.8660254*H549)))))</f>
        <v/>
      </c>
      <c r="O549" s="59">
        <f>IF(OR(M549=0,N549=0), 0, IF(OR($K$6="Square Grid", M549=1), M549*N549*$K$5, (INT((N549+1)/2)*M549 + INT(N549/2)*IF(($G$6-M549*H549)&gt;=0.5*H549, M549, M549-1))*$K$5))</f>
        <v/>
      </c>
      <c r="P549" s="59">
        <f>IF(L549&lt;=0, 0, INT($G$8/L549))</f>
        <v/>
      </c>
      <c r="Q549" s="95">
        <f>MIN(O549, P549)</f>
        <v/>
      </c>
      <c r="R549" s="96">
        <f>ROUND((Q549*L549)/1000, 2)</f>
        <v/>
      </c>
      <c r="S549" s="79">
        <f>IF($C$8&gt;0, R549/$C$8, 0)</f>
        <v/>
      </c>
      <c r="T549" s="79">
        <f>IF(O549&gt;0, Q549/O549, 0)</f>
        <v/>
      </c>
      <c r="U549" s="12">
        <f>IF(Q549=0, "Exceeds Limit", IF(P549&lt;=O549, "Weight Limited", "Volume Limited"))</f>
        <v/>
      </c>
      <c r="V549" s="97">
        <f>B549&amp;"|"&amp;D549&amp;"|"&amp;F549</f>
        <v/>
      </c>
    </row>
    <row r="550" ht="19" customHeight="1">
      <c r="A550" s="98" t="n">
        <v>540</v>
      </c>
      <c r="B550" s="102" t="inlineStr">
        <is>
          <t>Stainless Steel 304</t>
        </is>
      </c>
      <c r="C550" s="19" t="inlineStr">
        <is>
          <t>ASME B36.19M / B36.10M</t>
        </is>
      </c>
      <c r="D550" s="18" t="inlineStr">
        <is>
          <t>4''</t>
        </is>
      </c>
      <c r="E550" s="98" t="n">
        <v>100</v>
      </c>
      <c r="F550" s="18" t="inlineStr">
        <is>
          <t>30</t>
        </is>
      </c>
      <c r="G550" s="20" t="n">
        <v>4.5</v>
      </c>
      <c r="H550" s="82" t="n">
        <v>114.3</v>
      </c>
      <c r="I550" s="20" t="n">
        <v>0.188</v>
      </c>
      <c r="J550" s="82" t="n">
        <v>4.78</v>
      </c>
      <c r="K550" s="20">
        <f>ROUND((H550-J550)*J550*IF(B550="Carbon Steel",$K$7,IF(B550="Stainless Steel 304",$K$8,$L$8)), 3)</f>
        <v/>
      </c>
      <c r="L550" s="82">
        <f>ROUND(K550*$G$5, 2)</f>
        <v/>
      </c>
      <c r="M550" s="98">
        <f>INT($G$6/H550)</f>
        <v/>
      </c>
      <c r="N550" s="98">
        <f>IF(M550=0, 0, IF(OR($K$6="Square Grid", M550=1), INT($G$7/H550), IF($G$7&lt;H550, 0, 1+INT(($G$7-H550)/(0.8660254*H550)))))</f>
        <v/>
      </c>
      <c r="O550" s="84">
        <f>IF(OR(M550=0,N550=0), 0, IF(OR($K$6="Square Grid", M550=1), M550*N550*$K$5, (INT((N550+1)/2)*M550 + INT(N550/2)*IF(($G$6-M550*H550)&gt;=0.5*H550, M550, M550-1))*$K$5))</f>
        <v/>
      </c>
      <c r="P550" s="84">
        <f>IF(L550&lt;=0, 0, INT($G$8/L550))</f>
        <v/>
      </c>
      <c r="Q550" s="95">
        <f>MIN(O550, P550)</f>
        <v/>
      </c>
      <c r="R550" s="96">
        <f>ROUND((Q550*L550)/1000, 2)</f>
        <v/>
      </c>
      <c r="S550" s="85">
        <f>IF($C$8&gt;0, R550/$C$8, 0)</f>
        <v/>
      </c>
      <c r="T550" s="85">
        <f>IF(O550&gt;0, Q550/O550, 0)</f>
        <v/>
      </c>
      <c r="U550" s="18">
        <f>IF(Q550=0, "Exceeds Limit", IF(P550&lt;=O550, "Weight Limited", "Volume Limited"))</f>
        <v/>
      </c>
      <c r="V550" s="100">
        <f>B550&amp;"|"&amp;D550&amp;"|"&amp;F550</f>
        <v/>
      </c>
    </row>
    <row r="551" ht="19" customHeight="1">
      <c r="A551" s="93" t="n">
        <v>541</v>
      </c>
      <c r="B551" s="101" t="inlineStr">
        <is>
          <t>Stainless Steel 304</t>
        </is>
      </c>
      <c r="C551" s="13" t="inlineStr">
        <is>
          <t>ASME B36.19M / B36.10M</t>
        </is>
      </c>
      <c r="D551" s="12" t="inlineStr">
        <is>
          <t>4''</t>
        </is>
      </c>
      <c r="E551" s="93" t="n">
        <v>100</v>
      </c>
      <c r="F551" s="12" t="inlineStr">
        <is>
          <t>40S</t>
        </is>
      </c>
      <c r="G551" s="14" t="n">
        <v>4.5</v>
      </c>
      <c r="H551" s="78" t="n">
        <v>114.3</v>
      </c>
      <c r="I551" s="14" t="n">
        <v>0.237</v>
      </c>
      <c r="J551" s="78" t="n">
        <v>6.02</v>
      </c>
      <c r="K551" s="14">
        <f>ROUND((H551-J551)*J551*IF(B551="Carbon Steel",$K$7,IF(B551="Stainless Steel 304",$K$8,$L$8)), 3)</f>
        <v/>
      </c>
      <c r="L551" s="78">
        <f>ROUND(K551*$G$5, 2)</f>
        <v/>
      </c>
      <c r="M551" s="93">
        <f>INT($G$6/H551)</f>
        <v/>
      </c>
      <c r="N551" s="93">
        <f>IF(M551=0, 0, IF(OR($K$6="Square Grid", M551=1), INT($G$7/H551), IF($G$7&lt;H551, 0, 1+INT(($G$7-H551)/(0.8660254*H551)))))</f>
        <v/>
      </c>
      <c r="O551" s="59">
        <f>IF(OR(M551=0,N551=0), 0, IF(OR($K$6="Square Grid", M551=1), M551*N551*$K$5, (INT((N551+1)/2)*M551 + INT(N551/2)*IF(($G$6-M551*H551)&gt;=0.5*H551, M551, M551-1))*$K$5))</f>
        <v/>
      </c>
      <c r="P551" s="59">
        <f>IF(L551&lt;=0, 0, INT($G$8/L551))</f>
        <v/>
      </c>
      <c r="Q551" s="95">
        <f>MIN(O551, P551)</f>
        <v/>
      </c>
      <c r="R551" s="96">
        <f>ROUND((Q551*L551)/1000, 2)</f>
        <v/>
      </c>
      <c r="S551" s="79">
        <f>IF($C$8&gt;0, R551/$C$8, 0)</f>
        <v/>
      </c>
      <c r="T551" s="79">
        <f>IF(O551&gt;0, Q551/O551, 0)</f>
        <v/>
      </c>
      <c r="U551" s="12">
        <f>IF(Q551=0, "Exceeds Limit", IF(P551&lt;=O551, "Weight Limited", "Volume Limited"))</f>
        <v/>
      </c>
      <c r="V551" s="97">
        <f>B551&amp;"|"&amp;D551&amp;"|"&amp;F551</f>
        <v/>
      </c>
    </row>
    <row r="552" ht="19" customHeight="1">
      <c r="A552" s="98" t="n">
        <v>542</v>
      </c>
      <c r="B552" s="102" t="inlineStr">
        <is>
          <t>Stainless Steel 304</t>
        </is>
      </c>
      <c r="C552" s="19" t="inlineStr">
        <is>
          <t>ASME B36.19M / B36.10M</t>
        </is>
      </c>
      <c r="D552" s="18" t="inlineStr">
        <is>
          <t>4''</t>
        </is>
      </c>
      <c r="E552" s="98" t="n">
        <v>100</v>
      </c>
      <c r="F552" s="18" t="inlineStr">
        <is>
          <t>STD</t>
        </is>
      </c>
      <c r="G552" s="20" t="n">
        <v>4.5</v>
      </c>
      <c r="H552" s="82" t="n">
        <v>114.3</v>
      </c>
      <c r="I552" s="20" t="n">
        <v>0.237</v>
      </c>
      <c r="J552" s="82" t="n">
        <v>6.02</v>
      </c>
      <c r="K552" s="20">
        <f>ROUND((H552-J552)*J552*IF(B552="Carbon Steel",$K$7,IF(B552="Stainless Steel 304",$K$8,$L$8)), 3)</f>
        <v/>
      </c>
      <c r="L552" s="82">
        <f>ROUND(K552*$G$5, 2)</f>
        <v/>
      </c>
      <c r="M552" s="98">
        <f>INT($G$6/H552)</f>
        <v/>
      </c>
      <c r="N552" s="98">
        <f>IF(M552=0, 0, IF(OR($K$6="Square Grid", M552=1), INT($G$7/H552), IF($G$7&lt;H552, 0, 1+INT(($G$7-H552)/(0.8660254*H552)))))</f>
        <v/>
      </c>
      <c r="O552" s="84">
        <f>IF(OR(M552=0,N552=0), 0, IF(OR($K$6="Square Grid", M552=1), M552*N552*$K$5, (INT((N552+1)/2)*M552 + INT(N552/2)*IF(($G$6-M552*H552)&gt;=0.5*H552, M552, M552-1))*$K$5))</f>
        <v/>
      </c>
      <c r="P552" s="84">
        <f>IF(L552&lt;=0, 0, INT($G$8/L552))</f>
        <v/>
      </c>
      <c r="Q552" s="95">
        <f>MIN(O552, P552)</f>
        <v/>
      </c>
      <c r="R552" s="96">
        <f>ROUND((Q552*L552)/1000, 2)</f>
        <v/>
      </c>
      <c r="S552" s="85">
        <f>IF($C$8&gt;0, R552/$C$8, 0)</f>
        <v/>
      </c>
      <c r="T552" s="85">
        <f>IF(O552&gt;0, Q552/O552, 0)</f>
        <v/>
      </c>
      <c r="U552" s="18">
        <f>IF(Q552=0, "Exceeds Limit", IF(P552&lt;=O552, "Weight Limited", "Volume Limited"))</f>
        <v/>
      </c>
      <c r="V552" s="100">
        <f>B552&amp;"|"&amp;D552&amp;"|"&amp;F552</f>
        <v/>
      </c>
    </row>
    <row r="553" ht="19" customHeight="1">
      <c r="A553" s="93" t="n">
        <v>543</v>
      </c>
      <c r="B553" s="101" t="inlineStr">
        <is>
          <t>Stainless Steel 304</t>
        </is>
      </c>
      <c r="C553" s="13" t="inlineStr">
        <is>
          <t>ASME B36.19M / B36.10M</t>
        </is>
      </c>
      <c r="D553" s="12" t="inlineStr">
        <is>
          <t>4''</t>
        </is>
      </c>
      <c r="E553" s="93" t="n">
        <v>100</v>
      </c>
      <c r="F553" s="12" t="inlineStr">
        <is>
          <t>40</t>
        </is>
      </c>
      <c r="G553" s="14" t="n">
        <v>4.5</v>
      </c>
      <c r="H553" s="78" t="n">
        <v>114.3</v>
      </c>
      <c r="I553" s="14" t="n">
        <v>0.237</v>
      </c>
      <c r="J553" s="78" t="n">
        <v>6.02</v>
      </c>
      <c r="K553" s="14">
        <f>ROUND((H553-J553)*J553*IF(B553="Carbon Steel",$K$7,IF(B553="Stainless Steel 304",$K$8,$L$8)), 3)</f>
        <v/>
      </c>
      <c r="L553" s="78">
        <f>ROUND(K553*$G$5, 2)</f>
        <v/>
      </c>
      <c r="M553" s="93">
        <f>INT($G$6/H553)</f>
        <v/>
      </c>
      <c r="N553" s="93">
        <f>IF(M553=0, 0, IF(OR($K$6="Square Grid", M553=1), INT($G$7/H553), IF($G$7&lt;H553, 0, 1+INT(($G$7-H553)/(0.8660254*H553)))))</f>
        <v/>
      </c>
      <c r="O553" s="59">
        <f>IF(OR(M553=0,N553=0), 0, IF(OR($K$6="Square Grid", M553=1), M553*N553*$K$5, (INT((N553+1)/2)*M553 + INT(N553/2)*IF(($G$6-M553*H553)&gt;=0.5*H553, M553, M553-1))*$K$5))</f>
        <v/>
      </c>
      <c r="P553" s="59">
        <f>IF(L553&lt;=0, 0, INT($G$8/L553))</f>
        <v/>
      </c>
      <c r="Q553" s="95">
        <f>MIN(O553, P553)</f>
        <v/>
      </c>
      <c r="R553" s="96">
        <f>ROUND((Q553*L553)/1000, 2)</f>
        <v/>
      </c>
      <c r="S553" s="79">
        <f>IF($C$8&gt;0, R553/$C$8, 0)</f>
        <v/>
      </c>
      <c r="T553" s="79">
        <f>IF(O553&gt;0, Q553/O553, 0)</f>
        <v/>
      </c>
      <c r="U553" s="12">
        <f>IF(Q553=0, "Exceeds Limit", IF(P553&lt;=O553, "Weight Limited", "Volume Limited"))</f>
        <v/>
      </c>
      <c r="V553" s="97">
        <f>B553&amp;"|"&amp;D553&amp;"|"&amp;F553</f>
        <v/>
      </c>
    </row>
    <row r="554" ht="19" customHeight="1">
      <c r="A554" s="98" t="n">
        <v>544</v>
      </c>
      <c r="B554" s="102" t="inlineStr">
        <is>
          <t>Stainless Steel 304</t>
        </is>
      </c>
      <c r="C554" s="19" t="inlineStr">
        <is>
          <t>ASME B36.19M / B36.10M</t>
        </is>
      </c>
      <c r="D554" s="18" t="inlineStr">
        <is>
          <t>4''</t>
        </is>
      </c>
      <c r="E554" s="98" t="n">
        <v>100</v>
      </c>
      <c r="F554" s="18" t="inlineStr">
        <is>
          <t>60</t>
        </is>
      </c>
      <c r="G554" s="20" t="n">
        <v>4.5</v>
      </c>
      <c r="H554" s="82" t="n">
        <v>114.3</v>
      </c>
      <c r="I554" s="20" t="n">
        <v>0.281</v>
      </c>
      <c r="J554" s="82" t="n">
        <v>7.14</v>
      </c>
      <c r="K554" s="20">
        <f>ROUND((H554-J554)*J554*IF(B554="Carbon Steel",$K$7,IF(B554="Stainless Steel 304",$K$8,$L$8)), 3)</f>
        <v/>
      </c>
      <c r="L554" s="82">
        <f>ROUND(K554*$G$5, 2)</f>
        <v/>
      </c>
      <c r="M554" s="98">
        <f>INT($G$6/H554)</f>
        <v/>
      </c>
      <c r="N554" s="98">
        <f>IF(M554=0, 0, IF(OR($K$6="Square Grid", M554=1), INT($G$7/H554), IF($G$7&lt;H554, 0, 1+INT(($G$7-H554)/(0.8660254*H554)))))</f>
        <v/>
      </c>
      <c r="O554" s="84">
        <f>IF(OR(M554=0,N554=0), 0, IF(OR($K$6="Square Grid", M554=1), M554*N554*$K$5, (INT((N554+1)/2)*M554 + INT(N554/2)*IF(($G$6-M554*H554)&gt;=0.5*H554, M554, M554-1))*$K$5))</f>
        <v/>
      </c>
      <c r="P554" s="84">
        <f>IF(L554&lt;=0, 0, INT($G$8/L554))</f>
        <v/>
      </c>
      <c r="Q554" s="95">
        <f>MIN(O554, P554)</f>
        <v/>
      </c>
      <c r="R554" s="96">
        <f>ROUND((Q554*L554)/1000, 2)</f>
        <v/>
      </c>
      <c r="S554" s="85">
        <f>IF($C$8&gt;0, R554/$C$8, 0)</f>
        <v/>
      </c>
      <c r="T554" s="85">
        <f>IF(O554&gt;0, Q554/O554, 0)</f>
        <v/>
      </c>
      <c r="U554" s="18">
        <f>IF(Q554=0, "Exceeds Limit", IF(P554&lt;=O554, "Weight Limited", "Volume Limited"))</f>
        <v/>
      </c>
      <c r="V554" s="100">
        <f>B554&amp;"|"&amp;D554&amp;"|"&amp;F554</f>
        <v/>
      </c>
    </row>
    <row r="555" ht="19" customHeight="1">
      <c r="A555" s="93" t="n">
        <v>545</v>
      </c>
      <c r="B555" s="101" t="inlineStr">
        <is>
          <t>Stainless Steel 304</t>
        </is>
      </c>
      <c r="C555" s="13" t="inlineStr">
        <is>
          <t>ASME B36.19M / B36.10M</t>
        </is>
      </c>
      <c r="D555" s="12" t="inlineStr">
        <is>
          <t>4''</t>
        </is>
      </c>
      <c r="E555" s="93" t="n">
        <v>100</v>
      </c>
      <c r="F555" s="12" t="inlineStr">
        <is>
          <t>80S</t>
        </is>
      </c>
      <c r="G555" s="14" t="n">
        <v>4.5</v>
      </c>
      <c r="H555" s="78" t="n">
        <v>114.3</v>
      </c>
      <c r="I555" s="14" t="n">
        <v>0.337</v>
      </c>
      <c r="J555" s="78" t="n">
        <v>8.56</v>
      </c>
      <c r="K555" s="14">
        <f>ROUND((H555-J555)*J555*IF(B555="Carbon Steel",$K$7,IF(B555="Stainless Steel 304",$K$8,$L$8)), 3)</f>
        <v/>
      </c>
      <c r="L555" s="78">
        <f>ROUND(K555*$G$5, 2)</f>
        <v/>
      </c>
      <c r="M555" s="93">
        <f>INT($G$6/H555)</f>
        <v/>
      </c>
      <c r="N555" s="93">
        <f>IF(M555=0, 0, IF(OR($K$6="Square Grid", M555=1), INT($G$7/H555), IF($G$7&lt;H555, 0, 1+INT(($G$7-H555)/(0.8660254*H555)))))</f>
        <v/>
      </c>
      <c r="O555" s="59">
        <f>IF(OR(M555=0,N555=0), 0, IF(OR($K$6="Square Grid", M555=1), M555*N555*$K$5, (INT((N555+1)/2)*M555 + INT(N555/2)*IF(($G$6-M555*H555)&gt;=0.5*H555, M555, M555-1))*$K$5))</f>
        <v/>
      </c>
      <c r="P555" s="59">
        <f>IF(L555&lt;=0, 0, INT($G$8/L555))</f>
        <v/>
      </c>
      <c r="Q555" s="95">
        <f>MIN(O555, P555)</f>
        <v/>
      </c>
      <c r="R555" s="96">
        <f>ROUND((Q555*L555)/1000, 2)</f>
        <v/>
      </c>
      <c r="S555" s="79">
        <f>IF($C$8&gt;0, R555/$C$8, 0)</f>
        <v/>
      </c>
      <c r="T555" s="79">
        <f>IF(O555&gt;0, Q555/O555, 0)</f>
        <v/>
      </c>
      <c r="U555" s="12">
        <f>IF(Q555=0, "Exceeds Limit", IF(P555&lt;=O555, "Weight Limited", "Volume Limited"))</f>
        <v/>
      </c>
      <c r="V555" s="97">
        <f>B555&amp;"|"&amp;D555&amp;"|"&amp;F555</f>
        <v/>
      </c>
    </row>
    <row r="556" ht="19" customHeight="1">
      <c r="A556" s="98" t="n">
        <v>546</v>
      </c>
      <c r="B556" s="102" t="inlineStr">
        <is>
          <t>Stainless Steel 304</t>
        </is>
      </c>
      <c r="C556" s="19" t="inlineStr">
        <is>
          <t>ASME B36.19M / B36.10M</t>
        </is>
      </c>
      <c r="D556" s="18" t="inlineStr">
        <is>
          <t>4''</t>
        </is>
      </c>
      <c r="E556" s="98" t="n">
        <v>100</v>
      </c>
      <c r="F556" s="18" t="inlineStr">
        <is>
          <t>XS</t>
        </is>
      </c>
      <c r="G556" s="20" t="n">
        <v>4.5</v>
      </c>
      <c r="H556" s="82" t="n">
        <v>114.3</v>
      </c>
      <c r="I556" s="20" t="n">
        <v>0.337</v>
      </c>
      <c r="J556" s="82" t="n">
        <v>8.56</v>
      </c>
      <c r="K556" s="20">
        <f>ROUND((H556-J556)*J556*IF(B556="Carbon Steel",$K$7,IF(B556="Stainless Steel 304",$K$8,$L$8)), 3)</f>
        <v/>
      </c>
      <c r="L556" s="82">
        <f>ROUND(K556*$G$5, 2)</f>
        <v/>
      </c>
      <c r="M556" s="98">
        <f>INT($G$6/H556)</f>
        <v/>
      </c>
      <c r="N556" s="98">
        <f>IF(M556=0, 0, IF(OR($K$6="Square Grid", M556=1), INT($G$7/H556), IF($G$7&lt;H556, 0, 1+INT(($G$7-H556)/(0.8660254*H556)))))</f>
        <v/>
      </c>
      <c r="O556" s="84">
        <f>IF(OR(M556=0,N556=0), 0, IF(OR($K$6="Square Grid", M556=1), M556*N556*$K$5, (INT((N556+1)/2)*M556 + INT(N556/2)*IF(($G$6-M556*H556)&gt;=0.5*H556, M556, M556-1))*$K$5))</f>
        <v/>
      </c>
      <c r="P556" s="84">
        <f>IF(L556&lt;=0, 0, INT($G$8/L556))</f>
        <v/>
      </c>
      <c r="Q556" s="95">
        <f>MIN(O556, P556)</f>
        <v/>
      </c>
      <c r="R556" s="96">
        <f>ROUND((Q556*L556)/1000, 2)</f>
        <v/>
      </c>
      <c r="S556" s="85">
        <f>IF($C$8&gt;0, R556/$C$8, 0)</f>
        <v/>
      </c>
      <c r="T556" s="85">
        <f>IF(O556&gt;0, Q556/O556, 0)</f>
        <v/>
      </c>
      <c r="U556" s="18">
        <f>IF(Q556=0, "Exceeds Limit", IF(P556&lt;=O556, "Weight Limited", "Volume Limited"))</f>
        <v/>
      </c>
      <c r="V556" s="100">
        <f>B556&amp;"|"&amp;D556&amp;"|"&amp;F556</f>
        <v/>
      </c>
    </row>
    <row r="557" ht="19" customHeight="1">
      <c r="A557" s="93" t="n">
        <v>547</v>
      </c>
      <c r="B557" s="101" t="inlineStr">
        <is>
          <t>Stainless Steel 304</t>
        </is>
      </c>
      <c r="C557" s="13" t="inlineStr">
        <is>
          <t>ASME B36.19M / B36.10M</t>
        </is>
      </c>
      <c r="D557" s="12" t="inlineStr">
        <is>
          <t>4''</t>
        </is>
      </c>
      <c r="E557" s="93" t="n">
        <v>100</v>
      </c>
      <c r="F557" s="12" t="inlineStr">
        <is>
          <t>80</t>
        </is>
      </c>
      <c r="G557" s="14" t="n">
        <v>4.5</v>
      </c>
      <c r="H557" s="78" t="n">
        <v>114.3</v>
      </c>
      <c r="I557" s="14" t="n">
        <v>0.337</v>
      </c>
      <c r="J557" s="78" t="n">
        <v>8.56</v>
      </c>
      <c r="K557" s="14">
        <f>ROUND((H557-J557)*J557*IF(B557="Carbon Steel",$K$7,IF(B557="Stainless Steel 304",$K$8,$L$8)), 3)</f>
        <v/>
      </c>
      <c r="L557" s="78">
        <f>ROUND(K557*$G$5, 2)</f>
        <v/>
      </c>
      <c r="M557" s="93">
        <f>INT($G$6/H557)</f>
        <v/>
      </c>
      <c r="N557" s="93">
        <f>IF(M557=0, 0, IF(OR($K$6="Square Grid", M557=1), INT($G$7/H557), IF($G$7&lt;H557, 0, 1+INT(($G$7-H557)/(0.8660254*H557)))))</f>
        <v/>
      </c>
      <c r="O557" s="59">
        <f>IF(OR(M557=0,N557=0), 0, IF(OR($K$6="Square Grid", M557=1), M557*N557*$K$5, (INT((N557+1)/2)*M557 + INT(N557/2)*IF(($G$6-M557*H557)&gt;=0.5*H557, M557, M557-1))*$K$5))</f>
        <v/>
      </c>
      <c r="P557" s="59">
        <f>IF(L557&lt;=0, 0, INT($G$8/L557))</f>
        <v/>
      </c>
      <c r="Q557" s="95">
        <f>MIN(O557, P557)</f>
        <v/>
      </c>
      <c r="R557" s="96">
        <f>ROUND((Q557*L557)/1000, 2)</f>
        <v/>
      </c>
      <c r="S557" s="79">
        <f>IF($C$8&gt;0, R557/$C$8, 0)</f>
        <v/>
      </c>
      <c r="T557" s="79">
        <f>IF(O557&gt;0, Q557/O557, 0)</f>
        <v/>
      </c>
      <c r="U557" s="12">
        <f>IF(Q557=0, "Exceeds Limit", IF(P557&lt;=O557, "Weight Limited", "Volume Limited"))</f>
        <v/>
      </c>
      <c r="V557" s="97">
        <f>B557&amp;"|"&amp;D557&amp;"|"&amp;F557</f>
        <v/>
      </c>
    </row>
    <row r="558" ht="19" customHeight="1">
      <c r="A558" s="98" t="n">
        <v>548</v>
      </c>
      <c r="B558" s="102" t="inlineStr">
        <is>
          <t>Stainless Steel 304</t>
        </is>
      </c>
      <c r="C558" s="19" t="inlineStr">
        <is>
          <t>ASME B36.19M / B36.10M</t>
        </is>
      </c>
      <c r="D558" s="18" t="inlineStr">
        <is>
          <t>4''</t>
        </is>
      </c>
      <c r="E558" s="98" t="n">
        <v>100</v>
      </c>
      <c r="F558" s="18" t="inlineStr">
        <is>
          <t>120</t>
        </is>
      </c>
      <c r="G558" s="20" t="n">
        <v>4.5</v>
      </c>
      <c r="H558" s="82" t="n">
        <v>114.3</v>
      </c>
      <c r="I558" s="20" t="n">
        <v>0.438</v>
      </c>
      <c r="J558" s="82" t="n">
        <v>11.13</v>
      </c>
      <c r="K558" s="20">
        <f>ROUND((H558-J558)*J558*IF(B558="Carbon Steel",$K$7,IF(B558="Stainless Steel 304",$K$8,$L$8)), 3)</f>
        <v/>
      </c>
      <c r="L558" s="82">
        <f>ROUND(K558*$G$5, 2)</f>
        <v/>
      </c>
      <c r="M558" s="98">
        <f>INT($G$6/H558)</f>
        <v/>
      </c>
      <c r="N558" s="98">
        <f>IF(M558=0, 0, IF(OR($K$6="Square Grid", M558=1), INT($G$7/H558), IF($G$7&lt;H558, 0, 1+INT(($G$7-H558)/(0.8660254*H558)))))</f>
        <v/>
      </c>
      <c r="O558" s="84">
        <f>IF(OR(M558=0,N558=0), 0, IF(OR($K$6="Square Grid", M558=1), M558*N558*$K$5, (INT((N558+1)/2)*M558 + INT(N558/2)*IF(($G$6-M558*H558)&gt;=0.5*H558, M558, M558-1))*$K$5))</f>
        <v/>
      </c>
      <c r="P558" s="84">
        <f>IF(L558&lt;=0, 0, INT($G$8/L558))</f>
        <v/>
      </c>
      <c r="Q558" s="95">
        <f>MIN(O558, P558)</f>
        <v/>
      </c>
      <c r="R558" s="96">
        <f>ROUND((Q558*L558)/1000, 2)</f>
        <v/>
      </c>
      <c r="S558" s="85">
        <f>IF($C$8&gt;0, R558/$C$8, 0)</f>
        <v/>
      </c>
      <c r="T558" s="85">
        <f>IF(O558&gt;0, Q558/O558, 0)</f>
        <v/>
      </c>
      <c r="U558" s="18">
        <f>IF(Q558=0, "Exceeds Limit", IF(P558&lt;=O558, "Weight Limited", "Volume Limited"))</f>
        <v/>
      </c>
      <c r="V558" s="100">
        <f>B558&amp;"|"&amp;D558&amp;"|"&amp;F558</f>
        <v/>
      </c>
    </row>
    <row r="559" ht="19" customHeight="1">
      <c r="A559" s="93" t="n">
        <v>549</v>
      </c>
      <c r="B559" s="101" t="inlineStr">
        <is>
          <t>Stainless Steel 304</t>
        </is>
      </c>
      <c r="C559" s="13" t="inlineStr">
        <is>
          <t>ASME B36.19M / B36.10M</t>
        </is>
      </c>
      <c r="D559" s="12" t="inlineStr">
        <is>
          <t>4''</t>
        </is>
      </c>
      <c r="E559" s="93" t="n">
        <v>100</v>
      </c>
      <c r="F559" s="12" t="inlineStr">
        <is>
          <t>160</t>
        </is>
      </c>
      <c r="G559" s="14" t="n">
        <v>4.5</v>
      </c>
      <c r="H559" s="78" t="n">
        <v>114.3</v>
      </c>
      <c r="I559" s="14" t="n">
        <v>0.531</v>
      </c>
      <c r="J559" s="78" t="n">
        <v>13.49</v>
      </c>
      <c r="K559" s="14">
        <f>ROUND((H559-J559)*J559*IF(B559="Carbon Steel",$K$7,IF(B559="Stainless Steel 304",$K$8,$L$8)), 3)</f>
        <v/>
      </c>
      <c r="L559" s="78">
        <f>ROUND(K559*$G$5, 2)</f>
        <v/>
      </c>
      <c r="M559" s="93">
        <f>INT($G$6/H559)</f>
        <v/>
      </c>
      <c r="N559" s="93">
        <f>IF(M559=0, 0, IF(OR($K$6="Square Grid", M559=1), INT($G$7/H559), IF($G$7&lt;H559, 0, 1+INT(($G$7-H559)/(0.8660254*H559)))))</f>
        <v/>
      </c>
      <c r="O559" s="59">
        <f>IF(OR(M559=0,N559=0), 0, IF(OR($K$6="Square Grid", M559=1), M559*N559*$K$5, (INT((N559+1)/2)*M559 + INT(N559/2)*IF(($G$6-M559*H559)&gt;=0.5*H559, M559, M559-1))*$K$5))</f>
        <v/>
      </c>
      <c r="P559" s="59">
        <f>IF(L559&lt;=0, 0, INT($G$8/L559))</f>
        <v/>
      </c>
      <c r="Q559" s="95">
        <f>MIN(O559, P559)</f>
        <v/>
      </c>
      <c r="R559" s="96">
        <f>ROUND((Q559*L559)/1000, 2)</f>
        <v/>
      </c>
      <c r="S559" s="79">
        <f>IF($C$8&gt;0, R559/$C$8, 0)</f>
        <v/>
      </c>
      <c r="T559" s="79">
        <f>IF(O559&gt;0, Q559/O559, 0)</f>
        <v/>
      </c>
      <c r="U559" s="12">
        <f>IF(Q559=0, "Exceeds Limit", IF(P559&lt;=O559, "Weight Limited", "Volume Limited"))</f>
        <v/>
      </c>
      <c r="V559" s="97">
        <f>B559&amp;"|"&amp;D559&amp;"|"&amp;F559</f>
        <v/>
      </c>
    </row>
    <row r="560" ht="19" customHeight="1">
      <c r="A560" s="98" t="n">
        <v>550</v>
      </c>
      <c r="B560" s="102" t="inlineStr">
        <is>
          <t>Stainless Steel 304</t>
        </is>
      </c>
      <c r="C560" s="19" t="inlineStr">
        <is>
          <t>ASME B36.19M / B36.10M</t>
        </is>
      </c>
      <c r="D560" s="18" t="inlineStr">
        <is>
          <t>4''</t>
        </is>
      </c>
      <c r="E560" s="98" t="n">
        <v>100</v>
      </c>
      <c r="F560" s="18" t="inlineStr">
        <is>
          <t>XXS</t>
        </is>
      </c>
      <c r="G560" s="20" t="n">
        <v>4.5</v>
      </c>
      <c r="H560" s="82" t="n">
        <v>114.3</v>
      </c>
      <c r="I560" s="20" t="n">
        <v>0.674</v>
      </c>
      <c r="J560" s="82" t="n">
        <v>17.12</v>
      </c>
      <c r="K560" s="20">
        <f>ROUND((H560-J560)*J560*IF(B560="Carbon Steel",$K$7,IF(B560="Stainless Steel 304",$K$8,$L$8)), 3)</f>
        <v/>
      </c>
      <c r="L560" s="82">
        <f>ROUND(K560*$G$5, 2)</f>
        <v/>
      </c>
      <c r="M560" s="98">
        <f>INT($G$6/H560)</f>
        <v/>
      </c>
      <c r="N560" s="98">
        <f>IF(M560=0, 0, IF(OR($K$6="Square Grid", M560=1), INT($G$7/H560), IF($G$7&lt;H560, 0, 1+INT(($G$7-H560)/(0.8660254*H560)))))</f>
        <v/>
      </c>
      <c r="O560" s="84">
        <f>IF(OR(M560=0,N560=0), 0, IF(OR($K$6="Square Grid", M560=1), M560*N560*$K$5, (INT((N560+1)/2)*M560 + INT(N560/2)*IF(($G$6-M560*H560)&gt;=0.5*H560, M560, M560-1))*$K$5))</f>
        <v/>
      </c>
      <c r="P560" s="84">
        <f>IF(L560&lt;=0, 0, INT($G$8/L560))</f>
        <v/>
      </c>
      <c r="Q560" s="95">
        <f>MIN(O560, P560)</f>
        <v/>
      </c>
      <c r="R560" s="96">
        <f>ROUND((Q560*L560)/1000, 2)</f>
        <v/>
      </c>
      <c r="S560" s="85">
        <f>IF($C$8&gt;0, R560/$C$8, 0)</f>
        <v/>
      </c>
      <c r="T560" s="85">
        <f>IF(O560&gt;0, Q560/O560, 0)</f>
        <v/>
      </c>
      <c r="U560" s="18">
        <f>IF(Q560=0, "Exceeds Limit", IF(P560&lt;=O560, "Weight Limited", "Volume Limited"))</f>
        <v/>
      </c>
      <c r="V560" s="100">
        <f>B560&amp;"|"&amp;D560&amp;"|"&amp;F560</f>
        <v/>
      </c>
    </row>
    <row r="561" ht="19" customHeight="1">
      <c r="A561" s="93" t="n">
        <v>551</v>
      </c>
      <c r="B561" s="101" t="inlineStr">
        <is>
          <t>Stainless Steel 304</t>
        </is>
      </c>
      <c r="C561" s="13" t="inlineStr">
        <is>
          <t>ASME B36.19M / B36.10M</t>
        </is>
      </c>
      <c r="D561" s="12" t="inlineStr">
        <is>
          <t>5''</t>
        </is>
      </c>
      <c r="E561" s="93" t="n">
        <v>125</v>
      </c>
      <c r="F561" s="12" t="inlineStr">
        <is>
          <t>5S</t>
        </is>
      </c>
      <c r="G561" s="14" t="n">
        <v>5.563</v>
      </c>
      <c r="H561" s="78" t="n">
        <v>141.3</v>
      </c>
      <c r="I561" s="14" t="n">
        <v>0.109</v>
      </c>
      <c r="J561" s="78" t="n">
        <v>2.77</v>
      </c>
      <c r="K561" s="14">
        <f>ROUND((H561-J561)*J561*IF(B561="Carbon Steel",$K$7,IF(B561="Stainless Steel 304",$K$8,$L$8)), 3)</f>
        <v/>
      </c>
      <c r="L561" s="78">
        <f>ROUND(K561*$G$5, 2)</f>
        <v/>
      </c>
      <c r="M561" s="93">
        <f>INT($G$6/H561)</f>
        <v/>
      </c>
      <c r="N561" s="93">
        <f>IF(M561=0, 0, IF(OR($K$6="Square Grid", M561=1), INT($G$7/H561), IF($G$7&lt;H561, 0, 1+INT(($G$7-H561)/(0.8660254*H561)))))</f>
        <v/>
      </c>
      <c r="O561" s="59">
        <f>IF(OR(M561=0,N561=0), 0, IF(OR($K$6="Square Grid", M561=1), M561*N561*$K$5, (INT((N561+1)/2)*M561 + INT(N561/2)*IF(($G$6-M561*H561)&gt;=0.5*H561, M561, M561-1))*$K$5))</f>
        <v/>
      </c>
      <c r="P561" s="59">
        <f>IF(L561&lt;=0, 0, INT($G$8/L561))</f>
        <v/>
      </c>
      <c r="Q561" s="95">
        <f>MIN(O561, P561)</f>
        <v/>
      </c>
      <c r="R561" s="96">
        <f>ROUND((Q561*L561)/1000, 2)</f>
        <v/>
      </c>
      <c r="S561" s="79">
        <f>IF($C$8&gt;0, R561/$C$8, 0)</f>
        <v/>
      </c>
      <c r="T561" s="79">
        <f>IF(O561&gt;0, Q561/O561, 0)</f>
        <v/>
      </c>
      <c r="U561" s="12">
        <f>IF(Q561=0, "Exceeds Limit", IF(P561&lt;=O561, "Weight Limited", "Volume Limited"))</f>
        <v/>
      </c>
      <c r="V561" s="97">
        <f>B561&amp;"|"&amp;D561&amp;"|"&amp;F561</f>
        <v/>
      </c>
    </row>
    <row r="562" ht="19" customHeight="1">
      <c r="A562" s="98" t="n">
        <v>552</v>
      </c>
      <c r="B562" s="102" t="inlineStr">
        <is>
          <t>Stainless Steel 304</t>
        </is>
      </c>
      <c r="C562" s="19" t="inlineStr">
        <is>
          <t>ASME B36.19M / B36.10M</t>
        </is>
      </c>
      <c r="D562" s="18" t="inlineStr">
        <is>
          <t>5''</t>
        </is>
      </c>
      <c r="E562" s="98" t="n">
        <v>125</v>
      </c>
      <c r="F562" s="18" t="inlineStr">
        <is>
          <t>5</t>
        </is>
      </c>
      <c r="G562" s="20" t="n">
        <v>5.563</v>
      </c>
      <c r="H562" s="82" t="n">
        <v>141.3</v>
      </c>
      <c r="I562" s="20" t="n">
        <v>0.109</v>
      </c>
      <c r="J562" s="82" t="n">
        <v>2.77</v>
      </c>
      <c r="K562" s="20">
        <f>ROUND((H562-J562)*J562*IF(B562="Carbon Steel",$K$7,IF(B562="Stainless Steel 304",$K$8,$L$8)), 3)</f>
        <v/>
      </c>
      <c r="L562" s="82">
        <f>ROUND(K562*$G$5, 2)</f>
        <v/>
      </c>
      <c r="M562" s="98">
        <f>INT($G$6/H562)</f>
        <v/>
      </c>
      <c r="N562" s="98">
        <f>IF(M562=0, 0, IF(OR($K$6="Square Grid", M562=1), INT($G$7/H562), IF($G$7&lt;H562, 0, 1+INT(($G$7-H562)/(0.8660254*H562)))))</f>
        <v/>
      </c>
      <c r="O562" s="84">
        <f>IF(OR(M562=0,N562=0), 0, IF(OR($K$6="Square Grid", M562=1), M562*N562*$K$5, (INT((N562+1)/2)*M562 + INT(N562/2)*IF(($G$6-M562*H562)&gt;=0.5*H562, M562, M562-1))*$K$5))</f>
        <v/>
      </c>
      <c r="P562" s="84">
        <f>IF(L562&lt;=0, 0, INT($G$8/L562))</f>
        <v/>
      </c>
      <c r="Q562" s="95">
        <f>MIN(O562, P562)</f>
        <v/>
      </c>
      <c r="R562" s="96">
        <f>ROUND((Q562*L562)/1000, 2)</f>
        <v/>
      </c>
      <c r="S562" s="85">
        <f>IF($C$8&gt;0, R562/$C$8, 0)</f>
        <v/>
      </c>
      <c r="T562" s="85">
        <f>IF(O562&gt;0, Q562/O562, 0)</f>
        <v/>
      </c>
      <c r="U562" s="18">
        <f>IF(Q562=0, "Exceeds Limit", IF(P562&lt;=O562, "Weight Limited", "Volume Limited"))</f>
        <v/>
      </c>
      <c r="V562" s="100">
        <f>B562&amp;"|"&amp;D562&amp;"|"&amp;F562</f>
        <v/>
      </c>
    </row>
    <row r="563" ht="19" customHeight="1">
      <c r="A563" s="93" t="n">
        <v>553</v>
      </c>
      <c r="B563" s="101" t="inlineStr">
        <is>
          <t>Stainless Steel 304</t>
        </is>
      </c>
      <c r="C563" s="13" t="inlineStr">
        <is>
          <t>ASME B36.19M / B36.10M</t>
        </is>
      </c>
      <c r="D563" s="12" t="inlineStr">
        <is>
          <t>5''</t>
        </is>
      </c>
      <c r="E563" s="93" t="n">
        <v>125</v>
      </c>
      <c r="F563" s="12" t="inlineStr">
        <is>
          <t>10S</t>
        </is>
      </c>
      <c r="G563" s="14" t="n">
        <v>5.563</v>
      </c>
      <c r="H563" s="78" t="n">
        <v>141.3</v>
      </c>
      <c r="I563" s="14" t="n">
        <v>0.134</v>
      </c>
      <c r="J563" s="78" t="n">
        <v>3.4</v>
      </c>
      <c r="K563" s="14">
        <f>ROUND((H563-J563)*J563*IF(B563="Carbon Steel",$K$7,IF(B563="Stainless Steel 304",$K$8,$L$8)), 3)</f>
        <v/>
      </c>
      <c r="L563" s="78">
        <f>ROUND(K563*$G$5, 2)</f>
        <v/>
      </c>
      <c r="M563" s="93">
        <f>INT($G$6/H563)</f>
        <v/>
      </c>
      <c r="N563" s="93">
        <f>IF(M563=0, 0, IF(OR($K$6="Square Grid", M563=1), INT($G$7/H563), IF($G$7&lt;H563, 0, 1+INT(($G$7-H563)/(0.8660254*H563)))))</f>
        <v/>
      </c>
      <c r="O563" s="59">
        <f>IF(OR(M563=0,N563=0), 0, IF(OR($K$6="Square Grid", M563=1), M563*N563*$K$5, (INT((N563+1)/2)*M563 + INT(N563/2)*IF(($G$6-M563*H563)&gt;=0.5*H563, M563, M563-1))*$K$5))</f>
        <v/>
      </c>
      <c r="P563" s="59">
        <f>IF(L563&lt;=0, 0, INT($G$8/L563))</f>
        <v/>
      </c>
      <c r="Q563" s="95">
        <f>MIN(O563, P563)</f>
        <v/>
      </c>
      <c r="R563" s="96">
        <f>ROUND((Q563*L563)/1000, 2)</f>
        <v/>
      </c>
      <c r="S563" s="79">
        <f>IF($C$8&gt;0, R563/$C$8, 0)</f>
        <v/>
      </c>
      <c r="T563" s="79">
        <f>IF(O563&gt;0, Q563/O563, 0)</f>
        <v/>
      </c>
      <c r="U563" s="12">
        <f>IF(Q563=0, "Exceeds Limit", IF(P563&lt;=O563, "Weight Limited", "Volume Limited"))</f>
        <v/>
      </c>
      <c r="V563" s="97">
        <f>B563&amp;"|"&amp;D563&amp;"|"&amp;F563</f>
        <v/>
      </c>
    </row>
    <row r="564" ht="19" customHeight="1">
      <c r="A564" s="98" t="n">
        <v>554</v>
      </c>
      <c r="B564" s="102" t="inlineStr">
        <is>
          <t>Stainless Steel 304</t>
        </is>
      </c>
      <c r="C564" s="19" t="inlineStr">
        <is>
          <t>ASME B36.19M / B36.10M</t>
        </is>
      </c>
      <c r="D564" s="18" t="inlineStr">
        <is>
          <t>5''</t>
        </is>
      </c>
      <c r="E564" s="98" t="n">
        <v>125</v>
      </c>
      <c r="F564" s="18" t="inlineStr">
        <is>
          <t>10</t>
        </is>
      </c>
      <c r="G564" s="20" t="n">
        <v>5.563</v>
      </c>
      <c r="H564" s="82" t="n">
        <v>141.3</v>
      </c>
      <c r="I564" s="20" t="n">
        <v>0.134</v>
      </c>
      <c r="J564" s="82" t="n">
        <v>3.4</v>
      </c>
      <c r="K564" s="20">
        <f>ROUND((H564-J564)*J564*IF(B564="Carbon Steel",$K$7,IF(B564="Stainless Steel 304",$K$8,$L$8)), 3)</f>
        <v/>
      </c>
      <c r="L564" s="82">
        <f>ROUND(K564*$G$5, 2)</f>
        <v/>
      </c>
      <c r="M564" s="98">
        <f>INT($G$6/H564)</f>
        <v/>
      </c>
      <c r="N564" s="98">
        <f>IF(M564=0, 0, IF(OR($K$6="Square Grid", M564=1), INT($G$7/H564), IF($G$7&lt;H564, 0, 1+INT(($G$7-H564)/(0.8660254*H564)))))</f>
        <v/>
      </c>
      <c r="O564" s="84">
        <f>IF(OR(M564=0,N564=0), 0, IF(OR($K$6="Square Grid", M564=1), M564*N564*$K$5, (INT((N564+1)/2)*M564 + INT(N564/2)*IF(($G$6-M564*H564)&gt;=0.5*H564, M564, M564-1))*$K$5))</f>
        <v/>
      </c>
      <c r="P564" s="84">
        <f>IF(L564&lt;=0, 0, INT($G$8/L564))</f>
        <v/>
      </c>
      <c r="Q564" s="95">
        <f>MIN(O564, P564)</f>
        <v/>
      </c>
      <c r="R564" s="96">
        <f>ROUND((Q564*L564)/1000, 2)</f>
        <v/>
      </c>
      <c r="S564" s="85">
        <f>IF($C$8&gt;0, R564/$C$8, 0)</f>
        <v/>
      </c>
      <c r="T564" s="85">
        <f>IF(O564&gt;0, Q564/O564, 0)</f>
        <v/>
      </c>
      <c r="U564" s="18">
        <f>IF(Q564=0, "Exceeds Limit", IF(P564&lt;=O564, "Weight Limited", "Volume Limited"))</f>
        <v/>
      </c>
      <c r="V564" s="100">
        <f>B564&amp;"|"&amp;D564&amp;"|"&amp;F564</f>
        <v/>
      </c>
    </row>
    <row r="565" ht="19" customHeight="1">
      <c r="A565" s="93" t="n">
        <v>555</v>
      </c>
      <c r="B565" s="101" t="inlineStr">
        <is>
          <t>Stainless Steel 304</t>
        </is>
      </c>
      <c r="C565" s="13" t="inlineStr">
        <is>
          <t>ASME B36.19M / B36.10M</t>
        </is>
      </c>
      <c r="D565" s="12" t="inlineStr">
        <is>
          <t>5''</t>
        </is>
      </c>
      <c r="E565" s="93" t="n">
        <v>125</v>
      </c>
      <c r="F565" s="12" t="inlineStr">
        <is>
          <t>40S</t>
        </is>
      </c>
      <c r="G565" s="14" t="n">
        <v>5.563</v>
      </c>
      <c r="H565" s="78" t="n">
        <v>141.3</v>
      </c>
      <c r="I565" s="14" t="n">
        <v>0.258</v>
      </c>
      <c r="J565" s="78" t="n">
        <v>6.55</v>
      </c>
      <c r="K565" s="14">
        <f>ROUND((H565-J565)*J565*IF(B565="Carbon Steel",$K$7,IF(B565="Stainless Steel 304",$K$8,$L$8)), 3)</f>
        <v/>
      </c>
      <c r="L565" s="78">
        <f>ROUND(K565*$G$5, 2)</f>
        <v/>
      </c>
      <c r="M565" s="93">
        <f>INT($G$6/H565)</f>
        <v/>
      </c>
      <c r="N565" s="93">
        <f>IF(M565=0, 0, IF(OR($K$6="Square Grid", M565=1), INT($G$7/H565), IF($G$7&lt;H565, 0, 1+INT(($G$7-H565)/(0.8660254*H565)))))</f>
        <v/>
      </c>
      <c r="O565" s="59">
        <f>IF(OR(M565=0,N565=0), 0, IF(OR($K$6="Square Grid", M565=1), M565*N565*$K$5, (INT((N565+1)/2)*M565 + INT(N565/2)*IF(($G$6-M565*H565)&gt;=0.5*H565, M565, M565-1))*$K$5))</f>
        <v/>
      </c>
      <c r="P565" s="59">
        <f>IF(L565&lt;=0, 0, INT($G$8/L565))</f>
        <v/>
      </c>
      <c r="Q565" s="95">
        <f>MIN(O565, P565)</f>
        <v/>
      </c>
      <c r="R565" s="96">
        <f>ROUND((Q565*L565)/1000, 2)</f>
        <v/>
      </c>
      <c r="S565" s="79">
        <f>IF($C$8&gt;0, R565/$C$8, 0)</f>
        <v/>
      </c>
      <c r="T565" s="79">
        <f>IF(O565&gt;0, Q565/O565, 0)</f>
        <v/>
      </c>
      <c r="U565" s="12">
        <f>IF(Q565=0, "Exceeds Limit", IF(P565&lt;=O565, "Weight Limited", "Volume Limited"))</f>
        <v/>
      </c>
      <c r="V565" s="97">
        <f>B565&amp;"|"&amp;D565&amp;"|"&amp;F565</f>
        <v/>
      </c>
    </row>
    <row r="566" ht="19" customHeight="1">
      <c r="A566" s="98" t="n">
        <v>556</v>
      </c>
      <c r="B566" s="102" t="inlineStr">
        <is>
          <t>Stainless Steel 304</t>
        </is>
      </c>
      <c r="C566" s="19" t="inlineStr">
        <is>
          <t>ASME B36.19M / B36.10M</t>
        </is>
      </c>
      <c r="D566" s="18" t="inlineStr">
        <is>
          <t>5''</t>
        </is>
      </c>
      <c r="E566" s="98" t="n">
        <v>125</v>
      </c>
      <c r="F566" s="18" t="inlineStr">
        <is>
          <t>STD</t>
        </is>
      </c>
      <c r="G566" s="20" t="n">
        <v>5.563</v>
      </c>
      <c r="H566" s="82" t="n">
        <v>141.3</v>
      </c>
      <c r="I566" s="20" t="n">
        <v>0.258</v>
      </c>
      <c r="J566" s="82" t="n">
        <v>6.55</v>
      </c>
      <c r="K566" s="20">
        <f>ROUND((H566-J566)*J566*IF(B566="Carbon Steel",$K$7,IF(B566="Stainless Steel 304",$K$8,$L$8)), 3)</f>
        <v/>
      </c>
      <c r="L566" s="82">
        <f>ROUND(K566*$G$5, 2)</f>
        <v/>
      </c>
      <c r="M566" s="98">
        <f>INT($G$6/H566)</f>
        <v/>
      </c>
      <c r="N566" s="98">
        <f>IF(M566=0, 0, IF(OR($K$6="Square Grid", M566=1), INT($G$7/H566), IF($G$7&lt;H566, 0, 1+INT(($G$7-H566)/(0.8660254*H566)))))</f>
        <v/>
      </c>
      <c r="O566" s="84">
        <f>IF(OR(M566=0,N566=0), 0, IF(OR($K$6="Square Grid", M566=1), M566*N566*$K$5, (INT((N566+1)/2)*M566 + INT(N566/2)*IF(($G$6-M566*H566)&gt;=0.5*H566, M566, M566-1))*$K$5))</f>
        <v/>
      </c>
      <c r="P566" s="84">
        <f>IF(L566&lt;=0, 0, INT($G$8/L566))</f>
        <v/>
      </c>
      <c r="Q566" s="95">
        <f>MIN(O566, P566)</f>
        <v/>
      </c>
      <c r="R566" s="96">
        <f>ROUND((Q566*L566)/1000, 2)</f>
        <v/>
      </c>
      <c r="S566" s="85">
        <f>IF($C$8&gt;0, R566/$C$8, 0)</f>
        <v/>
      </c>
      <c r="T566" s="85">
        <f>IF(O566&gt;0, Q566/O566, 0)</f>
        <v/>
      </c>
      <c r="U566" s="18">
        <f>IF(Q566=0, "Exceeds Limit", IF(P566&lt;=O566, "Weight Limited", "Volume Limited"))</f>
        <v/>
      </c>
      <c r="V566" s="100">
        <f>B566&amp;"|"&amp;D566&amp;"|"&amp;F566</f>
        <v/>
      </c>
    </row>
    <row r="567" ht="19" customHeight="1">
      <c r="A567" s="93" t="n">
        <v>557</v>
      </c>
      <c r="B567" s="101" t="inlineStr">
        <is>
          <t>Stainless Steel 304</t>
        </is>
      </c>
      <c r="C567" s="13" t="inlineStr">
        <is>
          <t>ASME B36.19M / B36.10M</t>
        </is>
      </c>
      <c r="D567" s="12" t="inlineStr">
        <is>
          <t>5''</t>
        </is>
      </c>
      <c r="E567" s="93" t="n">
        <v>125</v>
      </c>
      <c r="F567" s="12" t="inlineStr">
        <is>
          <t>40</t>
        </is>
      </c>
      <c r="G567" s="14" t="n">
        <v>5.563</v>
      </c>
      <c r="H567" s="78" t="n">
        <v>141.3</v>
      </c>
      <c r="I567" s="14" t="n">
        <v>0.258</v>
      </c>
      <c r="J567" s="78" t="n">
        <v>6.55</v>
      </c>
      <c r="K567" s="14">
        <f>ROUND((H567-J567)*J567*IF(B567="Carbon Steel",$K$7,IF(B567="Stainless Steel 304",$K$8,$L$8)), 3)</f>
        <v/>
      </c>
      <c r="L567" s="78">
        <f>ROUND(K567*$G$5, 2)</f>
        <v/>
      </c>
      <c r="M567" s="93">
        <f>INT($G$6/H567)</f>
        <v/>
      </c>
      <c r="N567" s="93">
        <f>IF(M567=0, 0, IF(OR($K$6="Square Grid", M567=1), INT($G$7/H567), IF($G$7&lt;H567, 0, 1+INT(($G$7-H567)/(0.8660254*H567)))))</f>
        <v/>
      </c>
      <c r="O567" s="59">
        <f>IF(OR(M567=0,N567=0), 0, IF(OR($K$6="Square Grid", M567=1), M567*N567*$K$5, (INT((N567+1)/2)*M567 + INT(N567/2)*IF(($G$6-M567*H567)&gt;=0.5*H567, M567, M567-1))*$K$5))</f>
        <v/>
      </c>
      <c r="P567" s="59">
        <f>IF(L567&lt;=0, 0, INT($G$8/L567))</f>
        <v/>
      </c>
      <c r="Q567" s="95">
        <f>MIN(O567, P567)</f>
        <v/>
      </c>
      <c r="R567" s="96">
        <f>ROUND((Q567*L567)/1000, 2)</f>
        <v/>
      </c>
      <c r="S567" s="79">
        <f>IF($C$8&gt;0, R567/$C$8, 0)</f>
        <v/>
      </c>
      <c r="T567" s="79">
        <f>IF(O567&gt;0, Q567/O567, 0)</f>
        <v/>
      </c>
      <c r="U567" s="12">
        <f>IF(Q567=0, "Exceeds Limit", IF(P567&lt;=O567, "Weight Limited", "Volume Limited"))</f>
        <v/>
      </c>
      <c r="V567" s="97">
        <f>B567&amp;"|"&amp;D567&amp;"|"&amp;F567</f>
        <v/>
      </c>
    </row>
    <row r="568" ht="19" customHeight="1">
      <c r="A568" s="98" t="n">
        <v>558</v>
      </c>
      <c r="B568" s="102" t="inlineStr">
        <is>
          <t>Stainless Steel 304</t>
        </is>
      </c>
      <c r="C568" s="19" t="inlineStr">
        <is>
          <t>ASME B36.19M / B36.10M</t>
        </is>
      </c>
      <c r="D568" s="18" t="inlineStr">
        <is>
          <t>5''</t>
        </is>
      </c>
      <c r="E568" s="98" t="n">
        <v>125</v>
      </c>
      <c r="F568" s="18" t="inlineStr">
        <is>
          <t>80S</t>
        </is>
      </c>
      <c r="G568" s="20" t="n">
        <v>5.563</v>
      </c>
      <c r="H568" s="82" t="n">
        <v>141.3</v>
      </c>
      <c r="I568" s="20" t="n">
        <v>0.375</v>
      </c>
      <c r="J568" s="82" t="n">
        <v>9.52</v>
      </c>
      <c r="K568" s="20">
        <f>ROUND((H568-J568)*J568*IF(B568="Carbon Steel",$K$7,IF(B568="Stainless Steel 304",$K$8,$L$8)), 3)</f>
        <v/>
      </c>
      <c r="L568" s="82">
        <f>ROUND(K568*$G$5, 2)</f>
        <v/>
      </c>
      <c r="M568" s="98">
        <f>INT($G$6/H568)</f>
        <v/>
      </c>
      <c r="N568" s="98">
        <f>IF(M568=0, 0, IF(OR($K$6="Square Grid", M568=1), INT($G$7/H568), IF($G$7&lt;H568, 0, 1+INT(($G$7-H568)/(0.8660254*H568)))))</f>
        <v/>
      </c>
      <c r="O568" s="84">
        <f>IF(OR(M568=0,N568=0), 0, IF(OR($K$6="Square Grid", M568=1), M568*N568*$K$5, (INT((N568+1)/2)*M568 + INT(N568/2)*IF(($G$6-M568*H568)&gt;=0.5*H568, M568, M568-1))*$K$5))</f>
        <v/>
      </c>
      <c r="P568" s="84">
        <f>IF(L568&lt;=0, 0, INT($G$8/L568))</f>
        <v/>
      </c>
      <c r="Q568" s="95">
        <f>MIN(O568, P568)</f>
        <v/>
      </c>
      <c r="R568" s="96">
        <f>ROUND((Q568*L568)/1000, 2)</f>
        <v/>
      </c>
      <c r="S568" s="85">
        <f>IF($C$8&gt;0, R568/$C$8, 0)</f>
        <v/>
      </c>
      <c r="T568" s="85">
        <f>IF(O568&gt;0, Q568/O568, 0)</f>
        <v/>
      </c>
      <c r="U568" s="18">
        <f>IF(Q568=0, "Exceeds Limit", IF(P568&lt;=O568, "Weight Limited", "Volume Limited"))</f>
        <v/>
      </c>
      <c r="V568" s="100">
        <f>B568&amp;"|"&amp;D568&amp;"|"&amp;F568</f>
        <v/>
      </c>
    </row>
    <row r="569" ht="19" customHeight="1">
      <c r="A569" s="93" t="n">
        <v>559</v>
      </c>
      <c r="B569" s="101" t="inlineStr">
        <is>
          <t>Stainless Steel 304</t>
        </is>
      </c>
      <c r="C569" s="13" t="inlineStr">
        <is>
          <t>ASME B36.19M / B36.10M</t>
        </is>
      </c>
      <c r="D569" s="12" t="inlineStr">
        <is>
          <t>5''</t>
        </is>
      </c>
      <c r="E569" s="93" t="n">
        <v>125</v>
      </c>
      <c r="F569" s="12" t="inlineStr">
        <is>
          <t>XS</t>
        </is>
      </c>
      <c r="G569" s="14" t="n">
        <v>5.563</v>
      </c>
      <c r="H569" s="78" t="n">
        <v>141.3</v>
      </c>
      <c r="I569" s="14" t="n">
        <v>0.375</v>
      </c>
      <c r="J569" s="78" t="n">
        <v>9.52</v>
      </c>
      <c r="K569" s="14">
        <f>ROUND((H569-J569)*J569*IF(B569="Carbon Steel",$K$7,IF(B569="Stainless Steel 304",$K$8,$L$8)), 3)</f>
        <v/>
      </c>
      <c r="L569" s="78">
        <f>ROUND(K569*$G$5, 2)</f>
        <v/>
      </c>
      <c r="M569" s="93">
        <f>INT($G$6/H569)</f>
        <v/>
      </c>
      <c r="N569" s="93">
        <f>IF(M569=0, 0, IF(OR($K$6="Square Grid", M569=1), INT($G$7/H569), IF($G$7&lt;H569, 0, 1+INT(($G$7-H569)/(0.8660254*H569)))))</f>
        <v/>
      </c>
      <c r="O569" s="59">
        <f>IF(OR(M569=0,N569=0), 0, IF(OR($K$6="Square Grid", M569=1), M569*N569*$K$5, (INT((N569+1)/2)*M569 + INT(N569/2)*IF(($G$6-M569*H569)&gt;=0.5*H569, M569, M569-1))*$K$5))</f>
        <v/>
      </c>
      <c r="P569" s="59">
        <f>IF(L569&lt;=0, 0, INT($G$8/L569))</f>
        <v/>
      </c>
      <c r="Q569" s="95">
        <f>MIN(O569, P569)</f>
        <v/>
      </c>
      <c r="R569" s="96">
        <f>ROUND((Q569*L569)/1000, 2)</f>
        <v/>
      </c>
      <c r="S569" s="79">
        <f>IF($C$8&gt;0, R569/$C$8, 0)</f>
        <v/>
      </c>
      <c r="T569" s="79">
        <f>IF(O569&gt;0, Q569/O569, 0)</f>
        <v/>
      </c>
      <c r="U569" s="12">
        <f>IF(Q569=0, "Exceeds Limit", IF(P569&lt;=O569, "Weight Limited", "Volume Limited"))</f>
        <v/>
      </c>
      <c r="V569" s="97">
        <f>B569&amp;"|"&amp;D569&amp;"|"&amp;F569</f>
        <v/>
      </c>
    </row>
    <row r="570" ht="19" customHeight="1">
      <c r="A570" s="98" t="n">
        <v>560</v>
      </c>
      <c r="B570" s="102" t="inlineStr">
        <is>
          <t>Stainless Steel 304</t>
        </is>
      </c>
      <c r="C570" s="19" t="inlineStr">
        <is>
          <t>ASME B36.19M / B36.10M</t>
        </is>
      </c>
      <c r="D570" s="18" t="inlineStr">
        <is>
          <t>5''</t>
        </is>
      </c>
      <c r="E570" s="98" t="n">
        <v>125</v>
      </c>
      <c r="F570" s="18" t="inlineStr">
        <is>
          <t>80</t>
        </is>
      </c>
      <c r="G570" s="20" t="n">
        <v>5.563</v>
      </c>
      <c r="H570" s="82" t="n">
        <v>141.3</v>
      </c>
      <c r="I570" s="20" t="n">
        <v>0.375</v>
      </c>
      <c r="J570" s="82" t="n">
        <v>9.52</v>
      </c>
      <c r="K570" s="20">
        <f>ROUND((H570-J570)*J570*IF(B570="Carbon Steel",$K$7,IF(B570="Stainless Steel 304",$K$8,$L$8)), 3)</f>
        <v/>
      </c>
      <c r="L570" s="82">
        <f>ROUND(K570*$G$5, 2)</f>
        <v/>
      </c>
      <c r="M570" s="98">
        <f>INT($G$6/H570)</f>
        <v/>
      </c>
      <c r="N570" s="98">
        <f>IF(M570=0, 0, IF(OR($K$6="Square Grid", M570=1), INT($G$7/H570), IF($G$7&lt;H570, 0, 1+INT(($G$7-H570)/(0.8660254*H570)))))</f>
        <v/>
      </c>
      <c r="O570" s="84">
        <f>IF(OR(M570=0,N570=0), 0, IF(OR($K$6="Square Grid", M570=1), M570*N570*$K$5, (INT((N570+1)/2)*M570 + INT(N570/2)*IF(($G$6-M570*H570)&gt;=0.5*H570, M570, M570-1))*$K$5))</f>
        <v/>
      </c>
      <c r="P570" s="84">
        <f>IF(L570&lt;=0, 0, INT($G$8/L570))</f>
        <v/>
      </c>
      <c r="Q570" s="95">
        <f>MIN(O570, P570)</f>
        <v/>
      </c>
      <c r="R570" s="96">
        <f>ROUND((Q570*L570)/1000, 2)</f>
        <v/>
      </c>
      <c r="S570" s="85">
        <f>IF($C$8&gt;0, R570/$C$8, 0)</f>
        <v/>
      </c>
      <c r="T570" s="85">
        <f>IF(O570&gt;0, Q570/O570, 0)</f>
        <v/>
      </c>
      <c r="U570" s="18">
        <f>IF(Q570=0, "Exceeds Limit", IF(P570&lt;=O570, "Weight Limited", "Volume Limited"))</f>
        <v/>
      </c>
      <c r="V570" s="100">
        <f>B570&amp;"|"&amp;D570&amp;"|"&amp;F570</f>
        <v/>
      </c>
    </row>
    <row r="571" ht="19" customHeight="1">
      <c r="A571" s="93" t="n">
        <v>561</v>
      </c>
      <c r="B571" s="101" t="inlineStr">
        <is>
          <t>Stainless Steel 304</t>
        </is>
      </c>
      <c r="C571" s="13" t="inlineStr">
        <is>
          <t>ASME B36.19M / B36.10M</t>
        </is>
      </c>
      <c r="D571" s="12" t="inlineStr">
        <is>
          <t>5''</t>
        </is>
      </c>
      <c r="E571" s="93" t="n">
        <v>125</v>
      </c>
      <c r="F571" s="12" t="inlineStr">
        <is>
          <t>120</t>
        </is>
      </c>
      <c r="G571" s="14" t="n">
        <v>5.563</v>
      </c>
      <c r="H571" s="78" t="n">
        <v>141.3</v>
      </c>
      <c r="I571" s="14" t="n">
        <v>0.5</v>
      </c>
      <c r="J571" s="78" t="n">
        <v>12.7</v>
      </c>
      <c r="K571" s="14">
        <f>ROUND((H571-J571)*J571*IF(B571="Carbon Steel",$K$7,IF(B571="Stainless Steel 304",$K$8,$L$8)), 3)</f>
        <v/>
      </c>
      <c r="L571" s="78">
        <f>ROUND(K571*$G$5, 2)</f>
        <v/>
      </c>
      <c r="M571" s="93">
        <f>INT($G$6/H571)</f>
        <v/>
      </c>
      <c r="N571" s="93">
        <f>IF(M571=0, 0, IF(OR($K$6="Square Grid", M571=1), INT($G$7/H571), IF($G$7&lt;H571, 0, 1+INT(($G$7-H571)/(0.8660254*H571)))))</f>
        <v/>
      </c>
      <c r="O571" s="59">
        <f>IF(OR(M571=0,N571=0), 0, IF(OR($K$6="Square Grid", M571=1), M571*N571*$K$5, (INT((N571+1)/2)*M571 + INT(N571/2)*IF(($G$6-M571*H571)&gt;=0.5*H571, M571, M571-1))*$K$5))</f>
        <v/>
      </c>
      <c r="P571" s="59">
        <f>IF(L571&lt;=0, 0, INT($G$8/L571))</f>
        <v/>
      </c>
      <c r="Q571" s="95">
        <f>MIN(O571, P571)</f>
        <v/>
      </c>
      <c r="R571" s="96">
        <f>ROUND((Q571*L571)/1000, 2)</f>
        <v/>
      </c>
      <c r="S571" s="79">
        <f>IF($C$8&gt;0, R571/$C$8, 0)</f>
        <v/>
      </c>
      <c r="T571" s="79">
        <f>IF(O571&gt;0, Q571/O571, 0)</f>
        <v/>
      </c>
      <c r="U571" s="12">
        <f>IF(Q571=0, "Exceeds Limit", IF(P571&lt;=O571, "Weight Limited", "Volume Limited"))</f>
        <v/>
      </c>
      <c r="V571" s="97">
        <f>B571&amp;"|"&amp;D571&amp;"|"&amp;F571</f>
        <v/>
      </c>
    </row>
    <row r="572" ht="19" customHeight="1">
      <c r="A572" s="98" t="n">
        <v>562</v>
      </c>
      <c r="B572" s="102" t="inlineStr">
        <is>
          <t>Stainless Steel 304</t>
        </is>
      </c>
      <c r="C572" s="19" t="inlineStr">
        <is>
          <t>ASME B36.19M / B36.10M</t>
        </is>
      </c>
      <c r="D572" s="18" t="inlineStr">
        <is>
          <t>5''</t>
        </is>
      </c>
      <c r="E572" s="98" t="n">
        <v>125</v>
      </c>
      <c r="F572" s="18" t="inlineStr">
        <is>
          <t>160</t>
        </is>
      </c>
      <c r="G572" s="20" t="n">
        <v>5.563</v>
      </c>
      <c r="H572" s="82" t="n">
        <v>141.3</v>
      </c>
      <c r="I572" s="20" t="n">
        <v>0.625</v>
      </c>
      <c r="J572" s="82" t="n">
        <v>15.88</v>
      </c>
      <c r="K572" s="20">
        <f>ROUND((H572-J572)*J572*IF(B572="Carbon Steel",$K$7,IF(B572="Stainless Steel 304",$K$8,$L$8)), 3)</f>
        <v/>
      </c>
      <c r="L572" s="82">
        <f>ROUND(K572*$G$5, 2)</f>
        <v/>
      </c>
      <c r="M572" s="98">
        <f>INT($G$6/H572)</f>
        <v/>
      </c>
      <c r="N572" s="98">
        <f>IF(M572=0, 0, IF(OR($K$6="Square Grid", M572=1), INT($G$7/H572), IF($G$7&lt;H572, 0, 1+INT(($G$7-H572)/(0.8660254*H572)))))</f>
        <v/>
      </c>
      <c r="O572" s="84">
        <f>IF(OR(M572=0,N572=0), 0, IF(OR($K$6="Square Grid", M572=1), M572*N572*$K$5, (INT((N572+1)/2)*M572 + INT(N572/2)*IF(($G$6-M572*H572)&gt;=0.5*H572, M572, M572-1))*$K$5))</f>
        <v/>
      </c>
      <c r="P572" s="84">
        <f>IF(L572&lt;=0, 0, INT($G$8/L572))</f>
        <v/>
      </c>
      <c r="Q572" s="95">
        <f>MIN(O572, P572)</f>
        <v/>
      </c>
      <c r="R572" s="96">
        <f>ROUND((Q572*L572)/1000, 2)</f>
        <v/>
      </c>
      <c r="S572" s="85">
        <f>IF($C$8&gt;0, R572/$C$8, 0)</f>
        <v/>
      </c>
      <c r="T572" s="85">
        <f>IF(O572&gt;0, Q572/O572, 0)</f>
        <v/>
      </c>
      <c r="U572" s="18">
        <f>IF(Q572=0, "Exceeds Limit", IF(P572&lt;=O572, "Weight Limited", "Volume Limited"))</f>
        <v/>
      </c>
      <c r="V572" s="100">
        <f>B572&amp;"|"&amp;D572&amp;"|"&amp;F572</f>
        <v/>
      </c>
    </row>
    <row r="573" ht="19" customHeight="1">
      <c r="A573" s="93" t="n">
        <v>563</v>
      </c>
      <c r="B573" s="101" t="inlineStr">
        <is>
          <t>Stainless Steel 304</t>
        </is>
      </c>
      <c r="C573" s="13" t="inlineStr">
        <is>
          <t>ASME B36.19M / B36.10M</t>
        </is>
      </c>
      <c r="D573" s="12" t="inlineStr">
        <is>
          <t>5''</t>
        </is>
      </c>
      <c r="E573" s="93" t="n">
        <v>125</v>
      </c>
      <c r="F573" s="12" t="inlineStr">
        <is>
          <t>XXS</t>
        </is>
      </c>
      <c r="G573" s="14" t="n">
        <v>5.563</v>
      </c>
      <c r="H573" s="78" t="n">
        <v>141.3</v>
      </c>
      <c r="I573" s="14" t="n">
        <v>0.75</v>
      </c>
      <c r="J573" s="78" t="n">
        <v>19.05</v>
      </c>
      <c r="K573" s="14">
        <f>ROUND((H573-J573)*J573*IF(B573="Carbon Steel",$K$7,IF(B573="Stainless Steel 304",$K$8,$L$8)), 3)</f>
        <v/>
      </c>
      <c r="L573" s="78">
        <f>ROUND(K573*$G$5, 2)</f>
        <v/>
      </c>
      <c r="M573" s="93">
        <f>INT($G$6/H573)</f>
        <v/>
      </c>
      <c r="N573" s="93">
        <f>IF(M573=0, 0, IF(OR($K$6="Square Grid", M573=1), INT($G$7/H573), IF($G$7&lt;H573, 0, 1+INT(($G$7-H573)/(0.8660254*H573)))))</f>
        <v/>
      </c>
      <c r="O573" s="59">
        <f>IF(OR(M573=0,N573=0), 0, IF(OR($K$6="Square Grid", M573=1), M573*N573*$K$5, (INT((N573+1)/2)*M573 + INT(N573/2)*IF(($G$6-M573*H573)&gt;=0.5*H573, M573, M573-1))*$K$5))</f>
        <v/>
      </c>
      <c r="P573" s="59">
        <f>IF(L573&lt;=0, 0, INT($G$8/L573))</f>
        <v/>
      </c>
      <c r="Q573" s="95">
        <f>MIN(O573, P573)</f>
        <v/>
      </c>
      <c r="R573" s="96">
        <f>ROUND((Q573*L573)/1000, 2)</f>
        <v/>
      </c>
      <c r="S573" s="79">
        <f>IF($C$8&gt;0, R573/$C$8, 0)</f>
        <v/>
      </c>
      <c r="T573" s="79">
        <f>IF(O573&gt;0, Q573/O573, 0)</f>
        <v/>
      </c>
      <c r="U573" s="12">
        <f>IF(Q573=0, "Exceeds Limit", IF(P573&lt;=O573, "Weight Limited", "Volume Limited"))</f>
        <v/>
      </c>
      <c r="V573" s="97">
        <f>B573&amp;"|"&amp;D573&amp;"|"&amp;F573</f>
        <v/>
      </c>
    </row>
    <row r="574" ht="19" customHeight="1">
      <c r="A574" s="98" t="n">
        <v>564</v>
      </c>
      <c r="B574" s="102" t="inlineStr">
        <is>
          <t>Stainless Steel 304</t>
        </is>
      </c>
      <c r="C574" s="19" t="inlineStr">
        <is>
          <t>ASME B36.19M / B36.10M</t>
        </is>
      </c>
      <c r="D574" s="18" t="inlineStr">
        <is>
          <t>6''</t>
        </is>
      </c>
      <c r="E574" s="98" t="n">
        <v>150</v>
      </c>
      <c r="F574" s="18" t="inlineStr">
        <is>
          <t>5S</t>
        </is>
      </c>
      <c r="G574" s="20" t="n">
        <v>6.625</v>
      </c>
      <c r="H574" s="82" t="n">
        <v>168.27</v>
      </c>
      <c r="I574" s="20" t="n">
        <v>0.109</v>
      </c>
      <c r="J574" s="82" t="n">
        <v>2.77</v>
      </c>
      <c r="K574" s="20">
        <f>ROUND((H574-J574)*J574*IF(B574="Carbon Steel",$K$7,IF(B574="Stainless Steel 304",$K$8,$L$8)), 3)</f>
        <v/>
      </c>
      <c r="L574" s="82">
        <f>ROUND(K574*$G$5, 2)</f>
        <v/>
      </c>
      <c r="M574" s="98">
        <f>INT($G$6/H574)</f>
        <v/>
      </c>
      <c r="N574" s="98">
        <f>IF(M574=0, 0, IF(OR($K$6="Square Grid", M574=1), INT($G$7/H574), IF($G$7&lt;H574, 0, 1+INT(($G$7-H574)/(0.8660254*H574)))))</f>
        <v/>
      </c>
      <c r="O574" s="84">
        <f>IF(OR(M574=0,N574=0), 0, IF(OR($K$6="Square Grid", M574=1), M574*N574*$K$5, (INT((N574+1)/2)*M574 + INT(N574/2)*IF(($G$6-M574*H574)&gt;=0.5*H574, M574, M574-1))*$K$5))</f>
        <v/>
      </c>
      <c r="P574" s="84">
        <f>IF(L574&lt;=0, 0, INT($G$8/L574))</f>
        <v/>
      </c>
      <c r="Q574" s="95">
        <f>MIN(O574, P574)</f>
        <v/>
      </c>
      <c r="R574" s="96">
        <f>ROUND((Q574*L574)/1000, 2)</f>
        <v/>
      </c>
      <c r="S574" s="85">
        <f>IF($C$8&gt;0, R574/$C$8, 0)</f>
        <v/>
      </c>
      <c r="T574" s="85">
        <f>IF(O574&gt;0, Q574/O574, 0)</f>
        <v/>
      </c>
      <c r="U574" s="18">
        <f>IF(Q574=0, "Exceeds Limit", IF(P574&lt;=O574, "Weight Limited", "Volume Limited"))</f>
        <v/>
      </c>
      <c r="V574" s="100">
        <f>B574&amp;"|"&amp;D574&amp;"|"&amp;F574</f>
        <v/>
      </c>
    </row>
    <row r="575" ht="19" customHeight="1">
      <c r="A575" s="93" t="n">
        <v>565</v>
      </c>
      <c r="B575" s="101" t="inlineStr">
        <is>
          <t>Stainless Steel 304</t>
        </is>
      </c>
      <c r="C575" s="13" t="inlineStr">
        <is>
          <t>ASME B36.19M / B36.10M</t>
        </is>
      </c>
      <c r="D575" s="12" t="inlineStr">
        <is>
          <t>6''</t>
        </is>
      </c>
      <c r="E575" s="93" t="n">
        <v>150</v>
      </c>
      <c r="F575" s="12" t="inlineStr">
        <is>
          <t>5</t>
        </is>
      </c>
      <c r="G575" s="14" t="n">
        <v>6.625</v>
      </c>
      <c r="H575" s="78" t="n">
        <v>168.27</v>
      </c>
      <c r="I575" s="14" t="n">
        <v>0.109</v>
      </c>
      <c r="J575" s="78" t="n">
        <v>2.77</v>
      </c>
      <c r="K575" s="14">
        <f>ROUND((H575-J575)*J575*IF(B575="Carbon Steel",$K$7,IF(B575="Stainless Steel 304",$K$8,$L$8)), 3)</f>
        <v/>
      </c>
      <c r="L575" s="78">
        <f>ROUND(K575*$G$5, 2)</f>
        <v/>
      </c>
      <c r="M575" s="93">
        <f>INT($G$6/H575)</f>
        <v/>
      </c>
      <c r="N575" s="93">
        <f>IF(M575=0, 0, IF(OR($K$6="Square Grid", M575=1), INT($G$7/H575), IF($G$7&lt;H575, 0, 1+INT(($G$7-H575)/(0.8660254*H575)))))</f>
        <v/>
      </c>
      <c r="O575" s="59">
        <f>IF(OR(M575=0,N575=0), 0, IF(OR($K$6="Square Grid", M575=1), M575*N575*$K$5, (INT((N575+1)/2)*M575 + INT(N575/2)*IF(($G$6-M575*H575)&gt;=0.5*H575, M575, M575-1))*$K$5))</f>
        <v/>
      </c>
      <c r="P575" s="59">
        <f>IF(L575&lt;=0, 0, INT($G$8/L575))</f>
        <v/>
      </c>
      <c r="Q575" s="95">
        <f>MIN(O575, P575)</f>
        <v/>
      </c>
      <c r="R575" s="96">
        <f>ROUND((Q575*L575)/1000, 2)</f>
        <v/>
      </c>
      <c r="S575" s="79">
        <f>IF($C$8&gt;0, R575/$C$8, 0)</f>
        <v/>
      </c>
      <c r="T575" s="79">
        <f>IF(O575&gt;0, Q575/O575, 0)</f>
        <v/>
      </c>
      <c r="U575" s="12">
        <f>IF(Q575=0, "Exceeds Limit", IF(P575&lt;=O575, "Weight Limited", "Volume Limited"))</f>
        <v/>
      </c>
      <c r="V575" s="97">
        <f>B575&amp;"|"&amp;D575&amp;"|"&amp;F575</f>
        <v/>
      </c>
    </row>
    <row r="576" ht="19" customHeight="1">
      <c r="A576" s="98" t="n">
        <v>566</v>
      </c>
      <c r="B576" s="102" t="inlineStr">
        <is>
          <t>Stainless Steel 304</t>
        </is>
      </c>
      <c r="C576" s="19" t="inlineStr">
        <is>
          <t>ASME B36.19M / B36.10M</t>
        </is>
      </c>
      <c r="D576" s="18" t="inlineStr">
        <is>
          <t>6''</t>
        </is>
      </c>
      <c r="E576" s="98" t="n">
        <v>150</v>
      </c>
      <c r="F576" s="18" t="inlineStr">
        <is>
          <t>10S</t>
        </is>
      </c>
      <c r="G576" s="20" t="n">
        <v>6.625</v>
      </c>
      <c r="H576" s="82" t="n">
        <v>168.27</v>
      </c>
      <c r="I576" s="20" t="n">
        <v>0.134</v>
      </c>
      <c r="J576" s="82" t="n">
        <v>3.4</v>
      </c>
      <c r="K576" s="20">
        <f>ROUND((H576-J576)*J576*IF(B576="Carbon Steel",$K$7,IF(B576="Stainless Steel 304",$K$8,$L$8)), 3)</f>
        <v/>
      </c>
      <c r="L576" s="82">
        <f>ROUND(K576*$G$5, 2)</f>
        <v/>
      </c>
      <c r="M576" s="98">
        <f>INT($G$6/H576)</f>
        <v/>
      </c>
      <c r="N576" s="98">
        <f>IF(M576=0, 0, IF(OR($K$6="Square Grid", M576=1), INT($G$7/H576), IF($G$7&lt;H576, 0, 1+INT(($G$7-H576)/(0.8660254*H576)))))</f>
        <v/>
      </c>
      <c r="O576" s="84">
        <f>IF(OR(M576=0,N576=0), 0, IF(OR($K$6="Square Grid", M576=1), M576*N576*$K$5, (INT((N576+1)/2)*M576 + INT(N576/2)*IF(($G$6-M576*H576)&gt;=0.5*H576, M576, M576-1))*$K$5))</f>
        <v/>
      </c>
      <c r="P576" s="84">
        <f>IF(L576&lt;=0, 0, INT($G$8/L576))</f>
        <v/>
      </c>
      <c r="Q576" s="95">
        <f>MIN(O576, P576)</f>
        <v/>
      </c>
      <c r="R576" s="96">
        <f>ROUND((Q576*L576)/1000, 2)</f>
        <v/>
      </c>
      <c r="S576" s="85">
        <f>IF($C$8&gt;0, R576/$C$8, 0)</f>
        <v/>
      </c>
      <c r="T576" s="85">
        <f>IF(O576&gt;0, Q576/O576, 0)</f>
        <v/>
      </c>
      <c r="U576" s="18">
        <f>IF(Q576=0, "Exceeds Limit", IF(P576&lt;=O576, "Weight Limited", "Volume Limited"))</f>
        <v/>
      </c>
      <c r="V576" s="100">
        <f>B576&amp;"|"&amp;D576&amp;"|"&amp;F576</f>
        <v/>
      </c>
    </row>
    <row r="577" ht="19" customHeight="1">
      <c r="A577" s="93" t="n">
        <v>567</v>
      </c>
      <c r="B577" s="101" t="inlineStr">
        <is>
          <t>Stainless Steel 304</t>
        </is>
      </c>
      <c r="C577" s="13" t="inlineStr">
        <is>
          <t>ASME B36.19M / B36.10M</t>
        </is>
      </c>
      <c r="D577" s="12" t="inlineStr">
        <is>
          <t>6''</t>
        </is>
      </c>
      <c r="E577" s="93" t="n">
        <v>150</v>
      </c>
      <c r="F577" s="12" t="inlineStr">
        <is>
          <t>10</t>
        </is>
      </c>
      <c r="G577" s="14" t="n">
        <v>6.625</v>
      </c>
      <c r="H577" s="78" t="n">
        <v>168.27</v>
      </c>
      <c r="I577" s="14" t="n">
        <v>0.134</v>
      </c>
      <c r="J577" s="78" t="n">
        <v>3.4</v>
      </c>
      <c r="K577" s="14">
        <f>ROUND((H577-J577)*J577*IF(B577="Carbon Steel",$K$7,IF(B577="Stainless Steel 304",$K$8,$L$8)), 3)</f>
        <v/>
      </c>
      <c r="L577" s="78">
        <f>ROUND(K577*$G$5, 2)</f>
        <v/>
      </c>
      <c r="M577" s="93">
        <f>INT($G$6/H577)</f>
        <v/>
      </c>
      <c r="N577" s="93">
        <f>IF(M577=0, 0, IF(OR($K$6="Square Grid", M577=1), INT($G$7/H577), IF($G$7&lt;H577, 0, 1+INT(($G$7-H577)/(0.8660254*H577)))))</f>
        <v/>
      </c>
      <c r="O577" s="59">
        <f>IF(OR(M577=0,N577=0), 0, IF(OR($K$6="Square Grid", M577=1), M577*N577*$K$5, (INT((N577+1)/2)*M577 + INT(N577/2)*IF(($G$6-M577*H577)&gt;=0.5*H577, M577, M577-1))*$K$5))</f>
        <v/>
      </c>
      <c r="P577" s="59">
        <f>IF(L577&lt;=0, 0, INT($G$8/L577))</f>
        <v/>
      </c>
      <c r="Q577" s="95">
        <f>MIN(O577, P577)</f>
        <v/>
      </c>
      <c r="R577" s="96">
        <f>ROUND((Q577*L577)/1000, 2)</f>
        <v/>
      </c>
      <c r="S577" s="79">
        <f>IF($C$8&gt;0, R577/$C$8, 0)</f>
        <v/>
      </c>
      <c r="T577" s="79">
        <f>IF(O577&gt;0, Q577/O577, 0)</f>
        <v/>
      </c>
      <c r="U577" s="12">
        <f>IF(Q577=0, "Exceeds Limit", IF(P577&lt;=O577, "Weight Limited", "Volume Limited"))</f>
        <v/>
      </c>
      <c r="V577" s="97">
        <f>B577&amp;"|"&amp;D577&amp;"|"&amp;F577</f>
        <v/>
      </c>
    </row>
    <row r="578" ht="19" customHeight="1">
      <c r="A578" s="98" t="n">
        <v>568</v>
      </c>
      <c r="B578" s="102" t="inlineStr">
        <is>
          <t>Stainless Steel 304</t>
        </is>
      </c>
      <c r="C578" s="19" t="inlineStr">
        <is>
          <t>ASME B36.19M / B36.10M</t>
        </is>
      </c>
      <c r="D578" s="18" t="inlineStr">
        <is>
          <t>6''</t>
        </is>
      </c>
      <c r="E578" s="98" t="n">
        <v>150</v>
      </c>
      <c r="F578" s="18" t="inlineStr">
        <is>
          <t>40S</t>
        </is>
      </c>
      <c r="G578" s="20" t="n">
        <v>6.625</v>
      </c>
      <c r="H578" s="82" t="n">
        <v>168.27</v>
      </c>
      <c r="I578" s="20" t="n">
        <v>0.28</v>
      </c>
      <c r="J578" s="82" t="n">
        <v>7.11</v>
      </c>
      <c r="K578" s="20">
        <f>ROUND((H578-J578)*J578*IF(B578="Carbon Steel",$K$7,IF(B578="Stainless Steel 304",$K$8,$L$8)), 3)</f>
        <v/>
      </c>
      <c r="L578" s="82">
        <f>ROUND(K578*$G$5, 2)</f>
        <v/>
      </c>
      <c r="M578" s="98">
        <f>INT($G$6/H578)</f>
        <v/>
      </c>
      <c r="N578" s="98">
        <f>IF(M578=0, 0, IF(OR($K$6="Square Grid", M578=1), INT($G$7/H578), IF($G$7&lt;H578, 0, 1+INT(($G$7-H578)/(0.8660254*H578)))))</f>
        <v/>
      </c>
      <c r="O578" s="84">
        <f>IF(OR(M578=0,N578=0), 0, IF(OR($K$6="Square Grid", M578=1), M578*N578*$K$5, (INT((N578+1)/2)*M578 + INT(N578/2)*IF(($G$6-M578*H578)&gt;=0.5*H578, M578, M578-1))*$K$5))</f>
        <v/>
      </c>
      <c r="P578" s="84">
        <f>IF(L578&lt;=0, 0, INT($G$8/L578))</f>
        <v/>
      </c>
      <c r="Q578" s="95">
        <f>MIN(O578, P578)</f>
        <v/>
      </c>
      <c r="R578" s="96">
        <f>ROUND((Q578*L578)/1000, 2)</f>
        <v/>
      </c>
      <c r="S578" s="85">
        <f>IF($C$8&gt;0, R578/$C$8, 0)</f>
        <v/>
      </c>
      <c r="T578" s="85">
        <f>IF(O578&gt;0, Q578/O578, 0)</f>
        <v/>
      </c>
      <c r="U578" s="18">
        <f>IF(Q578=0, "Exceeds Limit", IF(P578&lt;=O578, "Weight Limited", "Volume Limited"))</f>
        <v/>
      </c>
      <c r="V578" s="100">
        <f>B578&amp;"|"&amp;D578&amp;"|"&amp;F578</f>
        <v/>
      </c>
    </row>
    <row r="579" ht="19" customHeight="1">
      <c r="A579" s="93" t="n">
        <v>569</v>
      </c>
      <c r="B579" s="101" t="inlineStr">
        <is>
          <t>Stainless Steel 304</t>
        </is>
      </c>
      <c r="C579" s="13" t="inlineStr">
        <is>
          <t>ASME B36.19M / B36.10M</t>
        </is>
      </c>
      <c r="D579" s="12" t="inlineStr">
        <is>
          <t>6''</t>
        </is>
      </c>
      <c r="E579" s="93" t="n">
        <v>150</v>
      </c>
      <c r="F579" s="12" t="inlineStr">
        <is>
          <t>STD</t>
        </is>
      </c>
      <c r="G579" s="14" t="n">
        <v>6.625</v>
      </c>
      <c r="H579" s="78" t="n">
        <v>168.27</v>
      </c>
      <c r="I579" s="14" t="n">
        <v>0.28</v>
      </c>
      <c r="J579" s="78" t="n">
        <v>7.11</v>
      </c>
      <c r="K579" s="14">
        <f>ROUND((H579-J579)*J579*IF(B579="Carbon Steel",$K$7,IF(B579="Stainless Steel 304",$K$8,$L$8)), 3)</f>
        <v/>
      </c>
      <c r="L579" s="78">
        <f>ROUND(K579*$G$5, 2)</f>
        <v/>
      </c>
      <c r="M579" s="93">
        <f>INT($G$6/H579)</f>
        <v/>
      </c>
      <c r="N579" s="93">
        <f>IF(M579=0, 0, IF(OR($K$6="Square Grid", M579=1), INT($G$7/H579), IF($G$7&lt;H579, 0, 1+INT(($G$7-H579)/(0.8660254*H579)))))</f>
        <v/>
      </c>
      <c r="O579" s="59">
        <f>IF(OR(M579=0,N579=0), 0, IF(OR($K$6="Square Grid", M579=1), M579*N579*$K$5, (INT((N579+1)/2)*M579 + INT(N579/2)*IF(($G$6-M579*H579)&gt;=0.5*H579, M579, M579-1))*$K$5))</f>
        <v/>
      </c>
      <c r="P579" s="59">
        <f>IF(L579&lt;=0, 0, INT($G$8/L579))</f>
        <v/>
      </c>
      <c r="Q579" s="95">
        <f>MIN(O579, P579)</f>
        <v/>
      </c>
      <c r="R579" s="96">
        <f>ROUND((Q579*L579)/1000, 2)</f>
        <v/>
      </c>
      <c r="S579" s="79">
        <f>IF($C$8&gt;0, R579/$C$8, 0)</f>
        <v/>
      </c>
      <c r="T579" s="79">
        <f>IF(O579&gt;0, Q579/O579, 0)</f>
        <v/>
      </c>
      <c r="U579" s="12">
        <f>IF(Q579=0, "Exceeds Limit", IF(P579&lt;=O579, "Weight Limited", "Volume Limited"))</f>
        <v/>
      </c>
      <c r="V579" s="97">
        <f>B579&amp;"|"&amp;D579&amp;"|"&amp;F579</f>
        <v/>
      </c>
    </row>
    <row r="580" ht="19" customHeight="1">
      <c r="A580" s="98" t="n">
        <v>570</v>
      </c>
      <c r="B580" s="102" t="inlineStr">
        <is>
          <t>Stainless Steel 304</t>
        </is>
      </c>
      <c r="C580" s="19" t="inlineStr">
        <is>
          <t>ASME B36.19M / B36.10M</t>
        </is>
      </c>
      <c r="D580" s="18" t="inlineStr">
        <is>
          <t>6''</t>
        </is>
      </c>
      <c r="E580" s="98" t="n">
        <v>150</v>
      </c>
      <c r="F580" s="18" t="inlineStr">
        <is>
          <t>40</t>
        </is>
      </c>
      <c r="G580" s="20" t="n">
        <v>6.625</v>
      </c>
      <c r="H580" s="82" t="n">
        <v>168.27</v>
      </c>
      <c r="I580" s="20" t="n">
        <v>0.28</v>
      </c>
      <c r="J580" s="82" t="n">
        <v>7.11</v>
      </c>
      <c r="K580" s="20">
        <f>ROUND((H580-J580)*J580*IF(B580="Carbon Steel",$K$7,IF(B580="Stainless Steel 304",$K$8,$L$8)), 3)</f>
        <v/>
      </c>
      <c r="L580" s="82">
        <f>ROUND(K580*$G$5, 2)</f>
        <v/>
      </c>
      <c r="M580" s="98">
        <f>INT($G$6/H580)</f>
        <v/>
      </c>
      <c r="N580" s="98">
        <f>IF(M580=0, 0, IF(OR($K$6="Square Grid", M580=1), INT($G$7/H580), IF($G$7&lt;H580, 0, 1+INT(($G$7-H580)/(0.8660254*H580)))))</f>
        <v/>
      </c>
      <c r="O580" s="84">
        <f>IF(OR(M580=0,N580=0), 0, IF(OR($K$6="Square Grid", M580=1), M580*N580*$K$5, (INT((N580+1)/2)*M580 + INT(N580/2)*IF(($G$6-M580*H580)&gt;=0.5*H580, M580, M580-1))*$K$5))</f>
        <v/>
      </c>
      <c r="P580" s="84">
        <f>IF(L580&lt;=0, 0, INT($G$8/L580))</f>
        <v/>
      </c>
      <c r="Q580" s="95">
        <f>MIN(O580, P580)</f>
        <v/>
      </c>
      <c r="R580" s="96">
        <f>ROUND((Q580*L580)/1000, 2)</f>
        <v/>
      </c>
      <c r="S580" s="85">
        <f>IF($C$8&gt;0, R580/$C$8, 0)</f>
        <v/>
      </c>
      <c r="T580" s="85">
        <f>IF(O580&gt;0, Q580/O580, 0)</f>
        <v/>
      </c>
      <c r="U580" s="18">
        <f>IF(Q580=0, "Exceeds Limit", IF(P580&lt;=O580, "Weight Limited", "Volume Limited"))</f>
        <v/>
      </c>
      <c r="V580" s="100">
        <f>B580&amp;"|"&amp;D580&amp;"|"&amp;F580</f>
        <v/>
      </c>
    </row>
    <row r="581" ht="19" customHeight="1">
      <c r="A581" s="93" t="n">
        <v>571</v>
      </c>
      <c r="B581" s="101" t="inlineStr">
        <is>
          <t>Stainless Steel 304</t>
        </is>
      </c>
      <c r="C581" s="13" t="inlineStr">
        <is>
          <t>ASME B36.19M / B36.10M</t>
        </is>
      </c>
      <c r="D581" s="12" t="inlineStr">
        <is>
          <t>6''</t>
        </is>
      </c>
      <c r="E581" s="93" t="n">
        <v>150</v>
      </c>
      <c r="F581" s="12" t="inlineStr">
        <is>
          <t>80S</t>
        </is>
      </c>
      <c r="G581" s="14" t="n">
        <v>6.625</v>
      </c>
      <c r="H581" s="78" t="n">
        <v>168.27</v>
      </c>
      <c r="I581" s="14" t="n">
        <v>0.432</v>
      </c>
      <c r="J581" s="78" t="n">
        <v>10.97</v>
      </c>
      <c r="K581" s="14">
        <f>ROUND((H581-J581)*J581*IF(B581="Carbon Steel",$K$7,IF(B581="Stainless Steel 304",$K$8,$L$8)), 3)</f>
        <v/>
      </c>
      <c r="L581" s="78">
        <f>ROUND(K581*$G$5, 2)</f>
        <v/>
      </c>
      <c r="M581" s="93">
        <f>INT($G$6/H581)</f>
        <v/>
      </c>
      <c r="N581" s="93">
        <f>IF(M581=0, 0, IF(OR($K$6="Square Grid", M581=1), INT($G$7/H581), IF($G$7&lt;H581, 0, 1+INT(($G$7-H581)/(0.8660254*H581)))))</f>
        <v/>
      </c>
      <c r="O581" s="59">
        <f>IF(OR(M581=0,N581=0), 0, IF(OR($K$6="Square Grid", M581=1), M581*N581*$K$5, (INT((N581+1)/2)*M581 + INT(N581/2)*IF(($G$6-M581*H581)&gt;=0.5*H581, M581, M581-1))*$K$5))</f>
        <v/>
      </c>
      <c r="P581" s="59">
        <f>IF(L581&lt;=0, 0, INT($G$8/L581))</f>
        <v/>
      </c>
      <c r="Q581" s="95">
        <f>MIN(O581, P581)</f>
        <v/>
      </c>
      <c r="R581" s="96">
        <f>ROUND((Q581*L581)/1000, 2)</f>
        <v/>
      </c>
      <c r="S581" s="79">
        <f>IF($C$8&gt;0, R581/$C$8, 0)</f>
        <v/>
      </c>
      <c r="T581" s="79">
        <f>IF(O581&gt;0, Q581/O581, 0)</f>
        <v/>
      </c>
      <c r="U581" s="12">
        <f>IF(Q581=0, "Exceeds Limit", IF(P581&lt;=O581, "Weight Limited", "Volume Limited"))</f>
        <v/>
      </c>
      <c r="V581" s="97">
        <f>B581&amp;"|"&amp;D581&amp;"|"&amp;F581</f>
        <v/>
      </c>
    </row>
    <row r="582" ht="19" customHeight="1">
      <c r="A582" s="98" t="n">
        <v>572</v>
      </c>
      <c r="B582" s="102" t="inlineStr">
        <is>
          <t>Stainless Steel 304</t>
        </is>
      </c>
      <c r="C582" s="19" t="inlineStr">
        <is>
          <t>ASME B36.19M / B36.10M</t>
        </is>
      </c>
      <c r="D582" s="18" t="inlineStr">
        <is>
          <t>6''</t>
        </is>
      </c>
      <c r="E582" s="98" t="n">
        <v>150</v>
      </c>
      <c r="F582" s="18" t="inlineStr">
        <is>
          <t>XS</t>
        </is>
      </c>
      <c r="G582" s="20" t="n">
        <v>6.625</v>
      </c>
      <c r="H582" s="82" t="n">
        <v>168.27</v>
      </c>
      <c r="I582" s="20" t="n">
        <v>0.432</v>
      </c>
      <c r="J582" s="82" t="n">
        <v>10.97</v>
      </c>
      <c r="K582" s="20">
        <f>ROUND((H582-J582)*J582*IF(B582="Carbon Steel",$K$7,IF(B582="Stainless Steel 304",$K$8,$L$8)), 3)</f>
        <v/>
      </c>
      <c r="L582" s="82">
        <f>ROUND(K582*$G$5, 2)</f>
        <v/>
      </c>
      <c r="M582" s="98">
        <f>INT($G$6/H582)</f>
        <v/>
      </c>
      <c r="N582" s="98">
        <f>IF(M582=0, 0, IF(OR($K$6="Square Grid", M582=1), INT($G$7/H582), IF($G$7&lt;H582, 0, 1+INT(($G$7-H582)/(0.8660254*H582)))))</f>
        <v/>
      </c>
      <c r="O582" s="84">
        <f>IF(OR(M582=0,N582=0), 0, IF(OR($K$6="Square Grid", M582=1), M582*N582*$K$5, (INT((N582+1)/2)*M582 + INT(N582/2)*IF(($G$6-M582*H582)&gt;=0.5*H582, M582, M582-1))*$K$5))</f>
        <v/>
      </c>
      <c r="P582" s="84">
        <f>IF(L582&lt;=0, 0, INT($G$8/L582))</f>
        <v/>
      </c>
      <c r="Q582" s="95">
        <f>MIN(O582, P582)</f>
        <v/>
      </c>
      <c r="R582" s="96">
        <f>ROUND((Q582*L582)/1000, 2)</f>
        <v/>
      </c>
      <c r="S582" s="85">
        <f>IF($C$8&gt;0, R582/$C$8, 0)</f>
        <v/>
      </c>
      <c r="T582" s="85">
        <f>IF(O582&gt;0, Q582/O582, 0)</f>
        <v/>
      </c>
      <c r="U582" s="18">
        <f>IF(Q582=0, "Exceeds Limit", IF(P582&lt;=O582, "Weight Limited", "Volume Limited"))</f>
        <v/>
      </c>
      <c r="V582" s="100">
        <f>B582&amp;"|"&amp;D582&amp;"|"&amp;F582</f>
        <v/>
      </c>
    </row>
    <row r="583" ht="19" customHeight="1">
      <c r="A583" s="93" t="n">
        <v>573</v>
      </c>
      <c r="B583" s="101" t="inlineStr">
        <is>
          <t>Stainless Steel 304</t>
        </is>
      </c>
      <c r="C583" s="13" t="inlineStr">
        <is>
          <t>ASME B36.19M / B36.10M</t>
        </is>
      </c>
      <c r="D583" s="12" t="inlineStr">
        <is>
          <t>6''</t>
        </is>
      </c>
      <c r="E583" s="93" t="n">
        <v>150</v>
      </c>
      <c r="F583" s="12" t="inlineStr">
        <is>
          <t>80</t>
        </is>
      </c>
      <c r="G583" s="14" t="n">
        <v>6.625</v>
      </c>
      <c r="H583" s="78" t="n">
        <v>168.27</v>
      </c>
      <c r="I583" s="14" t="n">
        <v>0.432</v>
      </c>
      <c r="J583" s="78" t="n">
        <v>10.97</v>
      </c>
      <c r="K583" s="14">
        <f>ROUND((H583-J583)*J583*IF(B583="Carbon Steel",$K$7,IF(B583="Stainless Steel 304",$K$8,$L$8)), 3)</f>
        <v/>
      </c>
      <c r="L583" s="78">
        <f>ROUND(K583*$G$5, 2)</f>
        <v/>
      </c>
      <c r="M583" s="93">
        <f>INT($G$6/H583)</f>
        <v/>
      </c>
      <c r="N583" s="93">
        <f>IF(M583=0, 0, IF(OR($K$6="Square Grid", M583=1), INT($G$7/H583), IF($G$7&lt;H583, 0, 1+INT(($G$7-H583)/(0.8660254*H583)))))</f>
        <v/>
      </c>
      <c r="O583" s="59">
        <f>IF(OR(M583=0,N583=0), 0, IF(OR($K$6="Square Grid", M583=1), M583*N583*$K$5, (INT((N583+1)/2)*M583 + INT(N583/2)*IF(($G$6-M583*H583)&gt;=0.5*H583, M583, M583-1))*$K$5))</f>
        <v/>
      </c>
      <c r="P583" s="59">
        <f>IF(L583&lt;=0, 0, INT($G$8/L583))</f>
        <v/>
      </c>
      <c r="Q583" s="95">
        <f>MIN(O583, P583)</f>
        <v/>
      </c>
      <c r="R583" s="96">
        <f>ROUND((Q583*L583)/1000, 2)</f>
        <v/>
      </c>
      <c r="S583" s="79">
        <f>IF($C$8&gt;0, R583/$C$8, 0)</f>
        <v/>
      </c>
      <c r="T583" s="79">
        <f>IF(O583&gt;0, Q583/O583, 0)</f>
        <v/>
      </c>
      <c r="U583" s="12">
        <f>IF(Q583=0, "Exceeds Limit", IF(P583&lt;=O583, "Weight Limited", "Volume Limited"))</f>
        <v/>
      </c>
      <c r="V583" s="97">
        <f>B583&amp;"|"&amp;D583&amp;"|"&amp;F583</f>
        <v/>
      </c>
    </row>
    <row r="584" ht="19" customHeight="1">
      <c r="A584" s="98" t="n">
        <v>574</v>
      </c>
      <c r="B584" s="102" t="inlineStr">
        <is>
          <t>Stainless Steel 304</t>
        </is>
      </c>
      <c r="C584" s="19" t="inlineStr">
        <is>
          <t>ASME B36.19M / B36.10M</t>
        </is>
      </c>
      <c r="D584" s="18" t="inlineStr">
        <is>
          <t>6''</t>
        </is>
      </c>
      <c r="E584" s="98" t="n">
        <v>150</v>
      </c>
      <c r="F584" s="18" t="inlineStr">
        <is>
          <t>120</t>
        </is>
      </c>
      <c r="G584" s="20" t="n">
        <v>6.625</v>
      </c>
      <c r="H584" s="82" t="n">
        <v>168.27</v>
      </c>
      <c r="I584" s="20" t="n">
        <v>0.5620000000000001</v>
      </c>
      <c r="J584" s="82" t="n">
        <v>14.27</v>
      </c>
      <c r="K584" s="20">
        <f>ROUND((H584-J584)*J584*IF(B584="Carbon Steel",$K$7,IF(B584="Stainless Steel 304",$K$8,$L$8)), 3)</f>
        <v/>
      </c>
      <c r="L584" s="82">
        <f>ROUND(K584*$G$5, 2)</f>
        <v/>
      </c>
      <c r="M584" s="98">
        <f>INT($G$6/H584)</f>
        <v/>
      </c>
      <c r="N584" s="98">
        <f>IF(M584=0, 0, IF(OR($K$6="Square Grid", M584=1), INT($G$7/H584), IF($G$7&lt;H584, 0, 1+INT(($G$7-H584)/(0.8660254*H584)))))</f>
        <v/>
      </c>
      <c r="O584" s="84">
        <f>IF(OR(M584=0,N584=0), 0, IF(OR($K$6="Square Grid", M584=1), M584*N584*$K$5, (INT((N584+1)/2)*M584 + INT(N584/2)*IF(($G$6-M584*H584)&gt;=0.5*H584, M584, M584-1))*$K$5))</f>
        <v/>
      </c>
      <c r="P584" s="84">
        <f>IF(L584&lt;=0, 0, INT($G$8/L584))</f>
        <v/>
      </c>
      <c r="Q584" s="95">
        <f>MIN(O584, P584)</f>
        <v/>
      </c>
      <c r="R584" s="96">
        <f>ROUND((Q584*L584)/1000, 2)</f>
        <v/>
      </c>
      <c r="S584" s="85">
        <f>IF($C$8&gt;0, R584/$C$8, 0)</f>
        <v/>
      </c>
      <c r="T584" s="85">
        <f>IF(O584&gt;0, Q584/O584, 0)</f>
        <v/>
      </c>
      <c r="U584" s="18">
        <f>IF(Q584=0, "Exceeds Limit", IF(P584&lt;=O584, "Weight Limited", "Volume Limited"))</f>
        <v/>
      </c>
      <c r="V584" s="100">
        <f>B584&amp;"|"&amp;D584&amp;"|"&amp;F584</f>
        <v/>
      </c>
    </row>
    <row r="585" ht="19" customHeight="1">
      <c r="A585" s="93" t="n">
        <v>575</v>
      </c>
      <c r="B585" s="101" t="inlineStr">
        <is>
          <t>Stainless Steel 304</t>
        </is>
      </c>
      <c r="C585" s="13" t="inlineStr">
        <is>
          <t>ASME B36.19M / B36.10M</t>
        </is>
      </c>
      <c r="D585" s="12" t="inlineStr">
        <is>
          <t>6''</t>
        </is>
      </c>
      <c r="E585" s="93" t="n">
        <v>150</v>
      </c>
      <c r="F585" s="12" t="inlineStr">
        <is>
          <t>160</t>
        </is>
      </c>
      <c r="G585" s="14" t="n">
        <v>6.625</v>
      </c>
      <c r="H585" s="78" t="n">
        <v>168.27</v>
      </c>
      <c r="I585" s="14" t="n">
        <v>0.719</v>
      </c>
      <c r="J585" s="78" t="n">
        <v>18.26</v>
      </c>
      <c r="K585" s="14">
        <f>ROUND((H585-J585)*J585*IF(B585="Carbon Steel",$K$7,IF(B585="Stainless Steel 304",$K$8,$L$8)), 3)</f>
        <v/>
      </c>
      <c r="L585" s="78">
        <f>ROUND(K585*$G$5, 2)</f>
        <v/>
      </c>
      <c r="M585" s="93">
        <f>INT($G$6/H585)</f>
        <v/>
      </c>
      <c r="N585" s="93">
        <f>IF(M585=0, 0, IF(OR($K$6="Square Grid", M585=1), INT($G$7/H585), IF($G$7&lt;H585, 0, 1+INT(($G$7-H585)/(0.8660254*H585)))))</f>
        <v/>
      </c>
      <c r="O585" s="59">
        <f>IF(OR(M585=0,N585=0), 0, IF(OR($K$6="Square Grid", M585=1), M585*N585*$K$5, (INT((N585+1)/2)*M585 + INT(N585/2)*IF(($G$6-M585*H585)&gt;=0.5*H585, M585, M585-1))*$K$5))</f>
        <v/>
      </c>
      <c r="P585" s="59">
        <f>IF(L585&lt;=0, 0, INT($G$8/L585))</f>
        <v/>
      </c>
      <c r="Q585" s="95">
        <f>MIN(O585, P585)</f>
        <v/>
      </c>
      <c r="R585" s="96">
        <f>ROUND((Q585*L585)/1000, 2)</f>
        <v/>
      </c>
      <c r="S585" s="79">
        <f>IF($C$8&gt;0, R585/$C$8, 0)</f>
        <v/>
      </c>
      <c r="T585" s="79">
        <f>IF(O585&gt;0, Q585/O585, 0)</f>
        <v/>
      </c>
      <c r="U585" s="12">
        <f>IF(Q585=0, "Exceeds Limit", IF(P585&lt;=O585, "Weight Limited", "Volume Limited"))</f>
        <v/>
      </c>
      <c r="V585" s="97">
        <f>B585&amp;"|"&amp;D585&amp;"|"&amp;F585</f>
        <v/>
      </c>
    </row>
    <row r="586" ht="19" customHeight="1">
      <c r="A586" s="98" t="n">
        <v>576</v>
      </c>
      <c r="B586" s="102" t="inlineStr">
        <is>
          <t>Stainless Steel 304</t>
        </is>
      </c>
      <c r="C586" s="19" t="inlineStr">
        <is>
          <t>ASME B36.19M / B36.10M</t>
        </is>
      </c>
      <c r="D586" s="18" t="inlineStr">
        <is>
          <t>6''</t>
        </is>
      </c>
      <c r="E586" s="98" t="n">
        <v>150</v>
      </c>
      <c r="F586" s="18" t="inlineStr">
        <is>
          <t>XXS</t>
        </is>
      </c>
      <c r="G586" s="20" t="n">
        <v>6.625</v>
      </c>
      <c r="H586" s="82" t="n">
        <v>168.27</v>
      </c>
      <c r="I586" s="20" t="n">
        <v>0.864</v>
      </c>
      <c r="J586" s="82" t="n">
        <v>21.95</v>
      </c>
      <c r="K586" s="20">
        <f>ROUND((H586-J586)*J586*IF(B586="Carbon Steel",$K$7,IF(B586="Stainless Steel 304",$K$8,$L$8)), 3)</f>
        <v/>
      </c>
      <c r="L586" s="82">
        <f>ROUND(K586*$G$5, 2)</f>
        <v/>
      </c>
      <c r="M586" s="98">
        <f>INT($G$6/H586)</f>
        <v/>
      </c>
      <c r="N586" s="98">
        <f>IF(M586=0, 0, IF(OR($K$6="Square Grid", M586=1), INT($G$7/H586), IF($G$7&lt;H586, 0, 1+INT(($G$7-H586)/(0.8660254*H586)))))</f>
        <v/>
      </c>
      <c r="O586" s="84">
        <f>IF(OR(M586=0,N586=0), 0, IF(OR($K$6="Square Grid", M586=1), M586*N586*$K$5, (INT((N586+1)/2)*M586 + INT(N586/2)*IF(($G$6-M586*H586)&gt;=0.5*H586, M586, M586-1))*$K$5))</f>
        <v/>
      </c>
      <c r="P586" s="84">
        <f>IF(L586&lt;=0, 0, INT($G$8/L586))</f>
        <v/>
      </c>
      <c r="Q586" s="95">
        <f>MIN(O586, P586)</f>
        <v/>
      </c>
      <c r="R586" s="96">
        <f>ROUND((Q586*L586)/1000, 2)</f>
        <v/>
      </c>
      <c r="S586" s="85">
        <f>IF($C$8&gt;0, R586/$C$8, 0)</f>
        <v/>
      </c>
      <c r="T586" s="85">
        <f>IF(O586&gt;0, Q586/O586, 0)</f>
        <v/>
      </c>
      <c r="U586" s="18">
        <f>IF(Q586=0, "Exceeds Limit", IF(P586&lt;=O586, "Weight Limited", "Volume Limited"))</f>
        <v/>
      </c>
      <c r="V586" s="100">
        <f>B586&amp;"|"&amp;D586&amp;"|"&amp;F586</f>
        <v/>
      </c>
    </row>
    <row r="587" ht="19" customHeight="1">
      <c r="A587" s="93" t="n">
        <v>577</v>
      </c>
      <c r="B587" s="101" t="inlineStr">
        <is>
          <t>Stainless Steel 304</t>
        </is>
      </c>
      <c r="C587" s="13" t="inlineStr">
        <is>
          <t>ASME B36.19M / B36.10M</t>
        </is>
      </c>
      <c r="D587" s="12" t="inlineStr">
        <is>
          <t>8''</t>
        </is>
      </c>
      <c r="E587" s="93" t="n">
        <v>200</v>
      </c>
      <c r="F587" s="12" t="inlineStr">
        <is>
          <t>5S</t>
        </is>
      </c>
      <c r="G587" s="14" t="n">
        <v>8.625</v>
      </c>
      <c r="H587" s="78" t="n">
        <v>219.07</v>
      </c>
      <c r="I587" s="14" t="n">
        <v>0.109</v>
      </c>
      <c r="J587" s="78" t="n">
        <v>2.77</v>
      </c>
      <c r="K587" s="14">
        <f>ROUND((H587-J587)*J587*IF(B587="Carbon Steel",$K$7,IF(B587="Stainless Steel 304",$K$8,$L$8)), 3)</f>
        <v/>
      </c>
      <c r="L587" s="78">
        <f>ROUND(K587*$G$5, 2)</f>
        <v/>
      </c>
      <c r="M587" s="93">
        <f>INT($G$6/H587)</f>
        <v/>
      </c>
      <c r="N587" s="93">
        <f>IF(M587=0, 0, IF(OR($K$6="Square Grid", M587=1), INT($G$7/H587), IF($G$7&lt;H587, 0, 1+INT(($G$7-H587)/(0.8660254*H587)))))</f>
        <v/>
      </c>
      <c r="O587" s="59">
        <f>IF(OR(M587=0,N587=0), 0, IF(OR($K$6="Square Grid", M587=1), M587*N587*$K$5, (INT((N587+1)/2)*M587 + INT(N587/2)*IF(($G$6-M587*H587)&gt;=0.5*H587, M587, M587-1))*$K$5))</f>
        <v/>
      </c>
      <c r="P587" s="59">
        <f>IF(L587&lt;=0, 0, INT($G$8/L587))</f>
        <v/>
      </c>
      <c r="Q587" s="95">
        <f>MIN(O587, P587)</f>
        <v/>
      </c>
      <c r="R587" s="96">
        <f>ROUND((Q587*L587)/1000, 2)</f>
        <v/>
      </c>
      <c r="S587" s="79">
        <f>IF($C$8&gt;0, R587/$C$8, 0)</f>
        <v/>
      </c>
      <c r="T587" s="79">
        <f>IF(O587&gt;0, Q587/O587, 0)</f>
        <v/>
      </c>
      <c r="U587" s="12">
        <f>IF(Q587=0, "Exceeds Limit", IF(P587&lt;=O587, "Weight Limited", "Volume Limited"))</f>
        <v/>
      </c>
      <c r="V587" s="97">
        <f>B587&amp;"|"&amp;D587&amp;"|"&amp;F587</f>
        <v/>
      </c>
    </row>
    <row r="588" ht="19" customHeight="1">
      <c r="A588" s="98" t="n">
        <v>578</v>
      </c>
      <c r="B588" s="102" t="inlineStr">
        <is>
          <t>Stainless Steel 304</t>
        </is>
      </c>
      <c r="C588" s="19" t="inlineStr">
        <is>
          <t>ASME B36.19M / B36.10M</t>
        </is>
      </c>
      <c r="D588" s="18" t="inlineStr">
        <is>
          <t>8''</t>
        </is>
      </c>
      <c r="E588" s="98" t="n">
        <v>200</v>
      </c>
      <c r="F588" s="18" t="inlineStr">
        <is>
          <t>5</t>
        </is>
      </c>
      <c r="G588" s="20" t="n">
        <v>8.625</v>
      </c>
      <c r="H588" s="82" t="n">
        <v>219.07</v>
      </c>
      <c r="I588" s="20" t="n">
        <v>0.109</v>
      </c>
      <c r="J588" s="82" t="n">
        <v>2.77</v>
      </c>
      <c r="K588" s="20">
        <f>ROUND((H588-J588)*J588*IF(B588="Carbon Steel",$K$7,IF(B588="Stainless Steel 304",$K$8,$L$8)), 3)</f>
        <v/>
      </c>
      <c r="L588" s="82">
        <f>ROUND(K588*$G$5, 2)</f>
        <v/>
      </c>
      <c r="M588" s="98">
        <f>INT($G$6/H588)</f>
        <v/>
      </c>
      <c r="N588" s="98">
        <f>IF(M588=0, 0, IF(OR($K$6="Square Grid", M588=1), INT($G$7/H588), IF($G$7&lt;H588, 0, 1+INT(($G$7-H588)/(0.8660254*H588)))))</f>
        <v/>
      </c>
      <c r="O588" s="84">
        <f>IF(OR(M588=0,N588=0), 0, IF(OR($K$6="Square Grid", M588=1), M588*N588*$K$5, (INT((N588+1)/2)*M588 + INT(N588/2)*IF(($G$6-M588*H588)&gt;=0.5*H588, M588, M588-1))*$K$5))</f>
        <v/>
      </c>
      <c r="P588" s="84">
        <f>IF(L588&lt;=0, 0, INT($G$8/L588))</f>
        <v/>
      </c>
      <c r="Q588" s="95">
        <f>MIN(O588, P588)</f>
        <v/>
      </c>
      <c r="R588" s="96">
        <f>ROUND((Q588*L588)/1000, 2)</f>
        <v/>
      </c>
      <c r="S588" s="85">
        <f>IF($C$8&gt;0, R588/$C$8, 0)</f>
        <v/>
      </c>
      <c r="T588" s="85">
        <f>IF(O588&gt;0, Q588/O588, 0)</f>
        <v/>
      </c>
      <c r="U588" s="18">
        <f>IF(Q588=0, "Exceeds Limit", IF(P588&lt;=O588, "Weight Limited", "Volume Limited"))</f>
        <v/>
      </c>
      <c r="V588" s="100">
        <f>B588&amp;"|"&amp;D588&amp;"|"&amp;F588</f>
        <v/>
      </c>
    </row>
    <row r="589" ht="19" customHeight="1">
      <c r="A589" s="93" t="n">
        <v>579</v>
      </c>
      <c r="B589" s="101" t="inlineStr">
        <is>
          <t>Stainless Steel 304</t>
        </is>
      </c>
      <c r="C589" s="13" t="inlineStr">
        <is>
          <t>ASME B36.19M / B36.10M</t>
        </is>
      </c>
      <c r="D589" s="12" t="inlineStr">
        <is>
          <t>8''</t>
        </is>
      </c>
      <c r="E589" s="93" t="n">
        <v>200</v>
      </c>
      <c r="F589" s="12" t="inlineStr">
        <is>
          <t>10S</t>
        </is>
      </c>
      <c r="G589" s="14" t="n">
        <v>8.625</v>
      </c>
      <c r="H589" s="78" t="n">
        <v>219.07</v>
      </c>
      <c r="I589" s="14" t="n">
        <v>0.148</v>
      </c>
      <c r="J589" s="78" t="n">
        <v>3.76</v>
      </c>
      <c r="K589" s="14">
        <f>ROUND((H589-J589)*J589*IF(B589="Carbon Steel",$K$7,IF(B589="Stainless Steel 304",$K$8,$L$8)), 3)</f>
        <v/>
      </c>
      <c r="L589" s="78">
        <f>ROUND(K589*$G$5, 2)</f>
        <v/>
      </c>
      <c r="M589" s="93">
        <f>INT($G$6/H589)</f>
        <v/>
      </c>
      <c r="N589" s="93">
        <f>IF(M589=0, 0, IF(OR($K$6="Square Grid", M589=1), INT($G$7/H589), IF($G$7&lt;H589, 0, 1+INT(($G$7-H589)/(0.8660254*H589)))))</f>
        <v/>
      </c>
      <c r="O589" s="59">
        <f>IF(OR(M589=0,N589=0), 0, IF(OR($K$6="Square Grid", M589=1), M589*N589*$K$5, (INT((N589+1)/2)*M589 + INT(N589/2)*IF(($G$6-M589*H589)&gt;=0.5*H589, M589, M589-1))*$K$5))</f>
        <v/>
      </c>
      <c r="P589" s="59">
        <f>IF(L589&lt;=0, 0, INT($G$8/L589))</f>
        <v/>
      </c>
      <c r="Q589" s="95">
        <f>MIN(O589, P589)</f>
        <v/>
      </c>
      <c r="R589" s="96">
        <f>ROUND((Q589*L589)/1000, 2)</f>
        <v/>
      </c>
      <c r="S589" s="79">
        <f>IF($C$8&gt;0, R589/$C$8, 0)</f>
        <v/>
      </c>
      <c r="T589" s="79">
        <f>IF(O589&gt;0, Q589/O589, 0)</f>
        <v/>
      </c>
      <c r="U589" s="12">
        <f>IF(Q589=0, "Exceeds Limit", IF(P589&lt;=O589, "Weight Limited", "Volume Limited"))</f>
        <v/>
      </c>
      <c r="V589" s="97">
        <f>B589&amp;"|"&amp;D589&amp;"|"&amp;F589</f>
        <v/>
      </c>
    </row>
    <row r="590" ht="19" customHeight="1">
      <c r="A590" s="98" t="n">
        <v>580</v>
      </c>
      <c r="B590" s="102" t="inlineStr">
        <is>
          <t>Stainless Steel 304</t>
        </is>
      </c>
      <c r="C590" s="19" t="inlineStr">
        <is>
          <t>ASME B36.19M / B36.10M</t>
        </is>
      </c>
      <c r="D590" s="18" t="inlineStr">
        <is>
          <t>8''</t>
        </is>
      </c>
      <c r="E590" s="98" t="n">
        <v>200</v>
      </c>
      <c r="F590" s="18" t="inlineStr">
        <is>
          <t>10</t>
        </is>
      </c>
      <c r="G590" s="20" t="n">
        <v>8.625</v>
      </c>
      <c r="H590" s="82" t="n">
        <v>219.07</v>
      </c>
      <c r="I590" s="20" t="n">
        <v>0.148</v>
      </c>
      <c r="J590" s="82" t="n">
        <v>3.76</v>
      </c>
      <c r="K590" s="20">
        <f>ROUND((H590-J590)*J590*IF(B590="Carbon Steel",$K$7,IF(B590="Stainless Steel 304",$K$8,$L$8)), 3)</f>
        <v/>
      </c>
      <c r="L590" s="82">
        <f>ROUND(K590*$G$5, 2)</f>
        <v/>
      </c>
      <c r="M590" s="98">
        <f>INT($G$6/H590)</f>
        <v/>
      </c>
      <c r="N590" s="98">
        <f>IF(M590=0, 0, IF(OR($K$6="Square Grid", M590=1), INT($G$7/H590), IF($G$7&lt;H590, 0, 1+INT(($G$7-H590)/(0.8660254*H590)))))</f>
        <v/>
      </c>
      <c r="O590" s="84">
        <f>IF(OR(M590=0,N590=0), 0, IF(OR($K$6="Square Grid", M590=1), M590*N590*$K$5, (INT((N590+1)/2)*M590 + INT(N590/2)*IF(($G$6-M590*H590)&gt;=0.5*H590, M590, M590-1))*$K$5))</f>
        <v/>
      </c>
      <c r="P590" s="84">
        <f>IF(L590&lt;=0, 0, INT($G$8/L590))</f>
        <v/>
      </c>
      <c r="Q590" s="95">
        <f>MIN(O590, P590)</f>
        <v/>
      </c>
      <c r="R590" s="96">
        <f>ROUND((Q590*L590)/1000, 2)</f>
        <v/>
      </c>
      <c r="S590" s="85">
        <f>IF($C$8&gt;0, R590/$C$8, 0)</f>
        <v/>
      </c>
      <c r="T590" s="85">
        <f>IF(O590&gt;0, Q590/O590, 0)</f>
        <v/>
      </c>
      <c r="U590" s="18">
        <f>IF(Q590=0, "Exceeds Limit", IF(P590&lt;=O590, "Weight Limited", "Volume Limited"))</f>
        <v/>
      </c>
      <c r="V590" s="100">
        <f>B590&amp;"|"&amp;D590&amp;"|"&amp;F590</f>
        <v/>
      </c>
    </row>
    <row r="591" ht="19" customHeight="1">
      <c r="A591" s="93" t="n">
        <v>581</v>
      </c>
      <c r="B591" s="101" t="inlineStr">
        <is>
          <t>Stainless Steel 304</t>
        </is>
      </c>
      <c r="C591" s="13" t="inlineStr">
        <is>
          <t>ASME B36.19M / B36.10M</t>
        </is>
      </c>
      <c r="D591" s="12" t="inlineStr">
        <is>
          <t>8''</t>
        </is>
      </c>
      <c r="E591" s="93" t="n">
        <v>200</v>
      </c>
      <c r="F591" s="12" t="inlineStr">
        <is>
          <t>20</t>
        </is>
      </c>
      <c r="G591" s="14" t="n">
        <v>8.625</v>
      </c>
      <c r="H591" s="78" t="n">
        <v>219.07</v>
      </c>
      <c r="I591" s="14" t="n">
        <v>0.25</v>
      </c>
      <c r="J591" s="78" t="n">
        <v>6.35</v>
      </c>
      <c r="K591" s="14">
        <f>ROUND((H591-J591)*J591*IF(B591="Carbon Steel",$K$7,IF(B591="Stainless Steel 304",$K$8,$L$8)), 3)</f>
        <v/>
      </c>
      <c r="L591" s="78">
        <f>ROUND(K591*$G$5, 2)</f>
        <v/>
      </c>
      <c r="M591" s="93">
        <f>INT($G$6/H591)</f>
        <v/>
      </c>
      <c r="N591" s="93">
        <f>IF(M591=0, 0, IF(OR($K$6="Square Grid", M591=1), INT($G$7/H591), IF($G$7&lt;H591, 0, 1+INT(($G$7-H591)/(0.8660254*H591)))))</f>
        <v/>
      </c>
      <c r="O591" s="59">
        <f>IF(OR(M591=0,N591=0), 0, IF(OR($K$6="Square Grid", M591=1), M591*N591*$K$5, (INT((N591+1)/2)*M591 + INT(N591/2)*IF(($G$6-M591*H591)&gt;=0.5*H591, M591, M591-1))*$K$5))</f>
        <v/>
      </c>
      <c r="P591" s="59">
        <f>IF(L591&lt;=0, 0, INT($G$8/L591))</f>
        <v/>
      </c>
      <c r="Q591" s="95">
        <f>MIN(O591, P591)</f>
        <v/>
      </c>
      <c r="R591" s="96">
        <f>ROUND((Q591*L591)/1000, 2)</f>
        <v/>
      </c>
      <c r="S591" s="79">
        <f>IF($C$8&gt;0, R591/$C$8, 0)</f>
        <v/>
      </c>
      <c r="T591" s="79">
        <f>IF(O591&gt;0, Q591/O591, 0)</f>
        <v/>
      </c>
      <c r="U591" s="12">
        <f>IF(Q591=0, "Exceeds Limit", IF(P591&lt;=O591, "Weight Limited", "Volume Limited"))</f>
        <v/>
      </c>
      <c r="V591" s="97">
        <f>B591&amp;"|"&amp;D591&amp;"|"&amp;F591</f>
        <v/>
      </c>
    </row>
    <row r="592" ht="19" customHeight="1">
      <c r="A592" s="98" t="n">
        <v>582</v>
      </c>
      <c r="B592" s="102" t="inlineStr">
        <is>
          <t>Stainless Steel 304</t>
        </is>
      </c>
      <c r="C592" s="19" t="inlineStr">
        <is>
          <t>ASME B36.19M / B36.10M</t>
        </is>
      </c>
      <c r="D592" s="18" t="inlineStr">
        <is>
          <t>8''</t>
        </is>
      </c>
      <c r="E592" s="98" t="n">
        <v>200</v>
      </c>
      <c r="F592" s="18" t="inlineStr">
        <is>
          <t>30</t>
        </is>
      </c>
      <c r="G592" s="20" t="n">
        <v>8.625</v>
      </c>
      <c r="H592" s="82" t="n">
        <v>219.07</v>
      </c>
      <c r="I592" s="20" t="n">
        <v>0.277</v>
      </c>
      <c r="J592" s="82" t="n">
        <v>7.04</v>
      </c>
      <c r="K592" s="20">
        <f>ROUND((H592-J592)*J592*IF(B592="Carbon Steel",$K$7,IF(B592="Stainless Steel 304",$K$8,$L$8)), 3)</f>
        <v/>
      </c>
      <c r="L592" s="82">
        <f>ROUND(K592*$G$5, 2)</f>
        <v/>
      </c>
      <c r="M592" s="98">
        <f>INT($G$6/H592)</f>
        <v/>
      </c>
      <c r="N592" s="98">
        <f>IF(M592=0, 0, IF(OR($K$6="Square Grid", M592=1), INT($G$7/H592), IF($G$7&lt;H592, 0, 1+INT(($G$7-H592)/(0.8660254*H592)))))</f>
        <v/>
      </c>
      <c r="O592" s="84">
        <f>IF(OR(M592=0,N592=0), 0, IF(OR($K$6="Square Grid", M592=1), M592*N592*$K$5, (INT((N592+1)/2)*M592 + INT(N592/2)*IF(($G$6-M592*H592)&gt;=0.5*H592, M592, M592-1))*$K$5))</f>
        <v/>
      </c>
      <c r="P592" s="84">
        <f>IF(L592&lt;=0, 0, INT($G$8/L592))</f>
        <v/>
      </c>
      <c r="Q592" s="95">
        <f>MIN(O592, P592)</f>
        <v/>
      </c>
      <c r="R592" s="96">
        <f>ROUND((Q592*L592)/1000, 2)</f>
        <v/>
      </c>
      <c r="S592" s="85">
        <f>IF($C$8&gt;0, R592/$C$8, 0)</f>
        <v/>
      </c>
      <c r="T592" s="85">
        <f>IF(O592&gt;0, Q592/O592, 0)</f>
        <v/>
      </c>
      <c r="U592" s="18">
        <f>IF(Q592=0, "Exceeds Limit", IF(P592&lt;=O592, "Weight Limited", "Volume Limited"))</f>
        <v/>
      </c>
      <c r="V592" s="100">
        <f>B592&amp;"|"&amp;D592&amp;"|"&amp;F592</f>
        <v/>
      </c>
    </row>
    <row r="593" ht="19" customHeight="1">
      <c r="A593" s="93" t="n">
        <v>583</v>
      </c>
      <c r="B593" s="101" t="inlineStr">
        <is>
          <t>Stainless Steel 304</t>
        </is>
      </c>
      <c r="C593" s="13" t="inlineStr">
        <is>
          <t>ASME B36.19M / B36.10M</t>
        </is>
      </c>
      <c r="D593" s="12" t="inlineStr">
        <is>
          <t>8''</t>
        </is>
      </c>
      <c r="E593" s="93" t="n">
        <v>200</v>
      </c>
      <c r="F593" s="12" t="inlineStr">
        <is>
          <t>40S</t>
        </is>
      </c>
      <c r="G593" s="14" t="n">
        <v>8.625</v>
      </c>
      <c r="H593" s="78" t="n">
        <v>219.07</v>
      </c>
      <c r="I593" s="14" t="n">
        <v>0.322</v>
      </c>
      <c r="J593" s="78" t="n">
        <v>8.18</v>
      </c>
      <c r="K593" s="14">
        <f>ROUND((H593-J593)*J593*IF(B593="Carbon Steel",$K$7,IF(B593="Stainless Steel 304",$K$8,$L$8)), 3)</f>
        <v/>
      </c>
      <c r="L593" s="78">
        <f>ROUND(K593*$G$5, 2)</f>
        <v/>
      </c>
      <c r="M593" s="93">
        <f>INT($G$6/H593)</f>
        <v/>
      </c>
      <c r="N593" s="93">
        <f>IF(M593=0, 0, IF(OR($K$6="Square Grid", M593=1), INT($G$7/H593), IF($G$7&lt;H593, 0, 1+INT(($G$7-H593)/(0.8660254*H593)))))</f>
        <v/>
      </c>
      <c r="O593" s="59">
        <f>IF(OR(M593=0,N593=0), 0, IF(OR($K$6="Square Grid", M593=1), M593*N593*$K$5, (INT((N593+1)/2)*M593 + INT(N593/2)*IF(($G$6-M593*H593)&gt;=0.5*H593, M593, M593-1))*$K$5))</f>
        <v/>
      </c>
      <c r="P593" s="59">
        <f>IF(L593&lt;=0, 0, INT($G$8/L593))</f>
        <v/>
      </c>
      <c r="Q593" s="95">
        <f>MIN(O593, P593)</f>
        <v/>
      </c>
      <c r="R593" s="96">
        <f>ROUND((Q593*L593)/1000, 2)</f>
        <v/>
      </c>
      <c r="S593" s="79">
        <f>IF($C$8&gt;0, R593/$C$8, 0)</f>
        <v/>
      </c>
      <c r="T593" s="79">
        <f>IF(O593&gt;0, Q593/O593, 0)</f>
        <v/>
      </c>
      <c r="U593" s="12">
        <f>IF(Q593=0, "Exceeds Limit", IF(P593&lt;=O593, "Weight Limited", "Volume Limited"))</f>
        <v/>
      </c>
      <c r="V593" s="97">
        <f>B593&amp;"|"&amp;D593&amp;"|"&amp;F593</f>
        <v/>
      </c>
    </row>
    <row r="594" ht="19" customHeight="1">
      <c r="A594" s="98" t="n">
        <v>584</v>
      </c>
      <c r="B594" s="102" t="inlineStr">
        <is>
          <t>Stainless Steel 304</t>
        </is>
      </c>
      <c r="C594" s="19" t="inlineStr">
        <is>
          <t>ASME B36.19M / B36.10M</t>
        </is>
      </c>
      <c r="D594" s="18" t="inlineStr">
        <is>
          <t>8''</t>
        </is>
      </c>
      <c r="E594" s="98" t="n">
        <v>200</v>
      </c>
      <c r="F594" s="18" t="inlineStr">
        <is>
          <t>STD</t>
        </is>
      </c>
      <c r="G594" s="20" t="n">
        <v>8.625</v>
      </c>
      <c r="H594" s="82" t="n">
        <v>219.07</v>
      </c>
      <c r="I594" s="20" t="n">
        <v>0.322</v>
      </c>
      <c r="J594" s="82" t="n">
        <v>8.18</v>
      </c>
      <c r="K594" s="20">
        <f>ROUND((H594-J594)*J594*IF(B594="Carbon Steel",$K$7,IF(B594="Stainless Steel 304",$K$8,$L$8)), 3)</f>
        <v/>
      </c>
      <c r="L594" s="82">
        <f>ROUND(K594*$G$5, 2)</f>
        <v/>
      </c>
      <c r="M594" s="98">
        <f>INT($G$6/H594)</f>
        <v/>
      </c>
      <c r="N594" s="98">
        <f>IF(M594=0, 0, IF(OR($K$6="Square Grid", M594=1), INT($G$7/H594), IF($G$7&lt;H594, 0, 1+INT(($G$7-H594)/(0.8660254*H594)))))</f>
        <v/>
      </c>
      <c r="O594" s="84">
        <f>IF(OR(M594=0,N594=0), 0, IF(OR($K$6="Square Grid", M594=1), M594*N594*$K$5, (INT((N594+1)/2)*M594 + INT(N594/2)*IF(($G$6-M594*H594)&gt;=0.5*H594, M594, M594-1))*$K$5))</f>
        <v/>
      </c>
      <c r="P594" s="84">
        <f>IF(L594&lt;=0, 0, INT($G$8/L594))</f>
        <v/>
      </c>
      <c r="Q594" s="95">
        <f>MIN(O594, P594)</f>
        <v/>
      </c>
      <c r="R594" s="96">
        <f>ROUND((Q594*L594)/1000, 2)</f>
        <v/>
      </c>
      <c r="S594" s="85">
        <f>IF($C$8&gt;0, R594/$C$8, 0)</f>
        <v/>
      </c>
      <c r="T594" s="85">
        <f>IF(O594&gt;0, Q594/O594, 0)</f>
        <v/>
      </c>
      <c r="U594" s="18">
        <f>IF(Q594=0, "Exceeds Limit", IF(P594&lt;=O594, "Weight Limited", "Volume Limited"))</f>
        <v/>
      </c>
      <c r="V594" s="100">
        <f>B594&amp;"|"&amp;D594&amp;"|"&amp;F594</f>
        <v/>
      </c>
    </row>
    <row r="595" ht="19" customHeight="1">
      <c r="A595" s="93" t="n">
        <v>585</v>
      </c>
      <c r="B595" s="101" t="inlineStr">
        <is>
          <t>Stainless Steel 304</t>
        </is>
      </c>
      <c r="C595" s="13" t="inlineStr">
        <is>
          <t>ASME B36.19M / B36.10M</t>
        </is>
      </c>
      <c r="D595" s="12" t="inlineStr">
        <is>
          <t>8''</t>
        </is>
      </c>
      <c r="E595" s="93" t="n">
        <v>200</v>
      </c>
      <c r="F595" s="12" t="inlineStr">
        <is>
          <t>40</t>
        </is>
      </c>
      <c r="G595" s="14" t="n">
        <v>8.625</v>
      </c>
      <c r="H595" s="78" t="n">
        <v>219.07</v>
      </c>
      <c r="I595" s="14" t="n">
        <v>0.322</v>
      </c>
      <c r="J595" s="78" t="n">
        <v>8.18</v>
      </c>
      <c r="K595" s="14">
        <f>ROUND((H595-J595)*J595*IF(B595="Carbon Steel",$K$7,IF(B595="Stainless Steel 304",$K$8,$L$8)), 3)</f>
        <v/>
      </c>
      <c r="L595" s="78">
        <f>ROUND(K595*$G$5, 2)</f>
        <v/>
      </c>
      <c r="M595" s="93">
        <f>INT($G$6/H595)</f>
        <v/>
      </c>
      <c r="N595" s="93">
        <f>IF(M595=0, 0, IF(OR($K$6="Square Grid", M595=1), INT($G$7/H595), IF($G$7&lt;H595, 0, 1+INT(($G$7-H595)/(0.8660254*H595)))))</f>
        <v/>
      </c>
      <c r="O595" s="59">
        <f>IF(OR(M595=0,N595=0), 0, IF(OR($K$6="Square Grid", M595=1), M595*N595*$K$5, (INT((N595+1)/2)*M595 + INT(N595/2)*IF(($G$6-M595*H595)&gt;=0.5*H595, M595, M595-1))*$K$5))</f>
        <v/>
      </c>
      <c r="P595" s="59">
        <f>IF(L595&lt;=0, 0, INT($G$8/L595))</f>
        <v/>
      </c>
      <c r="Q595" s="95">
        <f>MIN(O595, P595)</f>
        <v/>
      </c>
      <c r="R595" s="96">
        <f>ROUND((Q595*L595)/1000, 2)</f>
        <v/>
      </c>
      <c r="S595" s="79">
        <f>IF($C$8&gt;0, R595/$C$8, 0)</f>
        <v/>
      </c>
      <c r="T595" s="79">
        <f>IF(O595&gt;0, Q595/O595, 0)</f>
        <v/>
      </c>
      <c r="U595" s="12">
        <f>IF(Q595=0, "Exceeds Limit", IF(P595&lt;=O595, "Weight Limited", "Volume Limited"))</f>
        <v/>
      </c>
      <c r="V595" s="97">
        <f>B595&amp;"|"&amp;D595&amp;"|"&amp;F595</f>
        <v/>
      </c>
    </row>
    <row r="596" ht="19" customHeight="1">
      <c r="A596" s="98" t="n">
        <v>586</v>
      </c>
      <c r="B596" s="102" t="inlineStr">
        <is>
          <t>Stainless Steel 304</t>
        </is>
      </c>
      <c r="C596" s="19" t="inlineStr">
        <is>
          <t>ASME B36.19M / B36.10M</t>
        </is>
      </c>
      <c r="D596" s="18" t="inlineStr">
        <is>
          <t>8''</t>
        </is>
      </c>
      <c r="E596" s="98" t="n">
        <v>200</v>
      </c>
      <c r="F596" s="18" t="inlineStr">
        <is>
          <t>60</t>
        </is>
      </c>
      <c r="G596" s="20" t="n">
        <v>8.625</v>
      </c>
      <c r="H596" s="82" t="n">
        <v>219.07</v>
      </c>
      <c r="I596" s="20" t="n">
        <v>0.406</v>
      </c>
      <c r="J596" s="82" t="n">
        <v>10.31</v>
      </c>
      <c r="K596" s="20">
        <f>ROUND((H596-J596)*J596*IF(B596="Carbon Steel",$K$7,IF(B596="Stainless Steel 304",$K$8,$L$8)), 3)</f>
        <v/>
      </c>
      <c r="L596" s="82">
        <f>ROUND(K596*$G$5, 2)</f>
        <v/>
      </c>
      <c r="M596" s="98">
        <f>INT($G$6/H596)</f>
        <v/>
      </c>
      <c r="N596" s="98">
        <f>IF(M596=0, 0, IF(OR($K$6="Square Grid", M596=1), INT($G$7/H596), IF($G$7&lt;H596, 0, 1+INT(($G$7-H596)/(0.8660254*H596)))))</f>
        <v/>
      </c>
      <c r="O596" s="84">
        <f>IF(OR(M596=0,N596=0), 0, IF(OR($K$6="Square Grid", M596=1), M596*N596*$K$5, (INT((N596+1)/2)*M596 + INT(N596/2)*IF(($G$6-M596*H596)&gt;=0.5*H596, M596, M596-1))*$K$5))</f>
        <v/>
      </c>
      <c r="P596" s="84">
        <f>IF(L596&lt;=0, 0, INT($G$8/L596))</f>
        <v/>
      </c>
      <c r="Q596" s="95">
        <f>MIN(O596, P596)</f>
        <v/>
      </c>
      <c r="R596" s="96">
        <f>ROUND((Q596*L596)/1000, 2)</f>
        <v/>
      </c>
      <c r="S596" s="85">
        <f>IF($C$8&gt;0, R596/$C$8, 0)</f>
        <v/>
      </c>
      <c r="T596" s="85">
        <f>IF(O596&gt;0, Q596/O596, 0)</f>
        <v/>
      </c>
      <c r="U596" s="18">
        <f>IF(Q596=0, "Exceeds Limit", IF(P596&lt;=O596, "Weight Limited", "Volume Limited"))</f>
        <v/>
      </c>
      <c r="V596" s="100">
        <f>B596&amp;"|"&amp;D596&amp;"|"&amp;F596</f>
        <v/>
      </c>
    </row>
    <row r="597" ht="19" customHeight="1">
      <c r="A597" s="93" t="n">
        <v>587</v>
      </c>
      <c r="B597" s="101" t="inlineStr">
        <is>
          <t>Stainless Steel 304</t>
        </is>
      </c>
      <c r="C597" s="13" t="inlineStr">
        <is>
          <t>ASME B36.19M / B36.10M</t>
        </is>
      </c>
      <c r="D597" s="12" t="inlineStr">
        <is>
          <t>8''</t>
        </is>
      </c>
      <c r="E597" s="93" t="n">
        <v>200</v>
      </c>
      <c r="F597" s="12" t="inlineStr">
        <is>
          <t>80S</t>
        </is>
      </c>
      <c r="G597" s="14" t="n">
        <v>8.625</v>
      </c>
      <c r="H597" s="78" t="n">
        <v>219.07</v>
      </c>
      <c r="I597" s="14" t="n">
        <v>0.5</v>
      </c>
      <c r="J597" s="78" t="n">
        <v>12.7</v>
      </c>
      <c r="K597" s="14">
        <f>ROUND((H597-J597)*J597*IF(B597="Carbon Steel",$K$7,IF(B597="Stainless Steel 304",$K$8,$L$8)), 3)</f>
        <v/>
      </c>
      <c r="L597" s="78">
        <f>ROUND(K597*$G$5, 2)</f>
        <v/>
      </c>
      <c r="M597" s="93">
        <f>INT($G$6/H597)</f>
        <v/>
      </c>
      <c r="N597" s="93">
        <f>IF(M597=0, 0, IF(OR($K$6="Square Grid", M597=1), INT($G$7/H597), IF($G$7&lt;H597, 0, 1+INT(($G$7-H597)/(0.8660254*H597)))))</f>
        <v/>
      </c>
      <c r="O597" s="59">
        <f>IF(OR(M597=0,N597=0), 0, IF(OR($K$6="Square Grid", M597=1), M597*N597*$K$5, (INT((N597+1)/2)*M597 + INT(N597/2)*IF(($G$6-M597*H597)&gt;=0.5*H597, M597, M597-1))*$K$5))</f>
        <v/>
      </c>
      <c r="P597" s="59">
        <f>IF(L597&lt;=0, 0, INT($G$8/L597))</f>
        <v/>
      </c>
      <c r="Q597" s="95">
        <f>MIN(O597, P597)</f>
        <v/>
      </c>
      <c r="R597" s="96">
        <f>ROUND((Q597*L597)/1000, 2)</f>
        <v/>
      </c>
      <c r="S597" s="79">
        <f>IF($C$8&gt;0, R597/$C$8, 0)</f>
        <v/>
      </c>
      <c r="T597" s="79">
        <f>IF(O597&gt;0, Q597/O597, 0)</f>
        <v/>
      </c>
      <c r="U597" s="12">
        <f>IF(Q597=0, "Exceeds Limit", IF(P597&lt;=O597, "Weight Limited", "Volume Limited"))</f>
        <v/>
      </c>
      <c r="V597" s="97">
        <f>B597&amp;"|"&amp;D597&amp;"|"&amp;F597</f>
        <v/>
      </c>
    </row>
    <row r="598" ht="19" customHeight="1">
      <c r="A598" s="98" t="n">
        <v>588</v>
      </c>
      <c r="B598" s="102" t="inlineStr">
        <is>
          <t>Stainless Steel 304</t>
        </is>
      </c>
      <c r="C598" s="19" t="inlineStr">
        <is>
          <t>ASME B36.19M / B36.10M</t>
        </is>
      </c>
      <c r="D598" s="18" t="inlineStr">
        <is>
          <t>8''</t>
        </is>
      </c>
      <c r="E598" s="98" t="n">
        <v>200</v>
      </c>
      <c r="F598" s="18" t="inlineStr">
        <is>
          <t>XS</t>
        </is>
      </c>
      <c r="G598" s="20" t="n">
        <v>8.625</v>
      </c>
      <c r="H598" s="82" t="n">
        <v>219.07</v>
      </c>
      <c r="I598" s="20" t="n">
        <v>0.5</v>
      </c>
      <c r="J598" s="82" t="n">
        <v>12.7</v>
      </c>
      <c r="K598" s="20">
        <f>ROUND((H598-J598)*J598*IF(B598="Carbon Steel",$K$7,IF(B598="Stainless Steel 304",$K$8,$L$8)), 3)</f>
        <v/>
      </c>
      <c r="L598" s="82">
        <f>ROUND(K598*$G$5, 2)</f>
        <v/>
      </c>
      <c r="M598" s="98">
        <f>INT($G$6/H598)</f>
        <v/>
      </c>
      <c r="N598" s="98">
        <f>IF(M598=0, 0, IF(OR($K$6="Square Grid", M598=1), INT($G$7/H598), IF($G$7&lt;H598, 0, 1+INT(($G$7-H598)/(0.8660254*H598)))))</f>
        <v/>
      </c>
      <c r="O598" s="84">
        <f>IF(OR(M598=0,N598=0), 0, IF(OR($K$6="Square Grid", M598=1), M598*N598*$K$5, (INT((N598+1)/2)*M598 + INT(N598/2)*IF(($G$6-M598*H598)&gt;=0.5*H598, M598, M598-1))*$K$5))</f>
        <v/>
      </c>
      <c r="P598" s="84">
        <f>IF(L598&lt;=0, 0, INT($G$8/L598))</f>
        <v/>
      </c>
      <c r="Q598" s="95">
        <f>MIN(O598, P598)</f>
        <v/>
      </c>
      <c r="R598" s="96">
        <f>ROUND((Q598*L598)/1000, 2)</f>
        <v/>
      </c>
      <c r="S598" s="85">
        <f>IF($C$8&gt;0, R598/$C$8, 0)</f>
        <v/>
      </c>
      <c r="T598" s="85">
        <f>IF(O598&gt;0, Q598/O598, 0)</f>
        <v/>
      </c>
      <c r="U598" s="18">
        <f>IF(Q598=0, "Exceeds Limit", IF(P598&lt;=O598, "Weight Limited", "Volume Limited"))</f>
        <v/>
      </c>
      <c r="V598" s="100">
        <f>B598&amp;"|"&amp;D598&amp;"|"&amp;F598</f>
        <v/>
      </c>
    </row>
    <row r="599" ht="19" customHeight="1">
      <c r="A599" s="93" t="n">
        <v>589</v>
      </c>
      <c r="B599" s="101" t="inlineStr">
        <is>
          <t>Stainless Steel 304</t>
        </is>
      </c>
      <c r="C599" s="13" t="inlineStr">
        <is>
          <t>ASME B36.19M / B36.10M</t>
        </is>
      </c>
      <c r="D599" s="12" t="inlineStr">
        <is>
          <t>8''</t>
        </is>
      </c>
      <c r="E599" s="93" t="n">
        <v>200</v>
      </c>
      <c r="F599" s="12" t="inlineStr">
        <is>
          <t>80</t>
        </is>
      </c>
      <c r="G599" s="14" t="n">
        <v>8.625</v>
      </c>
      <c r="H599" s="78" t="n">
        <v>219.07</v>
      </c>
      <c r="I599" s="14" t="n">
        <v>0.5</v>
      </c>
      <c r="J599" s="78" t="n">
        <v>12.7</v>
      </c>
      <c r="K599" s="14">
        <f>ROUND((H599-J599)*J599*IF(B599="Carbon Steel",$K$7,IF(B599="Stainless Steel 304",$K$8,$L$8)), 3)</f>
        <v/>
      </c>
      <c r="L599" s="78">
        <f>ROUND(K599*$G$5, 2)</f>
        <v/>
      </c>
      <c r="M599" s="93">
        <f>INT($G$6/H599)</f>
        <v/>
      </c>
      <c r="N599" s="93">
        <f>IF(M599=0, 0, IF(OR($K$6="Square Grid", M599=1), INT($G$7/H599), IF($G$7&lt;H599, 0, 1+INT(($G$7-H599)/(0.8660254*H599)))))</f>
        <v/>
      </c>
      <c r="O599" s="59">
        <f>IF(OR(M599=0,N599=0), 0, IF(OR($K$6="Square Grid", M599=1), M599*N599*$K$5, (INT((N599+1)/2)*M599 + INT(N599/2)*IF(($G$6-M599*H599)&gt;=0.5*H599, M599, M599-1))*$K$5))</f>
        <v/>
      </c>
      <c r="P599" s="59">
        <f>IF(L599&lt;=0, 0, INT($G$8/L599))</f>
        <v/>
      </c>
      <c r="Q599" s="95">
        <f>MIN(O599, P599)</f>
        <v/>
      </c>
      <c r="R599" s="96">
        <f>ROUND((Q599*L599)/1000, 2)</f>
        <v/>
      </c>
      <c r="S599" s="79">
        <f>IF($C$8&gt;0, R599/$C$8, 0)</f>
        <v/>
      </c>
      <c r="T599" s="79">
        <f>IF(O599&gt;0, Q599/O599, 0)</f>
        <v/>
      </c>
      <c r="U599" s="12">
        <f>IF(Q599=0, "Exceeds Limit", IF(P599&lt;=O599, "Weight Limited", "Volume Limited"))</f>
        <v/>
      </c>
      <c r="V599" s="97">
        <f>B599&amp;"|"&amp;D599&amp;"|"&amp;F599</f>
        <v/>
      </c>
    </row>
    <row r="600" ht="19" customHeight="1">
      <c r="A600" s="98" t="n">
        <v>590</v>
      </c>
      <c r="B600" s="102" t="inlineStr">
        <is>
          <t>Stainless Steel 304</t>
        </is>
      </c>
      <c r="C600" s="19" t="inlineStr">
        <is>
          <t>ASME B36.19M / B36.10M</t>
        </is>
      </c>
      <c r="D600" s="18" t="inlineStr">
        <is>
          <t>8''</t>
        </is>
      </c>
      <c r="E600" s="98" t="n">
        <v>200</v>
      </c>
      <c r="F600" s="18" t="inlineStr">
        <is>
          <t>100</t>
        </is>
      </c>
      <c r="G600" s="20" t="n">
        <v>8.625</v>
      </c>
      <c r="H600" s="82" t="n">
        <v>219.07</v>
      </c>
      <c r="I600" s="20" t="n">
        <v>0.594</v>
      </c>
      <c r="J600" s="82" t="n">
        <v>15.09</v>
      </c>
      <c r="K600" s="20">
        <f>ROUND((H600-J600)*J600*IF(B600="Carbon Steel",$K$7,IF(B600="Stainless Steel 304",$K$8,$L$8)), 3)</f>
        <v/>
      </c>
      <c r="L600" s="82">
        <f>ROUND(K600*$G$5, 2)</f>
        <v/>
      </c>
      <c r="M600" s="98">
        <f>INT($G$6/H600)</f>
        <v/>
      </c>
      <c r="N600" s="98">
        <f>IF(M600=0, 0, IF(OR($K$6="Square Grid", M600=1), INT($G$7/H600), IF($G$7&lt;H600, 0, 1+INT(($G$7-H600)/(0.8660254*H600)))))</f>
        <v/>
      </c>
      <c r="O600" s="84">
        <f>IF(OR(M600=0,N600=0), 0, IF(OR($K$6="Square Grid", M600=1), M600*N600*$K$5, (INT((N600+1)/2)*M600 + INT(N600/2)*IF(($G$6-M600*H600)&gt;=0.5*H600, M600, M600-1))*$K$5))</f>
        <v/>
      </c>
      <c r="P600" s="84">
        <f>IF(L600&lt;=0, 0, INT($G$8/L600))</f>
        <v/>
      </c>
      <c r="Q600" s="95">
        <f>MIN(O600, P600)</f>
        <v/>
      </c>
      <c r="R600" s="96">
        <f>ROUND((Q600*L600)/1000, 2)</f>
        <v/>
      </c>
      <c r="S600" s="85">
        <f>IF($C$8&gt;0, R600/$C$8, 0)</f>
        <v/>
      </c>
      <c r="T600" s="85">
        <f>IF(O600&gt;0, Q600/O600, 0)</f>
        <v/>
      </c>
      <c r="U600" s="18">
        <f>IF(Q600=0, "Exceeds Limit", IF(P600&lt;=O600, "Weight Limited", "Volume Limited"))</f>
        <v/>
      </c>
      <c r="V600" s="100">
        <f>B600&amp;"|"&amp;D600&amp;"|"&amp;F600</f>
        <v/>
      </c>
    </row>
    <row r="601" ht="19" customHeight="1">
      <c r="A601" s="93" t="n">
        <v>591</v>
      </c>
      <c r="B601" s="101" t="inlineStr">
        <is>
          <t>Stainless Steel 304</t>
        </is>
      </c>
      <c r="C601" s="13" t="inlineStr">
        <is>
          <t>ASME B36.19M / B36.10M</t>
        </is>
      </c>
      <c r="D601" s="12" t="inlineStr">
        <is>
          <t>8''</t>
        </is>
      </c>
      <c r="E601" s="93" t="n">
        <v>200</v>
      </c>
      <c r="F601" s="12" t="inlineStr">
        <is>
          <t>120</t>
        </is>
      </c>
      <c r="G601" s="14" t="n">
        <v>8.625</v>
      </c>
      <c r="H601" s="78" t="n">
        <v>219.07</v>
      </c>
      <c r="I601" s="14" t="n">
        <v>0.719</v>
      </c>
      <c r="J601" s="78" t="n">
        <v>18.26</v>
      </c>
      <c r="K601" s="14">
        <f>ROUND((H601-J601)*J601*IF(B601="Carbon Steel",$K$7,IF(B601="Stainless Steel 304",$K$8,$L$8)), 3)</f>
        <v/>
      </c>
      <c r="L601" s="78">
        <f>ROUND(K601*$G$5, 2)</f>
        <v/>
      </c>
      <c r="M601" s="93">
        <f>INT($G$6/H601)</f>
        <v/>
      </c>
      <c r="N601" s="93">
        <f>IF(M601=0, 0, IF(OR($K$6="Square Grid", M601=1), INT($G$7/H601), IF($G$7&lt;H601, 0, 1+INT(($G$7-H601)/(0.8660254*H601)))))</f>
        <v/>
      </c>
      <c r="O601" s="59">
        <f>IF(OR(M601=0,N601=0), 0, IF(OR($K$6="Square Grid", M601=1), M601*N601*$K$5, (INT((N601+1)/2)*M601 + INT(N601/2)*IF(($G$6-M601*H601)&gt;=0.5*H601, M601, M601-1))*$K$5))</f>
        <v/>
      </c>
      <c r="P601" s="59">
        <f>IF(L601&lt;=0, 0, INT($G$8/L601))</f>
        <v/>
      </c>
      <c r="Q601" s="95">
        <f>MIN(O601, P601)</f>
        <v/>
      </c>
      <c r="R601" s="96">
        <f>ROUND((Q601*L601)/1000, 2)</f>
        <v/>
      </c>
      <c r="S601" s="79">
        <f>IF($C$8&gt;0, R601/$C$8, 0)</f>
        <v/>
      </c>
      <c r="T601" s="79">
        <f>IF(O601&gt;0, Q601/O601, 0)</f>
        <v/>
      </c>
      <c r="U601" s="12">
        <f>IF(Q601=0, "Exceeds Limit", IF(P601&lt;=O601, "Weight Limited", "Volume Limited"))</f>
        <v/>
      </c>
      <c r="V601" s="97">
        <f>B601&amp;"|"&amp;D601&amp;"|"&amp;F601</f>
        <v/>
      </c>
    </row>
    <row r="602" ht="19" customHeight="1">
      <c r="A602" s="98" t="n">
        <v>592</v>
      </c>
      <c r="B602" s="102" t="inlineStr">
        <is>
          <t>Stainless Steel 304</t>
        </is>
      </c>
      <c r="C602" s="19" t="inlineStr">
        <is>
          <t>ASME B36.19M / B36.10M</t>
        </is>
      </c>
      <c r="D602" s="18" t="inlineStr">
        <is>
          <t>8''</t>
        </is>
      </c>
      <c r="E602" s="98" t="n">
        <v>200</v>
      </c>
      <c r="F602" s="18" t="inlineStr">
        <is>
          <t>140</t>
        </is>
      </c>
      <c r="G602" s="20" t="n">
        <v>8.625</v>
      </c>
      <c r="H602" s="82" t="n">
        <v>219.07</v>
      </c>
      <c r="I602" s="20" t="n">
        <v>0.8120000000000001</v>
      </c>
      <c r="J602" s="82" t="n">
        <v>20.62</v>
      </c>
      <c r="K602" s="20">
        <f>ROUND((H602-J602)*J602*IF(B602="Carbon Steel",$K$7,IF(B602="Stainless Steel 304",$K$8,$L$8)), 3)</f>
        <v/>
      </c>
      <c r="L602" s="82">
        <f>ROUND(K602*$G$5, 2)</f>
        <v/>
      </c>
      <c r="M602" s="98">
        <f>INT($G$6/H602)</f>
        <v/>
      </c>
      <c r="N602" s="98">
        <f>IF(M602=0, 0, IF(OR($K$6="Square Grid", M602=1), INT($G$7/H602), IF($G$7&lt;H602, 0, 1+INT(($G$7-H602)/(0.8660254*H602)))))</f>
        <v/>
      </c>
      <c r="O602" s="84">
        <f>IF(OR(M602=0,N602=0), 0, IF(OR($K$6="Square Grid", M602=1), M602*N602*$K$5, (INT((N602+1)/2)*M602 + INT(N602/2)*IF(($G$6-M602*H602)&gt;=0.5*H602, M602, M602-1))*$K$5))</f>
        <v/>
      </c>
      <c r="P602" s="84">
        <f>IF(L602&lt;=0, 0, INT($G$8/L602))</f>
        <v/>
      </c>
      <c r="Q602" s="95">
        <f>MIN(O602, P602)</f>
        <v/>
      </c>
      <c r="R602" s="96">
        <f>ROUND((Q602*L602)/1000, 2)</f>
        <v/>
      </c>
      <c r="S602" s="85">
        <f>IF($C$8&gt;0, R602/$C$8, 0)</f>
        <v/>
      </c>
      <c r="T602" s="85">
        <f>IF(O602&gt;0, Q602/O602, 0)</f>
        <v/>
      </c>
      <c r="U602" s="18">
        <f>IF(Q602=0, "Exceeds Limit", IF(P602&lt;=O602, "Weight Limited", "Volume Limited"))</f>
        <v/>
      </c>
      <c r="V602" s="100">
        <f>B602&amp;"|"&amp;D602&amp;"|"&amp;F602</f>
        <v/>
      </c>
    </row>
    <row r="603" ht="19" customHeight="1">
      <c r="A603" s="93" t="n">
        <v>593</v>
      </c>
      <c r="B603" s="101" t="inlineStr">
        <is>
          <t>Stainless Steel 304</t>
        </is>
      </c>
      <c r="C603" s="13" t="inlineStr">
        <is>
          <t>ASME B36.19M / B36.10M</t>
        </is>
      </c>
      <c r="D603" s="12" t="inlineStr">
        <is>
          <t>8''</t>
        </is>
      </c>
      <c r="E603" s="93" t="n">
        <v>200</v>
      </c>
      <c r="F603" s="12" t="inlineStr">
        <is>
          <t>160</t>
        </is>
      </c>
      <c r="G603" s="14" t="n">
        <v>8.625</v>
      </c>
      <c r="H603" s="78" t="n">
        <v>219.07</v>
      </c>
      <c r="I603" s="14" t="n">
        <v>0.906</v>
      </c>
      <c r="J603" s="78" t="n">
        <v>23.01</v>
      </c>
      <c r="K603" s="14">
        <f>ROUND((H603-J603)*J603*IF(B603="Carbon Steel",$K$7,IF(B603="Stainless Steel 304",$K$8,$L$8)), 3)</f>
        <v/>
      </c>
      <c r="L603" s="78">
        <f>ROUND(K603*$G$5, 2)</f>
        <v/>
      </c>
      <c r="M603" s="93">
        <f>INT($G$6/H603)</f>
        <v/>
      </c>
      <c r="N603" s="93">
        <f>IF(M603=0, 0, IF(OR($K$6="Square Grid", M603=1), INT($G$7/H603), IF($G$7&lt;H603, 0, 1+INT(($G$7-H603)/(0.8660254*H603)))))</f>
        <v/>
      </c>
      <c r="O603" s="59">
        <f>IF(OR(M603=0,N603=0), 0, IF(OR($K$6="Square Grid", M603=1), M603*N603*$K$5, (INT((N603+1)/2)*M603 + INT(N603/2)*IF(($G$6-M603*H603)&gt;=0.5*H603, M603, M603-1))*$K$5))</f>
        <v/>
      </c>
      <c r="P603" s="59">
        <f>IF(L603&lt;=0, 0, INT($G$8/L603))</f>
        <v/>
      </c>
      <c r="Q603" s="95">
        <f>MIN(O603, P603)</f>
        <v/>
      </c>
      <c r="R603" s="96">
        <f>ROUND((Q603*L603)/1000, 2)</f>
        <v/>
      </c>
      <c r="S603" s="79">
        <f>IF($C$8&gt;0, R603/$C$8, 0)</f>
        <v/>
      </c>
      <c r="T603" s="79">
        <f>IF(O603&gt;0, Q603/O603, 0)</f>
        <v/>
      </c>
      <c r="U603" s="12">
        <f>IF(Q603=0, "Exceeds Limit", IF(P603&lt;=O603, "Weight Limited", "Volume Limited"))</f>
        <v/>
      </c>
      <c r="V603" s="97">
        <f>B603&amp;"|"&amp;D603&amp;"|"&amp;F603</f>
        <v/>
      </c>
    </row>
    <row r="604" ht="19" customHeight="1">
      <c r="A604" s="98" t="n">
        <v>594</v>
      </c>
      <c r="B604" s="102" t="inlineStr">
        <is>
          <t>Stainless Steel 304</t>
        </is>
      </c>
      <c r="C604" s="19" t="inlineStr">
        <is>
          <t>ASME B36.19M / B36.10M</t>
        </is>
      </c>
      <c r="D604" s="18" t="inlineStr">
        <is>
          <t>8''</t>
        </is>
      </c>
      <c r="E604" s="98" t="n">
        <v>200</v>
      </c>
      <c r="F604" s="18" t="inlineStr">
        <is>
          <t>XXS</t>
        </is>
      </c>
      <c r="G604" s="20" t="n">
        <v>8.625</v>
      </c>
      <c r="H604" s="82" t="n">
        <v>219.07</v>
      </c>
      <c r="I604" s="20" t="n">
        <v>0.875</v>
      </c>
      <c r="J604" s="82" t="n">
        <v>22.22</v>
      </c>
      <c r="K604" s="20">
        <f>ROUND((H604-J604)*J604*IF(B604="Carbon Steel",$K$7,IF(B604="Stainless Steel 304",$K$8,$L$8)), 3)</f>
        <v/>
      </c>
      <c r="L604" s="82">
        <f>ROUND(K604*$G$5, 2)</f>
        <v/>
      </c>
      <c r="M604" s="98">
        <f>INT($G$6/H604)</f>
        <v/>
      </c>
      <c r="N604" s="98">
        <f>IF(M604=0, 0, IF(OR($K$6="Square Grid", M604=1), INT($G$7/H604), IF($G$7&lt;H604, 0, 1+INT(($G$7-H604)/(0.8660254*H604)))))</f>
        <v/>
      </c>
      <c r="O604" s="84">
        <f>IF(OR(M604=0,N604=0), 0, IF(OR($K$6="Square Grid", M604=1), M604*N604*$K$5, (INT((N604+1)/2)*M604 + INT(N604/2)*IF(($G$6-M604*H604)&gt;=0.5*H604, M604, M604-1))*$K$5))</f>
        <v/>
      </c>
      <c r="P604" s="84">
        <f>IF(L604&lt;=0, 0, INT($G$8/L604))</f>
        <v/>
      </c>
      <c r="Q604" s="95">
        <f>MIN(O604, P604)</f>
        <v/>
      </c>
      <c r="R604" s="96">
        <f>ROUND((Q604*L604)/1000, 2)</f>
        <v/>
      </c>
      <c r="S604" s="85">
        <f>IF($C$8&gt;0, R604/$C$8, 0)</f>
        <v/>
      </c>
      <c r="T604" s="85">
        <f>IF(O604&gt;0, Q604/O604, 0)</f>
        <v/>
      </c>
      <c r="U604" s="18">
        <f>IF(Q604=0, "Exceeds Limit", IF(P604&lt;=O604, "Weight Limited", "Volume Limited"))</f>
        <v/>
      </c>
      <c r="V604" s="100">
        <f>B604&amp;"|"&amp;D604&amp;"|"&amp;F604</f>
        <v/>
      </c>
    </row>
    <row r="605" ht="19" customHeight="1">
      <c r="A605" s="93" t="n">
        <v>595</v>
      </c>
      <c r="B605" s="101" t="inlineStr">
        <is>
          <t>Stainless Steel 304</t>
        </is>
      </c>
      <c r="C605" s="13" t="inlineStr">
        <is>
          <t>ASME B36.19M / B36.10M</t>
        </is>
      </c>
      <c r="D605" s="12" t="inlineStr">
        <is>
          <t>10''</t>
        </is>
      </c>
      <c r="E605" s="93" t="n">
        <v>250</v>
      </c>
      <c r="F605" s="12" t="inlineStr">
        <is>
          <t>5S</t>
        </is>
      </c>
      <c r="G605" s="14" t="n">
        <v>10.75</v>
      </c>
      <c r="H605" s="78" t="n">
        <v>273.05</v>
      </c>
      <c r="I605" s="14" t="n">
        <v>0.134</v>
      </c>
      <c r="J605" s="78" t="n">
        <v>3.4</v>
      </c>
      <c r="K605" s="14">
        <f>ROUND((H605-J605)*J605*IF(B605="Carbon Steel",$K$7,IF(B605="Stainless Steel 304",$K$8,$L$8)), 3)</f>
        <v/>
      </c>
      <c r="L605" s="78">
        <f>ROUND(K605*$G$5, 2)</f>
        <v/>
      </c>
      <c r="M605" s="93">
        <f>INT($G$6/H605)</f>
        <v/>
      </c>
      <c r="N605" s="93">
        <f>IF(M605=0, 0, IF(OR($K$6="Square Grid", M605=1), INT($G$7/H605), IF($G$7&lt;H605, 0, 1+INT(($G$7-H605)/(0.8660254*H605)))))</f>
        <v/>
      </c>
      <c r="O605" s="59">
        <f>IF(OR(M605=0,N605=0), 0, IF(OR($K$6="Square Grid", M605=1), M605*N605*$K$5, (INT((N605+1)/2)*M605 + INT(N605/2)*IF(($G$6-M605*H605)&gt;=0.5*H605, M605, M605-1))*$K$5))</f>
        <v/>
      </c>
      <c r="P605" s="59">
        <f>IF(L605&lt;=0, 0, INT($G$8/L605))</f>
        <v/>
      </c>
      <c r="Q605" s="95">
        <f>MIN(O605, P605)</f>
        <v/>
      </c>
      <c r="R605" s="96">
        <f>ROUND((Q605*L605)/1000, 2)</f>
        <v/>
      </c>
      <c r="S605" s="79">
        <f>IF($C$8&gt;0, R605/$C$8, 0)</f>
        <v/>
      </c>
      <c r="T605" s="79">
        <f>IF(O605&gt;0, Q605/O605, 0)</f>
        <v/>
      </c>
      <c r="U605" s="12">
        <f>IF(Q605=0, "Exceeds Limit", IF(P605&lt;=O605, "Weight Limited", "Volume Limited"))</f>
        <v/>
      </c>
      <c r="V605" s="97">
        <f>B605&amp;"|"&amp;D605&amp;"|"&amp;F605</f>
        <v/>
      </c>
    </row>
    <row r="606" ht="19" customHeight="1">
      <c r="A606" s="98" t="n">
        <v>596</v>
      </c>
      <c r="B606" s="102" t="inlineStr">
        <is>
          <t>Stainless Steel 304</t>
        </is>
      </c>
      <c r="C606" s="19" t="inlineStr">
        <is>
          <t>ASME B36.19M / B36.10M</t>
        </is>
      </c>
      <c r="D606" s="18" t="inlineStr">
        <is>
          <t>10''</t>
        </is>
      </c>
      <c r="E606" s="98" t="n">
        <v>250</v>
      </c>
      <c r="F606" s="18" t="inlineStr">
        <is>
          <t>5</t>
        </is>
      </c>
      <c r="G606" s="20" t="n">
        <v>10.75</v>
      </c>
      <c r="H606" s="82" t="n">
        <v>273.05</v>
      </c>
      <c r="I606" s="20" t="n">
        <v>0.134</v>
      </c>
      <c r="J606" s="82" t="n">
        <v>3.4</v>
      </c>
      <c r="K606" s="20">
        <f>ROUND((H606-J606)*J606*IF(B606="Carbon Steel",$K$7,IF(B606="Stainless Steel 304",$K$8,$L$8)), 3)</f>
        <v/>
      </c>
      <c r="L606" s="82">
        <f>ROUND(K606*$G$5, 2)</f>
        <v/>
      </c>
      <c r="M606" s="98">
        <f>INT($G$6/H606)</f>
        <v/>
      </c>
      <c r="N606" s="98">
        <f>IF(M606=0, 0, IF(OR($K$6="Square Grid", M606=1), INT($G$7/H606), IF($G$7&lt;H606, 0, 1+INT(($G$7-H606)/(0.8660254*H606)))))</f>
        <v/>
      </c>
      <c r="O606" s="84">
        <f>IF(OR(M606=0,N606=0), 0, IF(OR($K$6="Square Grid", M606=1), M606*N606*$K$5, (INT((N606+1)/2)*M606 + INT(N606/2)*IF(($G$6-M606*H606)&gt;=0.5*H606, M606, M606-1))*$K$5))</f>
        <v/>
      </c>
      <c r="P606" s="84">
        <f>IF(L606&lt;=0, 0, INT($G$8/L606))</f>
        <v/>
      </c>
      <c r="Q606" s="95">
        <f>MIN(O606, P606)</f>
        <v/>
      </c>
      <c r="R606" s="96">
        <f>ROUND((Q606*L606)/1000, 2)</f>
        <v/>
      </c>
      <c r="S606" s="85">
        <f>IF($C$8&gt;0, R606/$C$8, 0)</f>
        <v/>
      </c>
      <c r="T606" s="85">
        <f>IF(O606&gt;0, Q606/O606, 0)</f>
        <v/>
      </c>
      <c r="U606" s="18">
        <f>IF(Q606=0, "Exceeds Limit", IF(P606&lt;=O606, "Weight Limited", "Volume Limited"))</f>
        <v/>
      </c>
      <c r="V606" s="100">
        <f>B606&amp;"|"&amp;D606&amp;"|"&amp;F606</f>
        <v/>
      </c>
    </row>
    <row r="607" ht="19" customHeight="1">
      <c r="A607" s="93" t="n">
        <v>597</v>
      </c>
      <c r="B607" s="101" t="inlineStr">
        <is>
          <t>Stainless Steel 304</t>
        </is>
      </c>
      <c r="C607" s="13" t="inlineStr">
        <is>
          <t>ASME B36.19M / B36.10M</t>
        </is>
      </c>
      <c r="D607" s="12" t="inlineStr">
        <is>
          <t>10''</t>
        </is>
      </c>
      <c r="E607" s="93" t="n">
        <v>250</v>
      </c>
      <c r="F607" s="12" t="inlineStr">
        <is>
          <t>10S</t>
        </is>
      </c>
      <c r="G607" s="14" t="n">
        <v>10.75</v>
      </c>
      <c r="H607" s="78" t="n">
        <v>273.05</v>
      </c>
      <c r="I607" s="14" t="n">
        <v>0.165</v>
      </c>
      <c r="J607" s="78" t="n">
        <v>4.19</v>
      </c>
      <c r="K607" s="14">
        <f>ROUND((H607-J607)*J607*IF(B607="Carbon Steel",$K$7,IF(B607="Stainless Steel 304",$K$8,$L$8)), 3)</f>
        <v/>
      </c>
      <c r="L607" s="78">
        <f>ROUND(K607*$G$5, 2)</f>
        <v/>
      </c>
      <c r="M607" s="93">
        <f>INT($G$6/H607)</f>
        <v/>
      </c>
      <c r="N607" s="93">
        <f>IF(M607=0, 0, IF(OR($K$6="Square Grid", M607=1), INT($G$7/H607), IF($G$7&lt;H607, 0, 1+INT(($G$7-H607)/(0.8660254*H607)))))</f>
        <v/>
      </c>
      <c r="O607" s="59">
        <f>IF(OR(M607=0,N607=0), 0, IF(OR($K$6="Square Grid", M607=1), M607*N607*$K$5, (INT((N607+1)/2)*M607 + INT(N607/2)*IF(($G$6-M607*H607)&gt;=0.5*H607, M607, M607-1))*$K$5))</f>
        <v/>
      </c>
      <c r="P607" s="59">
        <f>IF(L607&lt;=0, 0, INT($G$8/L607))</f>
        <v/>
      </c>
      <c r="Q607" s="95">
        <f>MIN(O607, P607)</f>
        <v/>
      </c>
      <c r="R607" s="96">
        <f>ROUND((Q607*L607)/1000, 2)</f>
        <v/>
      </c>
      <c r="S607" s="79">
        <f>IF($C$8&gt;0, R607/$C$8, 0)</f>
        <v/>
      </c>
      <c r="T607" s="79">
        <f>IF(O607&gt;0, Q607/O607, 0)</f>
        <v/>
      </c>
      <c r="U607" s="12">
        <f>IF(Q607=0, "Exceeds Limit", IF(P607&lt;=O607, "Weight Limited", "Volume Limited"))</f>
        <v/>
      </c>
      <c r="V607" s="97">
        <f>B607&amp;"|"&amp;D607&amp;"|"&amp;F607</f>
        <v/>
      </c>
    </row>
    <row r="608" ht="19" customHeight="1">
      <c r="A608" s="98" t="n">
        <v>598</v>
      </c>
      <c r="B608" s="102" t="inlineStr">
        <is>
          <t>Stainless Steel 304</t>
        </is>
      </c>
      <c r="C608" s="19" t="inlineStr">
        <is>
          <t>ASME B36.19M / B36.10M</t>
        </is>
      </c>
      <c r="D608" s="18" t="inlineStr">
        <is>
          <t>10''</t>
        </is>
      </c>
      <c r="E608" s="98" t="n">
        <v>250</v>
      </c>
      <c r="F608" s="18" t="inlineStr">
        <is>
          <t>10</t>
        </is>
      </c>
      <c r="G608" s="20" t="n">
        <v>10.75</v>
      </c>
      <c r="H608" s="82" t="n">
        <v>273.05</v>
      </c>
      <c r="I608" s="20" t="n">
        <v>0.165</v>
      </c>
      <c r="J608" s="82" t="n">
        <v>4.19</v>
      </c>
      <c r="K608" s="20">
        <f>ROUND((H608-J608)*J608*IF(B608="Carbon Steel",$K$7,IF(B608="Stainless Steel 304",$K$8,$L$8)), 3)</f>
        <v/>
      </c>
      <c r="L608" s="82">
        <f>ROUND(K608*$G$5, 2)</f>
        <v/>
      </c>
      <c r="M608" s="98">
        <f>INT($G$6/H608)</f>
        <v/>
      </c>
      <c r="N608" s="98">
        <f>IF(M608=0, 0, IF(OR($K$6="Square Grid", M608=1), INT($G$7/H608), IF($G$7&lt;H608, 0, 1+INT(($G$7-H608)/(0.8660254*H608)))))</f>
        <v/>
      </c>
      <c r="O608" s="84">
        <f>IF(OR(M608=0,N608=0), 0, IF(OR($K$6="Square Grid", M608=1), M608*N608*$K$5, (INT((N608+1)/2)*M608 + INT(N608/2)*IF(($G$6-M608*H608)&gt;=0.5*H608, M608, M608-1))*$K$5))</f>
        <v/>
      </c>
      <c r="P608" s="84">
        <f>IF(L608&lt;=0, 0, INT($G$8/L608))</f>
        <v/>
      </c>
      <c r="Q608" s="95">
        <f>MIN(O608, P608)</f>
        <v/>
      </c>
      <c r="R608" s="96">
        <f>ROUND((Q608*L608)/1000, 2)</f>
        <v/>
      </c>
      <c r="S608" s="85">
        <f>IF($C$8&gt;0, R608/$C$8, 0)</f>
        <v/>
      </c>
      <c r="T608" s="85">
        <f>IF(O608&gt;0, Q608/O608, 0)</f>
        <v/>
      </c>
      <c r="U608" s="18">
        <f>IF(Q608=0, "Exceeds Limit", IF(P608&lt;=O608, "Weight Limited", "Volume Limited"))</f>
        <v/>
      </c>
      <c r="V608" s="100">
        <f>B608&amp;"|"&amp;D608&amp;"|"&amp;F608</f>
        <v/>
      </c>
    </row>
    <row r="609" ht="19" customHeight="1">
      <c r="A609" s="93" t="n">
        <v>599</v>
      </c>
      <c r="B609" s="101" t="inlineStr">
        <is>
          <t>Stainless Steel 304</t>
        </is>
      </c>
      <c r="C609" s="13" t="inlineStr">
        <is>
          <t>ASME B36.19M / B36.10M</t>
        </is>
      </c>
      <c r="D609" s="12" t="inlineStr">
        <is>
          <t>10''</t>
        </is>
      </c>
      <c r="E609" s="93" t="n">
        <v>250</v>
      </c>
      <c r="F609" s="12" t="inlineStr">
        <is>
          <t>20</t>
        </is>
      </c>
      <c r="G609" s="14" t="n">
        <v>10.75</v>
      </c>
      <c r="H609" s="78" t="n">
        <v>273.05</v>
      </c>
      <c r="I609" s="14" t="n">
        <v>0.25</v>
      </c>
      <c r="J609" s="78" t="n">
        <v>6.35</v>
      </c>
      <c r="K609" s="14">
        <f>ROUND((H609-J609)*J609*IF(B609="Carbon Steel",$K$7,IF(B609="Stainless Steel 304",$K$8,$L$8)), 3)</f>
        <v/>
      </c>
      <c r="L609" s="78">
        <f>ROUND(K609*$G$5, 2)</f>
        <v/>
      </c>
      <c r="M609" s="93">
        <f>INT($G$6/H609)</f>
        <v/>
      </c>
      <c r="N609" s="93">
        <f>IF(M609=0, 0, IF(OR($K$6="Square Grid", M609=1), INT($G$7/H609), IF($G$7&lt;H609, 0, 1+INT(($G$7-H609)/(0.8660254*H609)))))</f>
        <v/>
      </c>
      <c r="O609" s="59">
        <f>IF(OR(M609=0,N609=0), 0, IF(OR($K$6="Square Grid", M609=1), M609*N609*$K$5, (INT((N609+1)/2)*M609 + INT(N609/2)*IF(($G$6-M609*H609)&gt;=0.5*H609, M609, M609-1))*$K$5))</f>
        <v/>
      </c>
      <c r="P609" s="59">
        <f>IF(L609&lt;=0, 0, INT($G$8/L609))</f>
        <v/>
      </c>
      <c r="Q609" s="95">
        <f>MIN(O609, P609)</f>
        <v/>
      </c>
      <c r="R609" s="96">
        <f>ROUND((Q609*L609)/1000, 2)</f>
        <v/>
      </c>
      <c r="S609" s="79">
        <f>IF($C$8&gt;0, R609/$C$8, 0)</f>
        <v/>
      </c>
      <c r="T609" s="79">
        <f>IF(O609&gt;0, Q609/O609, 0)</f>
        <v/>
      </c>
      <c r="U609" s="12">
        <f>IF(Q609=0, "Exceeds Limit", IF(P609&lt;=O609, "Weight Limited", "Volume Limited"))</f>
        <v/>
      </c>
      <c r="V609" s="97">
        <f>B609&amp;"|"&amp;D609&amp;"|"&amp;F609</f>
        <v/>
      </c>
    </row>
    <row r="610" ht="19" customHeight="1">
      <c r="A610" s="98" t="n">
        <v>600</v>
      </c>
      <c r="B610" s="102" t="inlineStr">
        <is>
          <t>Stainless Steel 304</t>
        </is>
      </c>
      <c r="C610" s="19" t="inlineStr">
        <is>
          <t>ASME B36.19M / B36.10M</t>
        </is>
      </c>
      <c r="D610" s="18" t="inlineStr">
        <is>
          <t>10''</t>
        </is>
      </c>
      <c r="E610" s="98" t="n">
        <v>250</v>
      </c>
      <c r="F610" s="18" t="inlineStr">
        <is>
          <t>30</t>
        </is>
      </c>
      <c r="G610" s="20" t="n">
        <v>10.75</v>
      </c>
      <c r="H610" s="82" t="n">
        <v>273.05</v>
      </c>
      <c r="I610" s="20" t="n">
        <v>0.307</v>
      </c>
      <c r="J610" s="82" t="n">
        <v>7.8</v>
      </c>
      <c r="K610" s="20">
        <f>ROUND((H610-J610)*J610*IF(B610="Carbon Steel",$K$7,IF(B610="Stainless Steel 304",$K$8,$L$8)), 3)</f>
        <v/>
      </c>
      <c r="L610" s="82">
        <f>ROUND(K610*$G$5, 2)</f>
        <v/>
      </c>
      <c r="M610" s="98">
        <f>INT($G$6/H610)</f>
        <v/>
      </c>
      <c r="N610" s="98">
        <f>IF(M610=0, 0, IF(OR($K$6="Square Grid", M610=1), INT($G$7/H610), IF($G$7&lt;H610, 0, 1+INT(($G$7-H610)/(0.8660254*H610)))))</f>
        <v/>
      </c>
      <c r="O610" s="84">
        <f>IF(OR(M610=0,N610=0), 0, IF(OR($K$6="Square Grid", M610=1), M610*N610*$K$5, (INT((N610+1)/2)*M610 + INT(N610/2)*IF(($G$6-M610*H610)&gt;=0.5*H610, M610, M610-1))*$K$5))</f>
        <v/>
      </c>
      <c r="P610" s="84">
        <f>IF(L610&lt;=0, 0, INT($G$8/L610))</f>
        <v/>
      </c>
      <c r="Q610" s="95">
        <f>MIN(O610, P610)</f>
        <v/>
      </c>
      <c r="R610" s="96">
        <f>ROUND((Q610*L610)/1000, 2)</f>
        <v/>
      </c>
      <c r="S610" s="85">
        <f>IF($C$8&gt;0, R610/$C$8, 0)</f>
        <v/>
      </c>
      <c r="T610" s="85">
        <f>IF(O610&gt;0, Q610/O610, 0)</f>
        <v/>
      </c>
      <c r="U610" s="18">
        <f>IF(Q610=0, "Exceeds Limit", IF(P610&lt;=O610, "Weight Limited", "Volume Limited"))</f>
        <v/>
      </c>
      <c r="V610" s="100">
        <f>B610&amp;"|"&amp;D610&amp;"|"&amp;F610</f>
        <v/>
      </c>
    </row>
    <row r="611" ht="19" customHeight="1">
      <c r="A611" s="93" t="n">
        <v>601</v>
      </c>
      <c r="B611" s="101" t="inlineStr">
        <is>
          <t>Stainless Steel 304</t>
        </is>
      </c>
      <c r="C611" s="13" t="inlineStr">
        <is>
          <t>ASME B36.19M / B36.10M</t>
        </is>
      </c>
      <c r="D611" s="12" t="inlineStr">
        <is>
          <t>10''</t>
        </is>
      </c>
      <c r="E611" s="93" t="n">
        <v>250</v>
      </c>
      <c r="F611" s="12" t="inlineStr">
        <is>
          <t>40S</t>
        </is>
      </c>
      <c r="G611" s="14" t="n">
        <v>10.75</v>
      </c>
      <c r="H611" s="78" t="n">
        <v>273.05</v>
      </c>
      <c r="I611" s="14" t="n">
        <v>0.365</v>
      </c>
      <c r="J611" s="78" t="n">
        <v>9.27</v>
      </c>
      <c r="K611" s="14">
        <f>ROUND((H611-J611)*J611*IF(B611="Carbon Steel",$K$7,IF(B611="Stainless Steel 304",$K$8,$L$8)), 3)</f>
        <v/>
      </c>
      <c r="L611" s="78">
        <f>ROUND(K611*$G$5, 2)</f>
        <v/>
      </c>
      <c r="M611" s="93">
        <f>INT($G$6/H611)</f>
        <v/>
      </c>
      <c r="N611" s="93">
        <f>IF(M611=0, 0, IF(OR($K$6="Square Grid", M611=1), INT($G$7/H611), IF($G$7&lt;H611, 0, 1+INT(($G$7-H611)/(0.8660254*H611)))))</f>
        <v/>
      </c>
      <c r="O611" s="59">
        <f>IF(OR(M611=0,N611=0), 0, IF(OR($K$6="Square Grid", M611=1), M611*N611*$K$5, (INT((N611+1)/2)*M611 + INT(N611/2)*IF(($G$6-M611*H611)&gt;=0.5*H611, M611, M611-1))*$K$5))</f>
        <v/>
      </c>
      <c r="P611" s="59">
        <f>IF(L611&lt;=0, 0, INT($G$8/L611))</f>
        <v/>
      </c>
      <c r="Q611" s="95">
        <f>MIN(O611, P611)</f>
        <v/>
      </c>
      <c r="R611" s="96">
        <f>ROUND((Q611*L611)/1000, 2)</f>
        <v/>
      </c>
      <c r="S611" s="79">
        <f>IF($C$8&gt;0, R611/$C$8, 0)</f>
        <v/>
      </c>
      <c r="T611" s="79">
        <f>IF(O611&gt;0, Q611/O611, 0)</f>
        <v/>
      </c>
      <c r="U611" s="12">
        <f>IF(Q611=0, "Exceeds Limit", IF(P611&lt;=O611, "Weight Limited", "Volume Limited"))</f>
        <v/>
      </c>
      <c r="V611" s="97">
        <f>B611&amp;"|"&amp;D611&amp;"|"&amp;F611</f>
        <v/>
      </c>
    </row>
    <row r="612" ht="19" customHeight="1">
      <c r="A612" s="98" t="n">
        <v>602</v>
      </c>
      <c r="B612" s="102" t="inlineStr">
        <is>
          <t>Stainless Steel 304</t>
        </is>
      </c>
      <c r="C612" s="19" t="inlineStr">
        <is>
          <t>ASME B36.19M / B36.10M</t>
        </is>
      </c>
      <c r="D612" s="18" t="inlineStr">
        <is>
          <t>10''</t>
        </is>
      </c>
      <c r="E612" s="98" t="n">
        <v>250</v>
      </c>
      <c r="F612" s="18" t="inlineStr">
        <is>
          <t>STD</t>
        </is>
      </c>
      <c r="G612" s="20" t="n">
        <v>10.75</v>
      </c>
      <c r="H612" s="82" t="n">
        <v>273.05</v>
      </c>
      <c r="I612" s="20" t="n">
        <v>0.365</v>
      </c>
      <c r="J612" s="82" t="n">
        <v>9.27</v>
      </c>
      <c r="K612" s="20">
        <f>ROUND((H612-J612)*J612*IF(B612="Carbon Steel",$K$7,IF(B612="Stainless Steel 304",$K$8,$L$8)), 3)</f>
        <v/>
      </c>
      <c r="L612" s="82">
        <f>ROUND(K612*$G$5, 2)</f>
        <v/>
      </c>
      <c r="M612" s="98">
        <f>INT($G$6/H612)</f>
        <v/>
      </c>
      <c r="N612" s="98">
        <f>IF(M612=0, 0, IF(OR($K$6="Square Grid", M612=1), INT($G$7/H612), IF($G$7&lt;H612, 0, 1+INT(($G$7-H612)/(0.8660254*H612)))))</f>
        <v/>
      </c>
      <c r="O612" s="84">
        <f>IF(OR(M612=0,N612=0), 0, IF(OR($K$6="Square Grid", M612=1), M612*N612*$K$5, (INT((N612+1)/2)*M612 + INT(N612/2)*IF(($G$6-M612*H612)&gt;=0.5*H612, M612, M612-1))*$K$5))</f>
        <v/>
      </c>
      <c r="P612" s="84">
        <f>IF(L612&lt;=0, 0, INT($G$8/L612))</f>
        <v/>
      </c>
      <c r="Q612" s="95">
        <f>MIN(O612, P612)</f>
        <v/>
      </c>
      <c r="R612" s="96">
        <f>ROUND((Q612*L612)/1000, 2)</f>
        <v/>
      </c>
      <c r="S612" s="85">
        <f>IF($C$8&gt;0, R612/$C$8, 0)</f>
        <v/>
      </c>
      <c r="T612" s="85">
        <f>IF(O612&gt;0, Q612/O612, 0)</f>
        <v/>
      </c>
      <c r="U612" s="18">
        <f>IF(Q612=0, "Exceeds Limit", IF(P612&lt;=O612, "Weight Limited", "Volume Limited"))</f>
        <v/>
      </c>
      <c r="V612" s="100">
        <f>B612&amp;"|"&amp;D612&amp;"|"&amp;F612</f>
        <v/>
      </c>
    </row>
    <row r="613" ht="19" customHeight="1">
      <c r="A613" s="93" t="n">
        <v>603</v>
      </c>
      <c r="B613" s="101" t="inlineStr">
        <is>
          <t>Stainless Steel 304</t>
        </is>
      </c>
      <c r="C613" s="13" t="inlineStr">
        <is>
          <t>ASME B36.19M / B36.10M</t>
        </is>
      </c>
      <c r="D613" s="12" t="inlineStr">
        <is>
          <t>10''</t>
        </is>
      </c>
      <c r="E613" s="93" t="n">
        <v>250</v>
      </c>
      <c r="F613" s="12" t="inlineStr">
        <is>
          <t>40</t>
        </is>
      </c>
      <c r="G613" s="14" t="n">
        <v>10.75</v>
      </c>
      <c r="H613" s="78" t="n">
        <v>273.05</v>
      </c>
      <c r="I613" s="14" t="n">
        <v>0.365</v>
      </c>
      <c r="J613" s="78" t="n">
        <v>9.27</v>
      </c>
      <c r="K613" s="14">
        <f>ROUND((H613-J613)*J613*IF(B613="Carbon Steel",$K$7,IF(B613="Stainless Steel 304",$K$8,$L$8)), 3)</f>
        <v/>
      </c>
      <c r="L613" s="78">
        <f>ROUND(K613*$G$5, 2)</f>
        <v/>
      </c>
      <c r="M613" s="93">
        <f>INT($G$6/H613)</f>
        <v/>
      </c>
      <c r="N613" s="93">
        <f>IF(M613=0, 0, IF(OR($K$6="Square Grid", M613=1), INT($G$7/H613), IF($G$7&lt;H613, 0, 1+INT(($G$7-H613)/(0.8660254*H613)))))</f>
        <v/>
      </c>
      <c r="O613" s="59">
        <f>IF(OR(M613=0,N613=0), 0, IF(OR($K$6="Square Grid", M613=1), M613*N613*$K$5, (INT((N613+1)/2)*M613 + INT(N613/2)*IF(($G$6-M613*H613)&gt;=0.5*H613, M613, M613-1))*$K$5))</f>
        <v/>
      </c>
      <c r="P613" s="59">
        <f>IF(L613&lt;=0, 0, INT($G$8/L613))</f>
        <v/>
      </c>
      <c r="Q613" s="95">
        <f>MIN(O613, P613)</f>
        <v/>
      </c>
      <c r="R613" s="96">
        <f>ROUND((Q613*L613)/1000, 2)</f>
        <v/>
      </c>
      <c r="S613" s="79">
        <f>IF($C$8&gt;0, R613/$C$8, 0)</f>
        <v/>
      </c>
      <c r="T613" s="79">
        <f>IF(O613&gt;0, Q613/O613, 0)</f>
        <v/>
      </c>
      <c r="U613" s="12">
        <f>IF(Q613=0, "Exceeds Limit", IF(P613&lt;=O613, "Weight Limited", "Volume Limited"))</f>
        <v/>
      </c>
      <c r="V613" s="97">
        <f>B613&amp;"|"&amp;D613&amp;"|"&amp;F613</f>
        <v/>
      </c>
    </row>
    <row r="614" ht="19" customHeight="1">
      <c r="A614" s="98" t="n">
        <v>604</v>
      </c>
      <c r="B614" s="102" t="inlineStr">
        <is>
          <t>Stainless Steel 304</t>
        </is>
      </c>
      <c r="C614" s="19" t="inlineStr">
        <is>
          <t>ASME B36.19M / B36.10M</t>
        </is>
      </c>
      <c r="D614" s="18" t="inlineStr">
        <is>
          <t>10''</t>
        </is>
      </c>
      <c r="E614" s="98" t="n">
        <v>250</v>
      </c>
      <c r="F614" s="18" t="inlineStr">
        <is>
          <t>60</t>
        </is>
      </c>
      <c r="G614" s="20" t="n">
        <v>10.75</v>
      </c>
      <c r="H614" s="82" t="n">
        <v>273.05</v>
      </c>
      <c r="I614" s="20" t="n">
        <v>0.5</v>
      </c>
      <c r="J614" s="82" t="n">
        <v>12.7</v>
      </c>
      <c r="K614" s="20">
        <f>ROUND((H614-J614)*J614*IF(B614="Carbon Steel",$K$7,IF(B614="Stainless Steel 304",$K$8,$L$8)), 3)</f>
        <v/>
      </c>
      <c r="L614" s="82">
        <f>ROUND(K614*$G$5, 2)</f>
        <v/>
      </c>
      <c r="M614" s="98">
        <f>INT($G$6/H614)</f>
        <v/>
      </c>
      <c r="N614" s="98">
        <f>IF(M614=0, 0, IF(OR($K$6="Square Grid", M614=1), INT($G$7/H614), IF($G$7&lt;H614, 0, 1+INT(($G$7-H614)/(0.8660254*H614)))))</f>
        <v/>
      </c>
      <c r="O614" s="84">
        <f>IF(OR(M614=0,N614=0), 0, IF(OR($K$6="Square Grid", M614=1), M614*N614*$K$5, (INT((N614+1)/2)*M614 + INT(N614/2)*IF(($G$6-M614*H614)&gt;=0.5*H614, M614, M614-1))*$K$5))</f>
        <v/>
      </c>
      <c r="P614" s="84">
        <f>IF(L614&lt;=0, 0, INT($G$8/L614))</f>
        <v/>
      </c>
      <c r="Q614" s="95">
        <f>MIN(O614, P614)</f>
        <v/>
      </c>
      <c r="R614" s="96">
        <f>ROUND((Q614*L614)/1000, 2)</f>
        <v/>
      </c>
      <c r="S614" s="85">
        <f>IF($C$8&gt;0, R614/$C$8, 0)</f>
        <v/>
      </c>
      <c r="T614" s="85">
        <f>IF(O614&gt;0, Q614/O614, 0)</f>
        <v/>
      </c>
      <c r="U614" s="18">
        <f>IF(Q614=0, "Exceeds Limit", IF(P614&lt;=O614, "Weight Limited", "Volume Limited"))</f>
        <v/>
      </c>
      <c r="V614" s="100">
        <f>B614&amp;"|"&amp;D614&amp;"|"&amp;F614</f>
        <v/>
      </c>
    </row>
    <row r="615" ht="19" customHeight="1">
      <c r="A615" s="93" t="n">
        <v>605</v>
      </c>
      <c r="B615" s="101" t="inlineStr">
        <is>
          <t>Stainless Steel 304</t>
        </is>
      </c>
      <c r="C615" s="13" t="inlineStr">
        <is>
          <t>ASME B36.19M / B36.10M</t>
        </is>
      </c>
      <c r="D615" s="12" t="inlineStr">
        <is>
          <t>10''</t>
        </is>
      </c>
      <c r="E615" s="93" t="n">
        <v>250</v>
      </c>
      <c r="F615" s="12" t="inlineStr">
        <is>
          <t>80S</t>
        </is>
      </c>
      <c r="G615" s="14" t="n">
        <v>10.75</v>
      </c>
      <c r="H615" s="78" t="n">
        <v>273.05</v>
      </c>
      <c r="I615" s="14" t="n">
        <v>0.5</v>
      </c>
      <c r="J615" s="78" t="n">
        <v>12.7</v>
      </c>
      <c r="K615" s="14">
        <f>ROUND((H615-J615)*J615*IF(B615="Carbon Steel",$K$7,IF(B615="Stainless Steel 304",$K$8,$L$8)), 3)</f>
        <v/>
      </c>
      <c r="L615" s="78">
        <f>ROUND(K615*$G$5, 2)</f>
        <v/>
      </c>
      <c r="M615" s="93">
        <f>INT($G$6/H615)</f>
        <v/>
      </c>
      <c r="N615" s="93">
        <f>IF(M615=0, 0, IF(OR($K$6="Square Grid", M615=1), INT($G$7/H615), IF($G$7&lt;H615, 0, 1+INT(($G$7-H615)/(0.8660254*H615)))))</f>
        <v/>
      </c>
      <c r="O615" s="59">
        <f>IF(OR(M615=0,N615=0), 0, IF(OR($K$6="Square Grid", M615=1), M615*N615*$K$5, (INT((N615+1)/2)*M615 + INT(N615/2)*IF(($G$6-M615*H615)&gt;=0.5*H615, M615, M615-1))*$K$5))</f>
        <v/>
      </c>
      <c r="P615" s="59">
        <f>IF(L615&lt;=0, 0, INT($G$8/L615))</f>
        <v/>
      </c>
      <c r="Q615" s="95">
        <f>MIN(O615, P615)</f>
        <v/>
      </c>
      <c r="R615" s="96">
        <f>ROUND((Q615*L615)/1000, 2)</f>
        <v/>
      </c>
      <c r="S615" s="79">
        <f>IF($C$8&gt;0, R615/$C$8, 0)</f>
        <v/>
      </c>
      <c r="T615" s="79">
        <f>IF(O615&gt;0, Q615/O615, 0)</f>
        <v/>
      </c>
      <c r="U615" s="12">
        <f>IF(Q615=0, "Exceeds Limit", IF(P615&lt;=O615, "Weight Limited", "Volume Limited"))</f>
        <v/>
      </c>
      <c r="V615" s="97">
        <f>B615&amp;"|"&amp;D615&amp;"|"&amp;F615</f>
        <v/>
      </c>
    </row>
    <row r="616" ht="19" customHeight="1">
      <c r="A616" s="98" t="n">
        <v>606</v>
      </c>
      <c r="B616" s="102" t="inlineStr">
        <is>
          <t>Stainless Steel 304</t>
        </is>
      </c>
      <c r="C616" s="19" t="inlineStr">
        <is>
          <t>ASME B36.19M / B36.10M</t>
        </is>
      </c>
      <c r="D616" s="18" t="inlineStr">
        <is>
          <t>10''</t>
        </is>
      </c>
      <c r="E616" s="98" t="n">
        <v>250</v>
      </c>
      <c r="F616" s="18" t="inlineStr">
        <is>
          <t>XS</t>
        </is>
      </c>
      <c r="G616" s="20" t="n">
        <v>10.75</v>
      </c>
      <c r="H616" s="82" t="n">
        <v>273.05</v>
      </c>
      <c r="I616" s="20" t="n">
        <v>0.5</v>
      </c>
      <c r="J616" s="82" t="n">
        <v>12.7</v>
      </c>
      <c r="K616" s="20">
        <f>ROUND((H616-J616)*J616*IF(B616="Carbon Steel",$K$7,IF(B616="Stainless Steel 304",$K$8,$L$8)), 3)</f>
        <v/>
      </c>
      <c r="L616" s="82">
        <f>ROUND(K616*$G$5, 2)</f>
        <v/>
      </c>
      <c r="M616" s="98">
        <f>INT($G$6/H616)</f>
        <v/>
      </c>
      <c r="N616" s="98">
        <f>IF(M616=0, 0, IF(OR($K$6="Square Grid", M616=1), INT($G$7/H616), IF($G$7&lt;H616, 0, 1+INT(($G$7-H616)/(0.8660254*H616)))))</f>
        <v/>
      </c>
      <c r="O616" s="84">
        <f>IF(OR(M616=0,N616=0), 0, IF(OR($K$6="Square Grid", M616=1), M616*N616*$K$5, (INT((N616+1)/2)*M616 + INT(N616/2)*IF(($G$6-M616*H616)&gt;=0.5*H616, M616, M616-1))*$K$5))</f>
        <v/>
      </c>
      <c r="P616" s="84">
        <f>IF(L616&lt;=0, 0, INT($G$8/L616))</f>
        <v/>
      </c>
      <c r="Q616" s="95">
        <f>MIN(O616, P616)</f>
        <v/>
      </c>
      <c r="R616" s="96">
        <f>ROUND((Q616*L616)/1000, 2)</f>
        <v/>
      </c>
      <c r="S616" s="85">
        <f>IF($C$8&gt;0, R616/$C$8, 0)</f>
        <v/>
      </c>
      <c r="T616" s="85">
        <f>IF(O616&gt;0, Q616/O616, 0)</f>
        <v/>
      </c>
      <c r="U616" s="18">
        <f>IF(Q616=0, "Exceeds Limit", IF(P616&lt;=O616, "Weight Limited", "Volume Limited"))</f>
        <v/>
      </c>
      <c r="V616" s="100">
        <f>B616&amp;"|"&amp;D616&amp;"|"&amp;F616</f>
        <v/>
      </c>
    </row>
    <row r="617" ht="19" customHeight="1">
      <c r="A617" s="93" t="n">
        <v>607</v>
      </c>
      <c r="B617" s="101" t="inlineStr">
        <is>
          <t>Stainless Steel 304</t>
        </is>
      </c>
      <c r="C617" s="13" t="inlineStr">
        <is>
          <t>ASME B36.19M / B36.10M</t>
        </is>
      </c>
      <c r="D617" s="12" t="inlineStr">
        <is>
          <t>10''</t>
        </is>
      </c>
      <c r="E617" s="93" t="n">
        <v>250</v>
      </c>
      <c r="F617" s="12" t="inlineStr">
        <is>
          <t>80</t>
        </is>
      </c>
      <c r="G617" s="14" t="n">
        <v>10.75</v>
      </c>
      <c r="H617" s="78" t="n">
        <v>273.05</v>
      </c>
      <c r="I617" s="14" t="n">
        <v>0.594</v>
      </c>
      <c r="J617" s="78" t="n">
        <v>15.09</v>
      </c>
      <c r="K617" s="14">
        <f>ROUND((H617-J617)*J617*IF(B617="Carbon Steel",$K$7,IF(B617="Stainless Steel 304",$K$8,$L$8)), 3)</f>
        <v/>
      </c>
      <c r="L617" s="78">
        <f>ROUND(K617*$G$5, 2)</f>
        <v/>
      </c>
      <c r="M617" s="93">
        <f>INT($G$6/H617)</f>
        <v/>
      </c>
      <c r="N617" s="93">
        <f>IF(M617=0, 0, IF(OR($K$6="Square Grid", M617=1), INT($G$7/H617), IF($G$7&lt;H617, 0, 1+INT(($G$7-H617)/(0.8660254*H617)))))</f>
        <v/>
      </c>
      <c r="O617" s="59">
        <f>IF(OR(M617=0,N617=0), 0, IF(OR($K$6="Square Grid", M617=1), M617*N617*$K$5, (INT((N617+1)/2)*M617 + INT(N617/2)*IF(($G$6-M617*H617)&gt;=0.5*H617, M617, M617-1))*$K$5))</f>
        <v/>
      </c>
      <c r="P617" s="59">
        <f>IF(L617&lt;=0, 0, INT($G$8/L617))</f>
        <v/>
      </c>
      <c r="Q617" s="95">
        <f>MIN(O617, P617)</f>
        <v/>
      </c>
      <c r="R617" s="96">
        <f>ROUND((Q617*L617)/1000, 2)</f>
        <v/>
      </c>
      <c r="S617" s="79">
        <f>IF($C$8&gt;0, R617/$C$8, 0)</f>
        <v/>
      </c>
      <c r="T617" s="79">
        <f>IF(O617&gt;0, Q617/O617, 0)</f>
        <v/>
      </c>
      <c r="U617" s="12">
        <f>IF(Q617=0, "Exceeds Limit", IF(P617&lt;=O617, "Weight Limited", "Volume Limited"))</f>
        <v/>
      </c>
      <c r="V617" s="97">
        <f>B617&amp;"|"&amp;D617&amp;"|"&amp;F617</f>
        <v/>
      </c>
    </row>
    <row r="618" ht="19" customHeight="1">
      <c r="A618" s="98" t="n">
        <v>608</v>
      </c>
      <c r="B618" s="102" t="inlineStr">
        <is>
          <t>Stainless Steel 304</t>
        </is>
      </c>
      <c r="C618" s="19" t="inlineStr">
        <is>
          <t>ASME B36.19M / B36.10M</t>
        </is>
      </c>
      <c r="D618" s="18" t="inlineStr">
        <is>
          <t>10''</t>
        </is>
      </c>
      <c r="E618" s="98" t="n">
        <v>250</v>
      </c>
      <c r="F618" s="18" t="inlineStr">
        <is>
          <t>100</t>
        </is>
      </c>
      <c r="G618" s="20" t="n">
        <v>10.75</v>
      </c>
      <c r="H618" s="82" t="n">
        <v>273.05</v>
      </c>
      <c r="I618" s="20" t="n">
        <v>0.719</v>
      </c>
      <c r="J618" s="82" t="n">
        <v>18.26</v>
      </c>
      <c r="K618" s="20">
        <f>ROUND((H618-J618)*J618*IF(B618="Carbon Steel",$K$7,IF(B618="Stainless Steel 304",$K$8,$L$8)), 3)</f>
        <v/>
      </c>
      <c r="L618" s="82">
        <f>ROUND(K618*$G$5, 2)</f>
        <v/>
      </c>
      <c r="M618" s="98">
        <f>INT($G$6/H618)</f>
        <v/>
      </c>
      <c r="N618" s="98">
        <f>IF(M618=0, 0, IF(OR($K$6="Square Grid", M618=1), INT($G$7/H618), IF($G$7&lt;H618, 0, 1+INT(($G$7-H618)/(0.8660254*H618)))))</f>
        <v/>
      </c>
      <c r="O618" s="84">
        <f>IF(OR(M618=0,N618=0), 0, IF(OR($K$6="Square Grid", M618=1), M618*N618*$K$5, (INT((N618+1)/2)*M618 + INT(N618/2)*IF(($G$6-M618*H618)&gt;=0.5*H618, M618, M618-1))*$K$5))</f>
        <v/>
      </c>
      <c r="P618" s="84">
        <f>IF(L618&lt;=0, 0, INT($G$8/L618))</f>
        <v/>
      </c>
      <c r="Q618" s="95">
        <f>MIN(O618, P618)</f>
        <v/>
      </c>
      <c r="R618" s="96">
        <f>ROUND((Q618*L618)/1000, 2)</f>
        <v/>
      </c>
      <c r="S618" s="85">
        <f>IF($C$8&gt;0, R618/$C$8, 0)</f>
        <v/>
      </c>
      <c r="T618" s="85">
        <f>IF(O618&gt;0, Q618/O618, 0)</f>
        <v/>
      </c>
      <c r="U618" s="18">
        <f>IF(Q618=0, "Exceeds Limit", IF(P618&lt;=O618, "Weight Limited", "Volume Limited"))</f>
        <v/>
      </c>
      <c r="V618" s="100">
        <f>B618&amp;"|"&amp;D618&amp;"|"&amp;F618</f>
        <v/>
      </c>
    </row>
    <row r="619" ht="19" customHeight="1">
      <c r="A619" s="93" t="n">
        <v>609</v>
      </c>
      <c r="B619" s="101" t="inlineStr">
        <is>
          <t>Stainless Steel 304</t>
        </is>
      </c>
      <c r="C619" s="13" t="inlineStr">
        <is>
          <t>ASME B36.19M / B36.10M</t>
        </is>
      </c>
      <c r="D619" s="12" t="inlineStr">
        <is>
          <t>10''</t>
        </is>
      </c>
      <c r="E619" s="93" t="n">
        <v>250</v>
      </c>
      <c r="F619" s="12" t="inlineStr">
        <is>
          <t>120</t>
        </is>
      </c>
      <c r="G619" s="14" t="n">
        <v>10.75</v>
      </c>
      <c r="H619" s="78" t="n">
        <v>273.05</v>
      </c>
      <c r="I619" s="14" t="n">
        <v>0.844</v>
      </c>
      <c r="J619" s="78" t="n">
        <v>21.44</v>
      </c>
      <c r="K619" s="14">
        <f>ROUND((H619-J619)*J619*IF(B619="Carbon Steel",$K$7,IF(B619="Stainless Steel 304",$K$8,$L$8)), 3)</f>
        <v/>
      </c>
      <c r="L619" s="78">
        <f>ROUND(K619*$G$5, 2)</f>
        <v/>
      </c>
      <c r="M619" s="93">
        <f>INT($G$6/H619)</f>
        <v/>
      </c>
      <c r="N619" s="93">
        <f>IF(M619=0, 0, IF(OR($K$6="Square Grid", M619=1), INT($G$7/H619), IF($G$7&lt;H619, 0, 1+INT(($G$7-H619)/(0.8660254*H619)))))</f>
        <v/>
      </c>
      <c r="O619" s="59">
        <f>IF(OR(M619=0,N619=0), 0, IF(OR($K$6="Square Grid", M619=1), M619*N619*$K$5, (INT((N619+1)/2)*M619 + INT(N619/2)*IF(($G$6-M619*H619)&gt;=0.5*H619, M619, M619-1))*$K$5))</f>
        <v/>
      </c>
      <c r="P619" s="59">
        <f>IF(L619&lt;=0, 0, INT($G$8/L619))</f>
        <v/>
      </c>
      <c r="Q619" s="95">
        <f>MIN(O619, P619)</f>
        <v/>
      </c>
      <c r="R619" s="96">
        <f>ROUND((Q619*L619)/1000, 2)</f>
        <v/>
      </c>
      <c r="S619" s="79">
        <f>IF($C$8&gt;0, R619/$C$8, 0)</f>
        <v/>
      </c>
      <c r="T619" s="79">
        <f>IF(O619&gt;0, Q619/O619, 0)</f>
        <v/>
      </c>
      <c r="U619" s="12">
        <f>IF(Q619=0, "Exceeds Limit", IF(P619&lt;=O619, "Weight Limited", "Volume Limited"))</f>
        <v/>
      </c>
      <c r="V619" s="97">
        <f>B619&amp;"|"&amp;D619&amp;"|"&amp;F619</f>
        <v/>
      </c>
    </row>
    <row r="620" ht="19" customHeight="1">
      <c r="A620" s="98" t="n">
        <v>610</v>
      </c>
      <c r="B620" s="102" t="inlineStr">
        <is>
          <t>Stainless Steel 304</t>
        </is>
      </c>
      <c r="C620" s="19" t="inlineStr">
        <is>
          <t>ASME B36.19M / B36.10M</t>
        </is>
      </c>
      <c r="D620" s="18" t="inlineStr">
        <is>
          <t>10''</t>
        </is>
      </c>
      <c r="E620" s="98" t="n">
        <v>250</v>
      </c>
      <c r="F620" s="18" t="inlineStr">
        <is>
          <t>140</t>
        </is>
      </c>
      <c r="G620" s="20" t="n">
        <v>10.75</v>
      </c>
      <c r="H620" s="82" t="n">
        <v>273.05</v>
      </c>
      <c r="I620" s="20" t="n">
        <v>1</v>
      </c>
      <c r="J620" s="82" t="n">
        <v>25.4</v>
      </c>
      <c r="K620" s="20">
        <f>ROUND((H620-J620)*J620*IF(B620="Carbon Steel",$K$7,IF(B620="Stainless Steel 304",$K$8,$L$8)), 3)</f>
        <v/>
      </c>
      <c r="L620" s="82">
        <f>ROUND(K620*$G$5, 2)</f>
        <v/>
      </c>
      <c r="M620" s="98">
        <f>INT($G$6/H620)</f>
        <v/>
      </c>
      <c r="N620" s="98">
        <f>IF(M620=0, 0, IF(OR($K$6="Square Grid", M620=1), INT($G$7/H620), IF($G$7&lt;H620, 0, 1+INT(($G$7-H620)/(0.8660254*H620)))))</f>
        <v/>
      </c>
      <c r="O620" s="84">
        <f>IF(OR(M620=0,N620=0), 0, IF(OR($K$6="Square Grid", M620=1), M620*N620*$K$5, (INT((N620+1)/2)*M620 + INT(N620/2)*IF(($G$6-M620*H620)&gt;=0.5*H620, M620, M620-1))*$K$5))</f>
        <v/>
      </c>
      <c r="P620" s="84">
        <f>IF(L620&lt;=0, 0, INT($G$8/L620))</f>
        <v/>
      </c>
      <c r="Q620" s="95">
        <f>MIN(O620, P620)</f>
        <v/>
      </c>
      <c r="R620" s="96">
        <f>ROUND((Q620*L620)/1000, 2)</f>
        <v/>
      </c>
      <c r="S620" s="85">
        <f>IF($C$8&gt;0, R620/$C$8, 0)</f>
        <v/>
      </c>
      <c r="T620" s="85">
        <f>IF(O620&gt;0, Q620/O620, 0)</f>
        <v/>
      </c>
      <c r="U620" s="18">
        <f>IF(Q620=0, "Exceeds Limit", IF(P620&lt;=O620, "Weight Limited", "Volume Limited"))</f>
        <v/>
      </c>
      <c r="V620" s="100">
        <f>B620&amp;"|"&amp;D620&amp;"|"&amp;F620</f>
        <v/>
      </c>
    </row>
    <row r="621" ht="19" customHeight="1">
      <c r="A621" s="93" t="n">
        <v>611</v>
      </c>
      <c r="B621" s="101" t="inlineStr">
        <is>
          <t>Stainless Steel 304</t>
        </is>
      </c>
      <c r="C621" s="13" t="inlineStr">
        <is>
          <t>ASME B36.19M / B36.10M</t>
        </is>
      </c>
      <c r="D621" s="12" t="inlineStr">
        <is>
          <t>10''</t>
        </is>
      </c>
      <c r="E621" s="93" t="n">
        <v>250</v>
      </c>
      <c r="F621" s="12" t="inlineStr">
        <is>
          <t>160</t>
        </is>
      </c>
      <c r="G621" s="14" t="n">
        <v>10.75</v>
      </c>
      <c r="H621" s="78" t="n">
        <v>273.05</v>
      </c>
      <c r="I621" s="14" t="n">
        <v>1.125</v>
      </c>
      <c r="J621" s="78" t="n">
        <v>28.57</v>
      </c>
      <c r="K621" s="14">
        <f>ROUND((H621-J621)*J621*IF(B621="Carbon Steel",$K$7,IF(B621="Stainless Steel 304",$K$8,$L$8)), 3)</f>
        <v/>
      </c>
      <c r="L621" s="78">
        <f>ROUND(K621*$G$5, 2)</f>
        <v/>
      </c>
      <c r="M621" s="93">
        <f>INT($G$6/H621)</f>
        <v/>
      </c>
      <c r="N621" s="93">
        <f>IF(M621=0, 0, IF(OR($K$6="Square Grid", M621=1), INT($G$7/H621), IF($G$7&lt;H621, 0, 1+INT(($G$7-H621)/(0.8660254*H621)))))</f>
        <v/>
      </c>
      <c r="O621" s="59">
        <f>IF(OR(M621=0,N621=0), 0, IF(OR($K$6="Square Grid", M621=1), M621*N621*$K$5, (INT((N621+1)/2)*M621 + INT(N621/2)*IF(($G$6-M621*H621)&gt;=0.5*H621, M621, M621-1))*$K$5))</f>
        <v/>
      </c>
      <c r="P621" s="59">
        <f>IF(L621&lt;=0, 0, INT($G$8/L621))</f>
        <v/>
      </c>
      <c r="Q621" s="95">
        <f>MIN(O621, P621)</f>
        <v/>
      </c>
      <c r="R621" s="96">
        <f>ROUND((Q621*L621)/1000, 2)</f>
        <v/>
      </c>
      <c r="S621" s="79">
        <f>IF($C$8&gt;0, R621/$C$8, 0)</f>
        <v/>
      </c>
      <c r="T621" s="79">
        <f>IF(O621&gt;0, Q621/O621, 0)</f>
        <v/>
      </c>
      <c r="U621" s="12">
        <f>IF(Q621=0, "Exceeds Limit", IF(P621&lt;=O621, "Weight Limited", "Volume Limited"))</f>
        <v/>
      </c>
      <c r="V621" s="97">
        <f>B621&amp;"|"&amp;D621&amp;"|"&amp;F621</f>
        <v/>
      </c>
    </row>
    <row r="622" ht="19" customHeight="1">
      <c r="A622" s="98" t="n">
        <v>612</v>
      </c>
      <c r="B622" s="102" t="inlineStr">
        <is>
          <t>Stainless Steel 304</t>
        </is>
      </c>
      <c r="C622" s="19" t="inlineStr">
        <is>
          <t>ASME B36.19M / B36.10M</t>
        </is>
      </c>
      <c r="D622" s="18" t="inlineStr">
        <is>
          <t>10''</t>
        </is>
      </c>
      <c r="E622" s="98" t="n">
        <v>250</v>
      </c>
      <c r="F622" s="18" t="inlineStr">
        <is>
          <t>XXS</t>
        </is>
      </c>
      <c r="G622" s="20" t="n">
        <v>10.75</v>
      </c>
      <c r="H622" s="82" t="n">
        <v>273.05</v>
      </c>
      <c r="I622" s="20" t="n">
        <v>1</v>
      </c>
      <c r="J622" s="82" t="n">
        <v>25.4</v>
      </c>
      <c r="K622" s="20">
        <f>ROUND((H622-J622)*J622*IF(B622="Carbon Steel",$K$7,IF(B622="Stainless Steel 304",$K$8,$L$8)), 3)</f>
        <v/>
      </c>
      <c r="L622" s="82">
        <f>ROUND(K622*$G$5, 2)</f>
        <v/>
      </c>
      <c r="M622" s="98">
        <f>INT($G$6/H622)</f>
        <v/>
      </c>
      <c r="N622" s="98">
        <f>IF(M622=0, 0, IF(OR($K$6="Square Grid", M622=1), INT($G$7/H622), IF($G$7&lt;H622, 0, 1+INT(($G$7-H622)/(0.8660254*H622)))))</f>
        <v/>
      </c>
      <c r="O622" s="84">
        <f>IF(OR(M622=0,N622=0), 0, IF(OR($K$6="Square Grid", M622=1), M622*N622*$K$5, (INT((N622+1)/2)*M622 + INT(N622/2)*IF(($G$6-M622*H622)&gt;=0.5*H622, M622, M622-1))*$K$5))</f>
        <v/>
      </c>
      <c r="P622" s="84">
        <f>IF(L622&lt;=0, 0, INT($G$8/L622))</f>
        <v/>
      </c>
      <c r="Q622" s="95">
        <f>MIN(O622, P622)</f>
        <v/>
      </c>
      <c r="R622" s="96">
        <f>ROUND((Q622*L622)/1000, 2)</f>
        <v/>
      </c>
      <c r="S622" s="85">
        <f>IF($C$8&gt;0, R622/$C$8, 0)</f>
        <v/>
      </c>
      <c r="T622" s="85">
        <f>IF(O622&gt;0, Q622/O622, 0)</f>
        <v/>
      </c>
      <c r="U622" s="18">
        <f>IF(Q622=0, "Exceeds Limit", IF(P622&lt;=O622, "Weight Limited", "Volume Limited"))</f>
        <v/>
      </c>
      <c r="V622" s="100">
        <f>B622&amp;"|"&amp;D622&amp;"|"&amp;F622</f>
        <v/>
      </c>
    </row>
    <row r="623" ht="19" customHeight="1">
      <c r="A623" s="93" t="n">
        <v>613</v>
      </c>
      <c r="B623" s="101" t="inlineStr">
        <is>
          <t>Stainless Steel 304</t>
        </is>
      </c>
      <c r="C623" s="13" t="inlineStr">
        <is>
          <t>ASME B36.19M / B36.10M</t>
        </is>
      </c>
      <c r="D623" s="12" t="inlineStr">
        <is>
          <t>12''</t>
        </is>
      </c>
      <c r="E623" s="93" t="n">
        <v>300</v>
      </c>
      <c r="F623" s="12" t="inlineStr">
        <is>
          <t>5S</t>
        </is>
      </c>
      <c r="G623" s="14" t="n">
        <v>12.75</v>
      </c>
      <c r="H623" s="78" t="n">
        <v>323.85</v>
      </c>
      <c r="I623" s="14" t="n">
        <v>0.156</v>
      </c>
      <c r="J623" s="78" t="n">
        <v>3.96</v>
      </c>
      <c r="K623" s="14">
        <f>ROUND((H623-J623)*J623*IF(B623="Carbon Steel",$K$7,IF(B623="Stainless Steel 304",$K$8,$L$8)), 3)</f>
        <v/>
      </c>
      <c r="L623" s="78">
        <f>ROUND(K623*$G$5, 2)</f>
        <v/>
      </c>
      <c r="M623" s="93">
        <f>INT($G$6/H623)</f>
        <v/>
      </c>
      <c r="N623" s="93">
        <f>IF(M623=0, 0, IF(OR($K$6="Square Grid", M623=1), INT($G$7/H623), IF($G$7&lt;H623, 0, 1+INT(($G$7-H623)/(0.8660254*H623)))))</f>
        <v/>
      </c>
      <c r="O623" s="59">
        <f>IF(OR(M623=0,N623=0), 0, IF(OR($K$6="Square Grid", M623=1), M623*N623*$K$5, (INT((N623+1)/2)*M623 + INT(N623/2)*IF(($G$6-M623*H623)&gt;=0.5*H623, M623, M623-1))*$K$5))</f>
        <v/>
      </c>
      <c r="P623" s="59">
        <f>IF(L623&lt;=0, 0, INT($G$8/L623))</f>
        <v/>
      </c>
      <c r="Q623" s="95">
        <f>MIN(O623, P623)</f>
        <v/>
      </c>
      <c r="R623" s="96">
        <f>ROUND((Q623*L623)/1000, 2)</f>
        <v/>
      </c>
      <c r="S623" s="79">
        <f>IF($C$8&gt;0, R623/$C$8, 0)</f>
        <v/>
      </c>
      <c r="T623" s="79">
        <f>IF(O623&gt;0, Q623/O623, 0)</f>
        <v/>
      </c>
      <c r="U623" s="12">
        <f>IF(Q623=0, "Exceeds Limit", IF(P623&lt;=O623, "Weight Limited", "Volume Limited"))</f>
        <v/>
      </c>
      <c r="V623" s="97">
        <f>B623&amp;"|"&amp;D623&amp;"|"&amp;F623</f>
        <v/>
      </c>
    </row>
    <row r="624" ht="19" customHeight="1">
      <c r="A624" s="98" t="n">
        <v>614</v>
      </c>
      <c r="B624" s="102" t="inlineStr">
        <is>
          <t>Stainless Steel 304</t>
        </is>
      </c>
      <c r="C624" s="19" t="inlineStr">
        <is>
          <t>ASME B36.19M / B36.10M</t>
        </is>
      </c>
      <c r="D624" s="18" t="inlineStr">
        <is>
          <t>12''</t>
        </is>
      </c>
      <c r="E624" s="98" t="n">
        <v>300</v>
      </c>
      <c r="F624" s="18" t="inlineStr">
        <is>
          <t>5</t>
        </is>
      </c>
      <c r="G624" s="20" t="n">
        <v>12.75</v>
      </c>
      <c r="H624" s="82" t="n">
        <v>323.85</v>
      </c>
      <c r="I624" s="20" t="n">
        <v>0.156</v>
      </c>
      <c r="J624" s="82" t="n">
        <v>3.96</v>
      </c>
      <c r="K624" s="20">
        <f>ROUND((H624-J624)*J624*IF(B624="Carbon Steel",$K$7,IF(B624="Stainless Steel 304",$K$8,$L$8)), 3)</f>
        <v/>
      </c>
      <c r="L624" s="82">
        <f>ROUND(K624*$G$5, 2)</f>
        <v/>
      </c>
      <c r="M624" s="98">
        <f>INT($G$6/H624)</f>
        <v/>
      </c>
      <c r="N624" s="98">
        <f>IF(M624=0, 0, IF(OR($K$6="Square Grid", M624=1), INT($G$7/H624), IF($G$7&lt;H624, 0, 1+INT(($G$7-H624)/(0.8660254*H624)))))</f>
        <v/>
      </c>
      <c r="O624" s="84">
        <f>IF(OR(M624=0,N624=0), 0, IF(OR($K$6="Square Grid", M624=1), M624*N624*$K$5, (INT((N624+1)/2)*M624 + INT(N624/2)*IF(($G$6-M624*H624)&gt;=0.5*H624, M624, M624-1))*$K$5))</f>
        <v/>
      </c>
      <c r="P624" s="84">
        <f>IF(L624&lt;=0, 0, INT($G$8/L624))</f>
        <v/>
      </c>
      <c r="Q624" s="95">
        <f>MIN(O624, P624)</f>
        <v/>
      </c>
      <c r="R624" s="96">
        <f>ROUND((Q624*L624)/1000, 2)</f>
        <v/>
      </c>
      <c r="S624" s="85">
        <f>IF($C$8&gt;0, R624/$C$8, 0)</f>
        <v/>
      </c>
      <c r="T624" s="85">
        <f>IF(O624&gt;0, Q624/O624, 0)</f>
        <v/>
      </c>
      <c r="U624" s="18">
        <f>IF(Q624=0, "Exceeds Limit", IF(P624&lt;=O624, "Weight Limited", "Volume Limited"))</f>
        <v/>
      </c>
      <c r="V624" s="100">
        <f>B624&amp;"|"&amp;D624&amp;"|"&amp;F624</f>
        <v/>
      </c>
    </row>
    <row r="625" ht="19" customHeight="1">
      <c r="A625" s="93" t="n">
        <v>615</v>
      </c>
      <c r="B625" s="101" t="inlineStr">
        <is>
          <t>Stainless Steel 304</t>
        </is>
      </c>
      <c r="C625" s="13" t="inlineStr">
        <is>
          <t>ASME B36.19M / B36.10M</t>
        </is>
      </c>
      <c r="D625" s="12" t="inlineStr">
        <is>
          <t>12''</t>
        </is>
      </c>
      <c r="E625" s="93" t="n">
        <v>300</v>
      </c>
      <c r="F625" s="12" t="inlineStr">
        <is>
          <t>10S</t>
        </is>
      </c>
      <c r="G625" s="14" t="n">
        <v>12.75</v>
      </c>
      <c r="H625" s="78" t="n">
        <v>323.85</v>
      </c>
      <c r="I625" s="14" t="n">
        <v>0.18</v>
      </c>
      <c r="J625" s="78" t="n">
        <v>4.57</v>
      </c>
      <c r="K625" s="14">
        <f>ROUND((H625-J625)*J625*IF(B625="Carbon Steel",$K$7,IF(B625="Stainless Steel 304",$K$8,$L$8)), 3)</f>
        <v/>
      </c>
      <c r="L625" s="78">
        <f>ROUND(K625*$G$5, 2)</f>
        <v/>
      </c>
      <c r="M625" s="93">
        <f>INT($G$6/H625)</f>
        <v/>
      </c>
      <c r="N625" s="93">
        <f>IF(M625=0, 0, IF(OR($K$6="Square Grid", M625=1), INT($G$7/H625), IF($G$7&lt;H625, 0, 1+INT(($G$7-H625)/(0.8660254*H625)))))</f>
        <v/>
      </c>
      <c r="O625" s="59">
        <f>IF(OR(M625=0,N625=0), 0, IF(OR($K$6="Square Grid", M625=1), M625*N625*$K$5, (INT((N625+1)/2)*M625 + INT(N625/2)*IF(($G$6-M625*H625)&gt;=0.5*H625, M625, M625-1))*$K$5))</f>
        <v/>
      </c>
      <c r="P625" s="59">
        <f>IF(L625&lt;=0, 0, INT($G$8/L625))</f>
        <v/>
      </c>
      <c r="Q625" s="95">
        <f>MIN(O625, P625)</f>
        <v/>
      </c>
      <c r="R625" s="96">
        <f>ROUND((Q625*L625)/1000, 2)</f>
        <v/>
      </c>
      <c r="S625" s="79">
        <f>IF($C$8&gt;0, R625/$C$8, 0)</f>
        <v/>
      </c>
      <c r="T625" s="79">
        <f>IF(O625&gt;0, Q625/O625, 0)</f>
        <v/>
      </c>
      <c r="U625" s="12">
        <f>IF(Q625=0, "Exceeds Limit", IF(P625&lt;=O625, "Weight Limited", "Volume Limited"))</f>
        <v/>
      </c>
      <c r="V625" s="97">
        <f>B625&amp;"|"&amp;D625&amp;"|"&amp;F625</f>
        <v/>
      </c>
    </row>
    <row r="626" ht="19" customHeight="1">
      <c r="A626" s="98" t="n">
        <v>616</v>
      </c>
      <c r="B626" s="102" t="inlineStr">
        <is>
          <t>Stainless Steel 304</t>
        </is>
      </c>
      <c r="C626" s="19" t="inlineStr">
        <is>
          <t>ASME B36.19M / B36.10M</t>
        </is>
      </c>
      <c r="D626" s="18" t="inlineStr">
        <is>
          <t>12''</t>
        </is>
      </c>
      <c r="E626" s="98" t="n">
        <v>300</v>
      </c>
      <c r="F626" s="18" t="inlineStr">
        <is>
          <t>10</t>
        </is>
      </c>
      <c r="G626" s="20" t="n">
        <v>12.75</v>
      </c>
      <c r="H626" s="82" t="n">
        <v>323.85</v>
      </c>
      <c r="I626" s="20" t="n">
        <v>0.18</v>
      </c>
      <c r="J626" s="82" t="n">
        <v>4.57</v>
      </c>
      <c r="K626" s="20">
        <f>ROUND((H626-J626)*J626*IF(B626="Carbon Steel",$K$7,IF(B626="Stainless Steel 304",$K$8,$L$8)), 3)</f>
        <v/>
      </c>
      <c r="L626" s="82">
        <f>ROUND(K626*$G$5, 2)</f>
        <v/>
      </c>
      <c r="M626" s="98">
        <f>INT($G$6/H626)</f>
        <v/>
      </c>
      <c r="N626" s="98">
        <f>IF(M626=0, 0, IF(OR($K$6="Square Grid", M626=1), INT($G$7/H626), IF($G$7&lt;H626, 0, 1+INT(($G$7-H626)/(0.8660254*H626)))))</f>
        <v/>
      </c>
      <c r="O626" s="84">
        <f>IF(OR(M626=0,N626=0), 0, IF(OR($K$6="Square Grid", M626=1), M626*N626*$K$5, (INT((N626+1)/2)*M626 + INT(N626/2)*IF(($G$6-M626*H626)&gt;=0.5*H626, M626, M626-1))*$K$5))</f>
        <v/>
      </c>
      <c r="P626" s="84">
        <f>IF(L626&lt;=0, 0, INT($G$8/L626))</f>
        <v/>
      </c>
      <c r="Q626" s="95">
        <f>MIN(O626, P626)</f>
        <v/>
      </c>
      <c r="R626" s="96">
        <f>ROUND((Q626*L626)/1000, 2)</f>
        <v/>
      </c>
      <c r="S626" s="85">
        <f>IF($C$8&gt;0, R626/$C$8, 0)</f>
        <v/>
      </c>
      <c r="T626" s="85">
        <f>IF(O626&gt;0, Q626/O626, 0)</f>
        <v/>
      </c>
      <c r="U626" s="18">
        <f>IF(Q626=0, "Exceeds Limit", IF(P626&lt;=O626, "Weight Limited", "Volume Limited"))</f>
        <v/>
      </c>
      <c r="V626" s="100">
        <f>B626&amp;"|"&amp;D626&amp;"|"&amp;F626</f>
        <v/>
      </c>
    </row>
    <row r="627" ht="19" customHeight="1">
      <c r="A627" s="93" t="n">
        <v>617</v>
      </c>
      <c r="B627" s="101" t="inlineStr">
        <is>
          <t>Stainless Steel 304</t>
        </is>
      </c>
      <c r="C627" s="13" t="inlineStr">
        <is>
          <t>ASME B36.19M / B36.10M</t>
        </is>
      </c>
      <c r="D627" s="12" t="inlineStr">
        <is>
          <t>12''</t>
        </is>
      </c>
      <c r="E627" s="93" t="n">
        <v>300</v>
      </c>
      <c r="F627" s="12" t="inlineStr">
        <is>
          <t>20</t>
        </is>
      </c>
      <c r="G627" s="14" t="n">
        <v>12.75</v>
      </c>
      <c r="H627" s="78" t="n">
        <v>323.85</v>
      </c>
      <c r="I627" s="14" t="n">
        <v>0.25</v>
      </c>
      <c r="J627" s="78" t="n">
        <v>6.35</v>
      </c>
      <c r="K627" s="14">
        <f>ROUND((H627-J627)*J627*IF(B627="Carbon Steel",$K$7,IF(B627="Stainless Steel 304",$K$8,$L$8)), 3)</f>
        <v/>
      </c>
      <c r="L627" s="78">
        <f>ROUND(K627*$G$5, 2)</f>
        <v/>
      </c>
      <c r="M627" s="93">
        <f>INT($G$6/H627)</f>
        <v/>
      </c>
      <c r="N627" s="93">
        <f>IF(M627=0, 0, IF(OR($K$6="Square Grid", M627=1), INT($G$7/H627), IF($G$7&lt;H627, 0, 1+INT(($G$7-H627)/(0.8660254*H627)))))</f>
        <v/>
      </c>
      <c r="O627" s="59">
        <f>IF(OR(M627=0,N627=0), 0, IF(OR($K$6="Square Grid", M627=1), M627*N627*$K$5, (INT((N627+1)/2)*M627 + INT(N627/2)*IF(($G$6-M627*H627)&gt;=0.5*H627, M627, M627-1))*$K$5))</f>
        <v/>
      </c>
      <c r="P627" s="59">
        <f>IF(L627&lt;=0, 0, INT($G$8/L627))</f>
        <v/>
      </c>
      <c r="Q627" s="95">
        <f>MIN(O627, P627)</f>
        <v/>
      </c>
      <c r="R627" s="96">
        <f>ROUND((Q627*L627)/1000, 2)</f>
        <v/>
      </c>
      <c r="S627" s="79">
        <f>IF($C$8&gt;0, R627/$C$8, 0)</f>
        <v/>
      </c>
      <c r="T627" s="79">
        <f>IF(O627&gt;0, Q627/O627, 0)</f>
        <v/>
      </c>
      <c r="U627" s="12">
        <f>IF(Q627=0, "Exceeds Limit", IF(P627&lt;=O627, "Weight Limited", "Volume Limited"))</f>
        <v/>
      </c>
      <c r="V627" s="97">
        <f>B627&amp;"|"&amp;D627&amp;"|"&amp;F627</f>
        <v/>
      </c>
    </row>
    <row r="628" ht="19" customHeight="1">
      <c r="A628" s="98" t="n">
        <v>618</v>
      </c>
      <c r="B628" s="102" t="inlineStr">
        <is>
          <t>Stainless Steel 304</t>
        </is>
      </c>
      <c r="C628" s="19" t="inlineStr">
        <is>
          <t>ASME B36.19M / B36.10M</t>
        </is>
      </c>
      <c r="D628" s="18" t="inlineStr">
        <is>
          <t>12''</t>
        </is>
      </c>
      <c r="E628" s="98" t="n">
        <v>300</v>
      </c>
      <c r="F628" s="18" t="inlineStr">
        <is>
          <t>30</t>
        </is>
      </c>
      <c r="G628" s="20" t="n">
        <v>12.75</v>
      </c>
      <c r="H628" s="82" t="n">
        <v>323.85</v>
      </c>
      <c r="I628" s="20" t="n">
        <v>0.33</v>
      </c>
      <c r="J628" s="82" t="n">
        <v>8.380000000000001</v>
      </c>
      <c r="K628" s="20">
        <f>ROUND((H628-J628)*J628*IF(B628="Carbon Steel",$K$7,IF(B628="Stainless Steel 304",$K$8,$L$8)), 3)</f>
        <v/>
      </c>
      <c r="L628" s="82">
        <f>ROUND(K628*$G$5, 2)</f>
        <v/>
      </c>
      <c r="M628" s="98">
        <f>INT($G$6/H628)</f>
        <v/>
      </c>
      <c r="N628" s="98">
        <f>IF(M628=0, 0, IF(OR($K$6="Square Grid", M628=1), INT($G$7/H628), IF($G$7&lt;H628, 0, 1+INT(($G$7-H628)/(0.8660254*H628)))))</f>
        <v/>
      </c>
      <c r="O628" s="84">
        <f>IF(OR(M628=0,N628=0), 0, IF(OR($K$6="Square Grid", M628=1), M628*N628*$K$5, (INT((N628+1)/2)*M628 + INT(N628/2)*IF(($G$6-M628*H628)&gt;=0.5*H628, M628, M628-1))*$K$5))</f>
        <v/>
      </c>
      <c r="P628" s="84">
        <f>IF(L628&lt;=0, 0, INT($G$8/L628))</f>
        <v/>
      </c>
      <c r="Q628" s="95">
        <f>MIN(O628, P628)</f>
        <v/>
      </c>
      <c r="R628" s="96">
        <f>ROUND((Q628*L628)/1000, 2)</f>
        <v/>
      </c>
      <c r="S628" s="85">
        <f>IF($C$8&gt;0, R628/$C$8, 0)</f>
        <v/>
      </c>
      <c r="T628" s="85">
        <f>IF(O628&gt;0, Q628/O628, 0)</f>
        <v/>
      </c>
      <c r="U628" s="18">
        <f>IF(Q628=0, "Exceeds Limit", IF(P628&lt;=O628, "Weight Limited", "Volume Limited"))</f>
        <v/>
      </c>
      <c r="V628" s="100">
        <f>B628&amp;"|"&amp;D628&amp;"|"&amp;F628</f>
        <v/>
      </c>
    </row>
    <row r="629" ht="19" customHeight="1">
      <c r="A629" s="93" t="n">
        <v>619</v>
      </c>
      <c r="B629" s="101" t="inlineStr">
        <is>
          <t>Stainless Steel 304</t>
        </is>
      </c>
      <c r="C629" s="13" t="inlineStr">
        <is>
          <t>ASME B36.19M / B36.10M</t>
        </is>
      </c>
      <c r="D629" s="12" t="inlineStr">
        <is>
          <t>12''</t>
        </is>
      </c>
      <c r="E629" s="93" t="n">
        <v>300</v>
      </c>
      <c r="F629" s="12" t="inlineStr">
        <is>
          <t>40S</t>
        </is>
      </c>
      <c r="G629" s="14" t="n">
        <v>12.75</v>
      </c>
      <c r="H629" s="78" t="n">
        <v>323.85</v>
      </c>
      <c r="I629" s="14" t="n">
        <v>0.375</v>
      </c>
      <c r="J629" s="78" t="n">
        <v>9.52</v>
      </c>
      <c r="K629" s="14">
        <f>ROUND((H629-J629)*J629*IF(B629="Carbon Steel",$K$7,IF(B629="Stainless Steel 304",$K$8,$L$8)), 3)</f>
        <v/>
      </c>
      <c r="L629" s="78">
        <f>ROUND(K629*$G$5, 2)</f>
        <v/>
      </c>
      <c r="M629" s="93">
        <f>INT($G$6/H629)</f>
        <v/>
      </c>
      <c r="N629" s="93">
        <f>IF(M629=0, 0, IF(OR($K$6="Square Grid", M629=1), INT($G$7/H629), IF($G$7&lt;H629, 0, 1+INT(($G$7-H629)/(0.8660254*H629)))))</f>
        <v/>
      </c>
      <c r="O629" s="59">
        <f>IF(OR(M629=0,N629=0), 0, IF(OR($K$6="Square Grid", M629=1), M629*N629*$K$5, (INT((N629+1)/2)*M629 + INT(N629/2)*IF(($G$6-M629*H629)&gt;=0.5*H629, M629, M629-1))*$K$5))</f>
        <v/>
      </c>
      <c r="P629" s="59">
        <f>IF(L629&lt;=0, 0, INT($G$8/L629))</f>
        <v/>
      </c>
      <c r="Q629" s="95">
        <f>MIN(O629, P629)</f>
        <v/>
      </c>
      <c r="R629" s="96">
        <f>ROUND((Q629*L629)/1000, 2)</f>
        <v/>
      </c>
      <c r="S629" s="79">
        <f>IF($C$8&gt;0, R629/$C$8, 0)</f>
        <v/>
      </c>
      <c r="T629" s="79">
        <f>IF(O629&gt;0, Q629/O629, 0)</f>
        <v/>
      </c>
      <c r="U629" s="12">
        <f>IF(Q629=0, "Exceeds Limit", IF(P629&lt;=O629, "Weight Limited", "Volume Limited"))</f>
        <v/>
      </c>
      <c r="V629" s="97">
        <f>B629&amp;"|"&amp;D629&amp;"|"&amp;F629</f>
        <v/>
      </c>
    </row>
    <row r="630" ht="19" customHeight="1">
      <c r="A630" s="98" t="n">
        <v>620</v>
      </c>
      <c r="B630" s="102" t="inlineStr">
        <is>
          <t>Stainless Steel 304</t>
        </is>
      </c>
      <c r="C630" s="19" t="inlineStr">
        <is>
          <t>ASME B36.19M / B36.10M</t>
        </is>
      </c>
      <c r="D630" s="18" t="inlineStr">
        <is>
          <t>12''</t>
        </is>
      </c>
      <c r="E630" s="98" t="n">
        <v>300</v>
      </c>
      <c r="F630" s="18" t="inlineStr">
        <is>
          <t>STD</t>
        </is>
      </c>
      <c r="G630" s="20" t="n">
        <v>12.75</v>
      </c>
      <c r="H630" s="82" t="n">
        <v>323.85</v>
      </c>
      <c r="I630" s="20" t="n">
        <v>0.375</v>
      </c>
      <c r="J630" s="82" t="n">
        <v>9.52</v>
      </c>
      <c r="K630" s="20">
        <f>ROUND((H630-J630)*J630*IF(B630="Carbon Steel",$K$7,IF(B630="Stainless Steel 304",$K$8,$L$8)), 3)</f>
        <v/>
      </c>
      <c r="L630" s="82">
        <f>ROUND(K630*$G$5, 2)</f>
        <v/>
      </c>
      <c r="M630" s="98">
        <f>INT($G$6/H630)</f>
        <v/>
      </c>
      <c r="N630" s="98">
        <f>IF(M630=0, 0, IF(OR($K$6="Square Grid", M630=1), INT($G$7/H630), IF($G$7&lt;H630, 0, 1+INT(($G$7-H630)/(0.8660254*H630)))))</f>
        <v/>
      </c>
      <c r="O630" s="84">
        <f>IF(OR(M630=0,N630=0), 0, IF(OR($K$6="Square Grid", M630=1), M630*N630*$K$5, (INT((N630+1)/2)*M630 + INT(N630/2)*IF(($G$6-M630*H630)&gt;=0.5*H630, M630, M630-1))*$K$5))</f>
        <v/>
      </c>
      <c r="P630" s="84">
        <f>IF(L630&lt;=0, 0, INT($G$8/L630))</f>
        <v/>
      </c>
      <c r="Q630" s="95">
        <f>MIN(O630, P630)</f>
        <v/>
      </c>
      <c r="R630" s="96">
        <f>ROUND((Q630*L630)/1000, 2)</f>
        <v/>
      </c>
      <c r="S630" s="85">
        <f>IF($C$8&gt;0, R630/$C$8, 0)</f>
        <v/>
      </c>
      <c r="T630" s="85">
        <f>IF(O630&gt;0, Q630/O630, 0)</f>
        <v/>
      </c>
      <c r="U630" s="18">
        <f>IF(Q630=0, "Exceeds Limit", IF(P630&lt;=O630, "Weight Limited", "Volume Limited"))</f>
        <v/>
      </c>
      <c r="V630" s="100">
        <f>B630&amp;"|"&amp;D630&amp;"|"&amp;F630</f>
        <v/>
      </c>
    </row>
    <row r="631" ht="19" customHeight="1">
      <c r="A631" s="93" t="n">
        <v>621</v>
      </c>
      <c r="B631" s="101" t="inlineStr">
        <is>
          <t>Stainless Steel 304</t>
        </is>
      </c>
      <c r="C631" s="13" t="inlineStr">
        <is>
          <t>ASME B36.19M / B36.10M</t>
        </is>
      </c>
      <c r="D631" s="12" t="inlineStr">
        <is>
          <t>12''</t>
        </is>
      </c>
      <c r="E631" s="93" t="n">
        <v>300</v>
      </c>
      <c r="F631" s="12" t="inlineStr">
        <is>
          <t>40</t>
        </is>
      </c>
      <c r="G631" s="14" t="n">
        <v>12.75</v>
      </c>
      <c r="H631" s="78" t="n">
        <v>323.85</v>
      </c>
      <c r="I631" s="14" t="n">
        <v>0.406</v>
      </c>
      <c r="J631" s="78" t="n">
        <v>10.31</v>
      </c>
      <c r="K631" s="14">
        <f>ROUND((H631-J631)*J631*IF(B631="Carbon Steel",$K$7,IF(B631="Stainless Steel 304",$K$8,$L$8)), 3)</f>
        <v/>
      </c>
      <c r="L631" s="78">
        <f>ROUND(K631*$G$5, 2)</f>
        <v/>
      </c>
      <c r="M631" s="93">
        <f>INT($G$6/H631)</f>
        <v/>
      </c>
      <c r="N631" s="93">
        <f>IF(M631=0, 0, IF(OR($K$6="Square Grid", M631=1), INT($G$7/H631), IF($G$7&lt;H631, 0, 1+INT(($G$7-H631)/(0.8660254*H631)))))</f>
        <v/>
      </c>
      <c r="O631" s="59">
        <f>IF(OR(M631=0,N631=0), 0, IF(OR($K$6="Square Grid", M631=1), M631*N631*$K$5, (INT((N631+1)/2)*M631 + INT(N631/2)*IF(($G$6-M631*H631)&gt;=0.5*H631, M631, M631-1))*$K$5))</f>
        <v/>
      </c>
      <c r="P631" s="59">
        <f>IF(L631&lt;=0, 0, INT($G$8/L631))</f>
        <v/>
      </c>
      <c r="Q631" s="95">
        <f>MIN(O631, P631)</f>
        <v/>
      </c>
      <c r="R631" s="96">
        <f>ROUND((Q631*L631)/1000, 2)</f>
        <v/>
      </c>
      <c r="S631" s="79">
        <f>IF($C$8&gt;0, R631/$C$8, 0)</f>
        <v/>
      </c>
      <c r="T631" s="79">
        <f>IF(O631&gt;0, Q631/O631, 0)</f>
        <v/>
      </c>
      <c r="U631" s="12">
        <f>IF(Q631=0, "Exceeds Limit", IF(P631&lt;=O631, "Weight Limited", "Volume Limited"))</f>
        <v/>
      </c>
      <c r="V631" s="97">
        <f>B631&amp;"|"&amp;D631&amp;"|"&amp;F631</f>
        <v/>
      </c>
    </row>
    <row r="632" ht="19" customHeight="1">
      <c r="A632" s="98" t="n">
        <v>622</v>
      </c>
      <c r="B632" s="102" t="inlineStr">
        <is>
          <t>Stainless Steel 304</t>
        </is>
      </c>
      <c r="C632" s="19" t="inlineStr">
        <is>
          <t>ASME B36.19M / B36.10M</t>
        </is>
      </c>
      <c r="D632" s="18" t="inlineStr">
        <is>
          <t>12''</t>
        </is>
      </c>
      <c r="E632" s="98" t="n">
        <v>300</v>
      </c>
      <c r="F632" s="18" t="inlineStr">
        <is>
          <t>60</t>
        </is>
      </c>
      <c r="G632" s="20" t="n">
        <v>12.75</v>
      </c>
      <c r="H632" s="82" t="n">
        <v>323.85</v>
      </c>
      <c r="I632" s="20" t="n">
        <v>0.5620000000000001</v>
      </c>
      <c r="J632" s="82" t="n">
        <v>14.27</v>
      </c>
      <c r="K632" s="20">
        <f>ROUND((H632-J632)*J632*IF(B632="Carbon Steel",$K$7,IF(B632="Stainless Steel 304",$K$8,$L$8)), 3)</f>
        <v/>
      </c>
      <c r="L632" s="82">
        <f>ROUND(K632*$G$5, 2)</f>
        <v/>
      </c>
      <c r="M632" s="98">
        <f>INT($G$6/H632)</f>
        <v/>
      </c>
      <c r="N632" s="98">
        <f>IF(M632=0, 0, IF(OR($K$6="Square Grid", M632=1), INT($G$7/H632), IF($G$7&lt;H632, 0, 1+INT(($G$7-H632)/(0.8660254*H632)))))</f>
        <v/>
      </c>
      <c r="O632" s="84">
        <f>IF(OR(M632=0,N632=0), 0, IF(OR($K$6="Square Grid", M632=1), M632*N632*$K$5, (INT((N632+1)/2)*M632 + INT(N632/2)*IF(($G$6-M632*H632)&gt;=0.5*H632, M632, M632-1))*$K$5))</f>
        <v/>
      </c>
      <c r="P632" s="84">
        <f>IF(L632&lt;=0, 0, INT($G$8/L632))</f>
        <v/>
      </c>
      <c r="Q632" s="95">
        <f>MIN(O632, P632)</f>
        <v/>
      </c>
      <c r="R632" s="96">
        <f>ROUND((Q632*L632)/1000, 2)</f>
        <v/>
      </c>
      <c r="S632" s="85">
        <f>IF($C$8&gt;0, R632/$C$8, 0)</f>
        <v/>
      </c>
      <c r="T632" s="85">
        <f>IF(O632&gt;0, Q632/O632, 0)</f>
        <v/>
      </c>
      <c r="U632" s="18">
        <f>IF(Q632=0, "Exceeds Limit", IF(P632&lt;=O632, "Weight Limited", "Volume Limited"))</f>
        <v/>
      </c>
      <c r="V632" s="100">
        <f>B632&amp;"|"&amp;D632&amp;"|"&amp;F632</f>
        <v/>
      </c>
    </row>
    <row r="633" ht="19" customHeight="1">
      <c r="A633" s="93" t="n">
        <v>623</v>
      </c>
      <c r="B633" s="101" t="inlineStr">
        <is>
          <t>Stainless Steel 304</t>
        </is>
      </c>
      <c r="C633" s="13" t="inlineStr">
        <is>
          <t>ASME B36.19M / B36.10M</t>
        </is>
      </c>
      <c r="D633" s="12" t="inlineStr">
        <is>
          <t>12''</t>
        </is>
      </c>
      <c r="E633" s="93" t="n">
        <v>300</v>
      </c>
      <c r="F633" s="12" t="inlineStr">
        <is>
          <t>80S</t>
        </is>
      </c>
      <c r="G633" s="14" t="n">
        <v>12.75</v>
      </c>
      <c r="H633" s="78" t="n">
        <v>323.85</v>
      </c>
      <c r="I633" s="14" t="n">
        <v>0.5</v>
      </c>
      <c r="J633" s="78" t="n">
        <v>12.7</v>
      </c>
      <c r="K633" s="14">
        <f>ROUND((H633-J633)*J633*IF(B633="Carbon Steel",$K$7,IF(B633="Stainless Steel 304",$K$8,$L$8)), 3)</f>
        <v/>
      </c>
      <c r="L633" s="78">
        <f>ROUND(K633*$G$5, 2)</f>
        <v/>
      </c>
      <c r="M633" s="93">
        <f>INT($G$6/H633)</f>
        <v/>
      </c>
      <c r="N633" s="93">
        <f>IF(M633=0, 0, IF(OR($K$6="Square Grid", M633=1), INT($G$7/H633), IF($G$7&lt;H633, 0, 1+INT(($G$7-H633)/(0.8660254*H633)))))</f>
        <v/>
      </c>
      <c r="O633" s="59">
        <f>IF(OR(M633=0,N633=0), 0, IF(OR($K$6="Square Grid", M633=1), M633*N633*$K$5, (INT((N633+1)/2)*M633 + INT(N633/2)*IF(($G$6-M633*H633)&gt;=0.5*H633, M633, M633-1))*$K$5))</f>
        <v/>
      </c>
      <c r="P633" s="59">
        <f>IF(L633&lt;=0, 0, INT($G$8/L633))</f>
        <v/>
      </c>
      <c r="Q633" s="95">
        <f>MIN(O633, P633)</f>
        <v/>
      </c>
      <c r="R633" s="96">
        <f>ROUND((Q633*L633)/1000, 2)</f>
        <v/>
      </c>
      <c r="S633" s="79">
        <f>IF($C$8&gt;0, R633/$C$8, 0)</f>
        <v/>
      </c>
      <c r="T633" s="79">
        <f>IF(O633&gt;0, Q633/O633, 0)</f>
        <v/>
      </c>
      <c r="U633" s="12">
        <f>IF(Q633=0, "Exceeds Limit", IF(P633&lt;=O633, "Weight Limited", "Volume Limited"))</f>
        <v/>
      </c>
      <c r="V633" s="97">
        <f>B633&amp;"|"&amp;D633&amp;"|"&amp;F633</f>
        <v/>
      </c>
    </row>
    <row r="634" ht="19" customHeight="1">
      <c r="A634" s="98" t="n">
        <v>624</v>
      </c>
      <c r="B634" s="102" t="inlineStr">
        <is>
          <t>Stainless Steel 304</t>
        </is>
      </c>
      <c r="C634" s="19" t="inlineStr">
        <is>
          <t>ASME B36.19M / B36.10M</t>
        </is>
      </c>
      <c r="D634" s="18" t="inlineStr">
        <is>
          <t>12''</t>
        </is>
      </c>
      <c r="E634" s="98" t="n">
        <v>300</v>
      </c>
      <c r="F634" s="18" t="inlineStr">
        <is>
          <t>XS</t>
        </is>
      </c>
      <c r="G634" s="20" t="n">
        <v>12.75</v>
      </c>
      <c r="H634" s="82" t="n">
        <v>323.85</v>
      </c>
      <c r="I634" s="20" t="n">
        <v>0.5</v>
      </c>
      <c r="J634" s="82" t="n">
        <v>12.7</v>
      </c>
      <c r="K634" s="20">
        <f>ROUND((H634-J634)*J634*IF(B634="Carbon Steel",$K$7,IF(B634="Stainless Steel 304",$K$8,$L$8)), 3)</f>
        <v/>
      </c>
      <c r="L634" s="82">
        <f>ROUND(K634*$G$5, 2)</f>
        <v/>
      </c>
      <c r="M634" s="98">
        <f>INT($G$6/H634)</f>
        <v/>
      </c>
      <c r="N634" s="98">
        <f>IF(M634=0, 0, IF(OR($K$6="Square Grid", M634=1), INT($G$7/H634), IF($G$7&lt;H634, 0, 1+INT(($G$7-H634)/(0.8660254*H634)))))</f>
        <v/>
      </c>
      <c r="O634" s="84">
        <f>IF(OR(M634=0,N634=0), 0, IF(OR($K$6="Square Grid", M634=1), M634*N634*$K$5, (INT((N634+1)/2)*M634 + INT(N634/2)*IF(($G$6-M634*H634)&gt;=0.5*H634, M634, M634-1))*$K$5))</f>
        <v/>
      </c>
      <c r="P634" s="84">
        <f>IF(L634&lt;=0, 0, INT($G$8/L634))</f>
        <v/>
      </c>
      <c r="Q634" s="95">
        <f>MIN(O634, P634)</f>
        <v/>
      </c>
      <c r="R634" s="96">
        <f>ROUND((Q634*L634)/1000, 2)</f>
        <v/>
      </c>
      <c r="S634" s="85">
        <f>IF($C$8&gt;0, R634/$C$8, 0)</f>
        <v/>
      </c>
      <c r="T634" s="85">
        <f>IF(O634&gt;0, Q634/O634, 0)</f>
        <v/>
      </c>
      <c r="U634" s="18">
        <f>IF(Q634=0, "Exceeds Limit", IF(P634&lt;=O634, "Weight Limited", "Volume Limited"))</f>
        <v/>
      </c>
      <c r="V634" s="100">
        <f>B634&amp;"|"&amp;D634&amp;"|"&amp;F634</f>
        <v/>
      </c>
    </row>
    <row r="635" ht="19" customHeight="1">
      <c r="A635" s="93" t="n">
        <v>625</v>
      </c>
      <c r="B635" s="101" t="inlineStr">
        <is>
          <t>Stainless Steel 304</t>
        </is>
      </c>
      <c r="C635" s="13" t="inlineStr">
        <is>
          <t>ASME B36.19M / B36.10M</t>
        </is>
      </c>
      <c r="D635" s="12" t="inlineStr">
        <is>
          <t>12''</t>
        </is>
      </c>
      <c r="E635" s="93" t="n">
        <v>300</v>
      </c>
      <c r="F635" s="12" t="inlineStr">
        <is>
          <t>80</t>
        </is>
      </c>
      <c r="G635" s="14" t="n">
        <v>12.75</v>
      </c>
      <c r="H635" s="78" t="n">
        <v>323.85</v>
      </c>
      <c r="I635" s="14" t="n">
        <v>0.6879999999999999</v>
      </c>
      <c r="J635" s="78" t="n">
        <v>17.48</v>
      </c>
      <c r="K635" s="14">
        <f>ROUND((H635-J635)*J635*IF(B635="Carbon Steel",$K$7,IF(B635="Stainless Steel 304",$K$8,$L$8)), 3)</f>
        <v/>
      </c>
      <c r="L635" s="78">
        <f>ROUND(K635*$G$5, 2)</f>
        <v/>
      </c>
      <c r="M635" s="93">
        <f>INT($G$6/H635)</f>
        <v/>
      </c>
      <c r="N635" s="93">
        <f>IF(M635=0, 0, IF(OR($K$6="Square Grid", M635=1), INT($G$7/H635), IF($G$7&lt;H635, 0, 1+INT(($G$7-H635)/(0.8660254*H635)))))</f>
        <v/>
      </c>
      <c r="O635" s="59">
        <f>IF(OR(M635=0,N635=0), 0, IF(OR($K$6="Square Grid", M635=1), M635*N635*$K$5, (INT((N635+1)/2)*M635 + INT(N635/2)*IF(($G$6-M635*H635)&gt;=0.5*H635, M635, M635-1))*$K$5))</f>
        <v/>
      </c>
      <c r="P635" s="59">
        <f>IF(L635&lt;=0, 0, INT($G$8/L635))</f>
        <v/>
      </c>
      <c r="Q635" s="95">
        <f>MIN(O635, P635)</f>
        <v/>
      </c>
      <c r="R635" s="96">
        <f>ROUND((Q635*L635)/1000, 2)</f>
        <v/>
      </c>
      <c r="S635" s="79">
        <f>IF($C$8&gt;0, R635/$C$8, 0)</f>
        <v/>
      </c>
      <c r="T635" s="79">
        <f>IF(O635&gt;0, Q635/O635, 0)</f>
        <v/>
      </c>
      <c r="U635" s="12">
        <f>IF(Q635=0, "Exceeds Limit", IF(P635&lt;=O635, "Weight Limited", "Volume Limited"))</f>
        <v/>
      </c>
      <c r="V635" s="97">
        <f>B635&amp;"|"&amp;D635&amp;"|"&amp;F635</f>
        <v/>
      </c>
    </row>
    <row r="636" ht="19" customHeight="1">
      <c r="A636" s="98" t="n">
        <v>626</v>
      </c>
      <c r="B636" s="102" t="inlineStr">
        <is>
          <t>Stainless Steel 304</t>
        </is>
      </c>
      <c r="C636" s="19" t="inlineStr">
        <is>
          <t>ASME B36.19M / B36.10M</t>
        </is>
      </c>
      <c r="D636" s="18" t="inlineStr">
        <is>
          <t>12''</t>
        </is>
      </c>
      <c r="E636" s="98" t="n">
        <v>300</v>
      </c>
      <c r="F636" s="18" t="inlineStr">
        <is>
          <t>100</t>
        </is>
      </c>
      <c r="G636" s="20" t="n">
        <v>12.75</v>
      </c>
      <c r="H636" s="82" t="n">
        <v>323.85</v>
      </c>
      <c r="I636" s="20" t="n">
        <v>0.844</v>
      </c>
      <c r="J636" s="82" t="n">
        <v>21.44</v>
      </c>
      <c r="K636" s="20">
        <f>ROUND((H636-J636)*J636*IF(B636="Carbon Steel",$K$7,IF(B636="Stainless Steel 304",$K$8,$L$8)), 3)</f>
        <v/>
      </c>
      <c r="L636" s="82">
        <f>ROUND(K636*$G$5, 2)</f>
        <v/>
      </c>
      <c r="M636" s="98">
        <f>INT($G$6/H636)</f>
        <v/>
      </c>
      <c r="N636" s="98">
        <f>IF(M636=0, 0, IF(OR($K$6="Square Grid", M636=1), INT($G$7/H636), IF($G$7&lt;H636, 0, 1+INT(($G$7-H636)/(0.8660254*H636)))))</f>
        <v/>
      </c>
      <c r="O636" s="84">
        <f>IF(OR(M636=0,N636=0), 0, IF(OR($K$6="Square Grid", M636=1), M636*N636*$K$5, (INT((N636+1)/2)*M636 + INT(N636/2)*IF(($G$6-M636*H636)&gt;=0.5*H636, M636, M636-1))*$K$5))</f>
        <v/>
      </c>
      <c r="P636" s="84">
        <f>IF(L636&lt;=0, 0, INT($G$8/L636))</f>
        <v/>
      </c>
      <c r="Q636" s="95">
        <f>MIN(O636, P636)</f>
        <v/>
      </c>
      <c r="R636" s="96">
        <f>ROUND((Q636*L636)/1000, 2)</f>
        <v/>
      </c>
      <c r="S636" s="85">
        <f>IF($C$8&gt;0, R636/$C$8, 0)</f>
        <v/>
      </c>
      <c r="T636" s="85">
        <f>IF(O636&gt;0, Q636/O636, 0)</f>
        <v/>
      </c>
      <c r="U636" s="18">
        <f>IF(Q636=0, "Exceeds Limit", IF(P636&lt;=O636, "Weight Limited", "Volume Limited"))</f>
        <v/>
      </c>
      <c r="V636" s="100">
        <f>B636&amp;"|"&amp;D636&amp;"|"&amp;F636</f>
        <v/>
      </c>
    </row>
    <row r="637" ht="19" customHeight="1">
      <c r="A637" s="93" t="n">
        <v>627</v>
      </c>
      <c r="B637" s="101" t="inlineStr">
        <is>
          <t>Stainless Steel 304</t>
        </is>
      </c>
      <c r="C637" s="13" t="inlineStr">
        <is>
          <t>ASME B36.19M / B36.10M</t>
        </is>
      </c>
      <c r="D637" s="12" t="inlineStr">
        <is>
          <t>12''</t>
        </is>
      </c>
      <c r="E637" s="93" t="n">
        <v>300</v>
      </c>
      <c r="F637" s="12" t="inlineStr">
        <is>
          <t>120</t>
        </is>
      </c>
      <c r="G637" s="14" t="n">
        <v>12.75</v>
      </c>
      <c r="H637" s="78" t="n">
        <v>323.85</v>
      </c>
      <c r="I637" s="14" t="n">
        <v>1</v>
      </c>
      <c r="J637" s="78" t="n">
        <v>25.4</v>
      </c>
      <c r="K637" s="14">
        <f>ROUND((H637-J637)*J637*IF(B637="Carbon Steel",$K$7,IF(B637="Stainless Steel 304",$K$8,$L$8)), 3)</f>
        <v/>
      </c>
      <c r="L637" s="78">
        <f>ROUND(K637*$G$5, 2)</f>
        <v/>
      </c>
      <c r="M637" s="93">
        <f>INT($G$6/H637)</f>
        <v/>
      </c>
      <c r="N637" s="93">
        <f>IF(M637=0, 0, IF(OR($K$6="Square Grid", M637=1), INT($G$7/H637), IF($G$7&lt;H637, 0, 1+INT(($G$7-H637)/(0.8660254*H637)))))</f>
        <v/>
      </c>
      <c r="O637" s="59">
        <f>IF(OR(M637=0,N637=0), 0, IF(OR($K$6="Square Grid", M637=1), M637*N637*$K$5, (INT((N637+1)/2)*M637 + INT(N637/2)*IF(($G$6-M637*H637)&gt;=0.5*H637, M637, M637-1))*$K$5))</f>
        <v/>
      </c>
      <c r="P637" s="59">
        <f>IF(L637&lt;=0, 0, INT($G$8/L637))</f>
        <v/>
      </c>
      <c r="Q637" s="95">
        <f>MIN(O637, P637)</f>
        <v/>
      </c>
      <c r="R637" s="96">
        <f>ROUND((Q637*L637)/1000, 2)</f>
        <v/>
      </c>
      <c r="S637" s="79">
        <f>IF($C$8&gt;0, R637/$C$8, 0)</f>
        <v/>
      </c>
      <c r="T637" s="79">
        <f>IF(O637&gt;0, Q637/O637, 0)</f>
        <v/>
      </c>
      <c r="U637" s="12">
        <f>IF(Q637=0, "Exceeds Limit", IF(P637&lt;=O637, "Weight Limited", "Volume Limited"))</f>
        <v/>
      </c>
      <c r="V637" s="97">
        <f>B637&amp;"|"&amp;D637&amp;"|"&amp;F637</f>
        <v/>
      </c>
    </row>
    <row r="638" ht="19" customHeight="1">
      <c r="A638" s="98" t="n">
        <v>628</v>
      </c>
      <c r="B638" s="102" t="inlineStr">
        <is>
          <t>Stainless Steel 304</t>
        </is>
      </c>
      <c r="C638" s="19" t="inlineStr">
        <is>
          <t>ASME B36.19M / B36.10M</t>
        </is>
      </c>
      <c r="D638" s="18" t="inlineStr">
        <is>
          <t>12''</t>
        </is>
      </c>
      <c r="E638" s="98" t="n">
        <v>300</v>
      </c>
      <c r="F638" s="18" t="inlineStr">
        <is>
          <t>140</t>
        </is>
      </c>
      <c r="G638" s="20" t="n">
        <v>12.75</v>
      </c>
      <c r="H638" s="82" t="n">
        <v>323.85</v>
      </c>
      <c r="I638" s="20" t="n">
        <v>1.125</v>
      </c>
      <c r="J638" s="82" t="n">
        <v>28.57</v>
      </c>
      <c r="K638" s="20">
        <f>ROUND((H638-J638)*J638*IF(B638="Carbon Steel",$K$7,IF(B638="Stainless Steel 304",$K$8,$L$8)), 3)</f>
        <v/>
      </c>
      <c r="L638" s="82">
        <f>ROUND(K638*$G$5, 2)</f>
        <v/>
      </c>
      <c r="M638" s="98">
        <f>INT($G$6/H638)</f>
        <v/>
      </c>
      <c r="N638" s="98">
        <f>IF(M638=0, 0, IF(OR($K$6="Square Grid", M638=1), INT($G$7/H638), IF($G$7&lt;H638, 0, 1+INT(($G$7-H638)/(0.8660254*H638)))))</f>
        <v/>
      </c>
      <c r="O638" s="84">
        <f>IF(OR(M638=0,N638=0), 0, IF(OR($K$6="Square Grid", M638=1), M638*N638*$K$5, (INT((N638+1)/2)*M638 + INT(N638/2)*IF(($G$6-M638*H638)&gt;=0.5*H638, M638, M638-1))*$K$5))</f>
        <v/>
      </c>
      <c r="P638" s="84">
        <f>IF(L638&lt;=0, 0, INT($G$8/L638))</f>
        <v/>
      </c>
      <c r="Q638" s="95">
        <f>MIN(O638, P638)</f>
        <v/>
      </c>
      <c r="R638" s="96">
        <f>ROUND((Q638*L638)/1000, 2)</f>
        <v/>
      </c>
      <c r="S638" s="85">
        <f>IF($C$8&gt;0, R638/$C$8, 0)</f>
        <v/>
      </c>
      <c r="T638" s="85">
        <f>IF(O638&gt;0, Q638/O638, 0)</f>
        <v/>
      </c>
      <c r="U638" s="18">
        <f>IF(Q638=0, "Exceeds Limit", IF(P638&lt;=O638, "Weight Limited", "Volume Limited"))</f>
        <v/>
      </c>
      <c r="V638" s="100">
        <f>B638&amp;"|"&amp;D638&amp;"|"&amp;F638</f>
        <v/>
      </c>
    </row>
    <row r="639" ht="19" customHeight="1">
      <c r="A639" s="93" t="n">
        <v>629</v>
      </c>
      <c r="B639" s="101" t="inlineStr">
        <is>
          <t>Stainless Steel 304</t>
        </is>
      </c>
      <c r="C639" s="13" t="inlineStr">
        <is>
          <t>ASME B36.19M / B36.10M</t>
        </is>
      </c>
      <c r="D639" s="12" t="inlineStr">
        <is>
          <t>12''</t>
        </is>
      </c>
      <c r="E639" s="93" t="n">
        <v>300</v>
      </c>
      <c r="F639" s="12" t="inlineStr">
        <is>
          <t>160</t>
        </is>
      </c>
      <c r="G639" s="14" t="n">
        <v>12.75</v>
      </c>
      <c r="H639" s="78" t="n">
        <v>323.85</v>
      </c>
      <c r="I639" s="14" t="n">
        <v>1.312</v>
      </c>
      <c r="J639" s="78" t="n">
        <v>33.32</v>
      </c>
      <c r="K639" s="14">
        <f>ROUND((H639-J639)*J639*IF(B639="Carbon Steel",$K$7,IF(B639="Stainless Steel 304",$K$8,$L$8)), 3)</f>
        <v/>
      </c>
      <c r="L639" s="78">
        <f>ROUND(K639*$G$5, 2)</f>
        <v/>
      </c>
      <c r="M639" s="93">
        <f>INT($G$6/H639)</f>
        <v/>
      </c>
      <c r="N639" s="93">
        <f>IF(M639=0, 0, IF(OR($K$6="Square Grid", M639=1), INT($G$7/H639), IF($G$7&lt;H639, 0, 1+INT(($G$7-H639)/(0.8660254*H639)))))</f>
        <v/>
      </c>
      <c r="O639" s="59">
        <f>IF(OR(M639=0,N639=0), 0, IF(OR($K$6="Square Grid", M639=1), M639*N639*$K$5, (INT((N639+1)/2)*M639 + INT(N639/2)*IF(($G$6-M639*H639)&gt;=0.5*H639, M639, M639-1))*$K$5))</f>
        <v/>
      </c>
      <c r="P639" s="59">
        <f>IF(L639&lt;=0, 0, INT($G$8/L639))</f>
        <v/>
      </c>
      <c r="Q639" s="95">
        <f>MIN(O639, P639)</f>
        <v/>
      </c>
      <c r="R639" s="96">
        <f>ROUND((Q639*L639)/1000, 2)</f>
        <v/>
      </c>
      <c r="S639" s="79">
        <f>IF($C$8&gt;0, R639/$C$8, 0)</f>
        <v/>
      </c>
      <c r="T639" s="79">
        <f>IF(O639&gt;0, Q639/O639, 0)</f>
        <v/>
      </c>
      <c r="U639" s="12">
        <f>IF(Q639=0, "Exceeds Limit", IF(P639&lt;=O639, "Weight Limited", "Volume Limited"))</f>
        <v/>
      </c>
      <c r="V639" s="97">
        <f>B639&amp;"|"&amp;D639&amp;"|"&amp;F639</f>
        <v/>
      </c>
    </row>
    <row r="640" ht="19" customHeight="1">
      <c r="A640" s="98" t="n">
        <v>630</v>
      </c>
      <c r="B640" s="102" t="inlineStr">
        <is>
          <t>Stainless Steel 304</t>
        </is>
      </c>
      <c r="C640" s="19" t="inlineStr">
        <is>
          <t>ASME B36.19M / B36.10M</t>
        </is>
      </c>
      <c r="D640" s="18" t="inlineStr">
        <is>
          <t>12''</t>
        </is>
      </c>
      <c r="E640" s="98" t="n">
        <v>300</v>
      </c>
      <c r="F640" s="18" t="inlineStr">
        <is>
          <t>XXS</t>
        </is>
      </c>
      <c r="G640" s="20" t="n">
        <v>12.75</v>
      </c>
      <c r="H640" s="82" t="n">
        <v>323.85</v>
      </c>
      <c r="I640" s="20" t="n">
        <v>1</v>
      </c>
      <c r="J640" s="82" t="n">
        <v>25.4</v>
      </c>
      <c r="K640" s="20">
        <f>ROUND((H640-J640)*J640*IF(B640="Carbon Steel",$K$7,IF(B640="Stainless Steel 304",$K$8,$L$8)), 3)</f>
        <v/>
      </c>
      <c r="L640" s="82">
        <f>ROUND(K640*$G$5, 2)</f>
        <v/>
      </c>
      <c r="M640" s="98">
        <f>INT($G$6/H640)</f>
        <v/>
      </c>
      <c r="N640" s="98">
        <f>IF(M640=0, 0, IF(OR($K$6="Square Grid", M640=1), INT($G$7/H640), IF($G$7&lt;H640, 0, 1+INT(($G$7-H640)/(0.8660254*H640)))))</f>
        <v/>
      </c>
      <c r="O640" s="84">
        <f>IF(OR(M640=0,N640=0), 0, IF(OR($K$6="Square Grid", M640=1), M640*N640*$K$5, (INT((N640+1)/2)*M640 + INT(N640/2)*IF(($G$6-M640*H640)&gt;=0.5*H640, M640, M640-1))*$K$5))</f>
        <v/>
      </c>
      <c r="P640" s="84">
        <f>IF(L640&lt;=0, 0, INT($G$8/L640))</f>
        <v/>
      </c>
      <c r="Q640" s="95">
        <f>MIN(O640, P640)</f>
        <v/>
      </c>
      <c r="R640" s="96">
        <f>ROUND((Q640*L640)/1000, 2)</f>
        <v/>
      </c>
      <c r="S640" s="85">
        <f>IF($C$8&gt;0, R640/$C$8, 0)</f>
        <v/>
      </c>
      <c r="T640" s="85">
        <f>IF(O640&gt;0, Q640/O640, 0)</f>
        <v/>
      </c>
      <c r="U640" s="18">
        <f>IF(Q640=0, "Exceeds Limit", IF(P640&lt;=O640, "Weight Limited", "Volume Limited"))</f>
        <v/>
      </c>
      <c r="V640" s="100">
        <f>B640&amp;"|"&amp;D640&amp;"|"&amp;F640</f>
        <v/>
      </c>
    </row>
    <row r="641" ht="19" customHeight="1">
      <c r="A641" s="93" t="n">
        <v>631</v>
      </c>
      <c r="B641" s="101" t="inlineStr">
        <is>
          <t>Stainless Steel 304</t>
        </is>
      </c>
      <c r="C641" s="13" t="inlineStr">
        <is>
          <t>ASME B36.19M / B36.10M</t>
        </is>
      </c>
      <c r="D641" s="12" t="inlineStr">
        <is>
          <t>14''</t>
        </is>
      </c>
      <c r="E641" s="93" t="n">
        <v>350</v>
      </c>
      <c r="F641" s="12" t="inlineStr">
        <is>
          <t>5S</t>
        </is>
      </c>
      <c r="G641" s="14" t="n">
        <v>14</v>
      </c>
      <c r="H641" s="78" t="n">
        <v>355.6</v>
      </c>
      <c r="I641" s="14" t="n">
        <v>0.156</v>
      </c>
      <c r="J641" s="78" t="n">
        <v>3.96</v>
      </c>
      <c r="K641" s="14">
        <f>ROUND((H641-J641)*J641*IF(B641="Carbon Steel",$K$7,IF(B641="Stainless Steel 304",$K$8,$L$8)), 3)</f>
        <v/>
      </c>
      <c r="L641" s="78">
        <f>ROUND(K641*$G$5, 2)</f>
        <v/>
      </c>
      <c r="M641" s="93">
        <f>INT($G$6/H641)</f>
        <v/>
      </c>
      <c r="N641" s="93">
        <f>IF(M641=0, 0, IF(OR($K$6="Square Grid", M641=1), INT($G$7/H641), IF($G$7&lt;H641, 0, 1+INT(($G$7-H641)/(0.8660254*H641)))))</f>
        <v/>
      </c>
      <c r="O641" s="59">
        <f>IF(OR(M641=0,N641=0), 0, IF(OR($K$6="Square Grid", M641=1), M641*N641*$K$5, (INT((N641+1)/2)*M641 + INT(N641/2)*IF(($G$6-M641*H641)&gt;=0.5*H641, M641, M641-1))*$K$5))</f>
        <v/>
      </c>
      <c r="P641" s="59">
        <f>IF(L641&lt;=0, 0, INT($G$8/L641))</f>
        <v/>
      </c>
      <c r="Q641" s="95">
        <f>MIN(O641, P641)</f>
        <v/>
      </c>
      <c r="R641" s="96">
        <f>ROUND((Q641*L641)/1000, 2)</f>
        <v/>
      </c>
      <c r="S641" s="79">
        <f>IF($C$8&gt;0, R641/$C$8, 0)</f>
        <v/>
      </c>
      <c r="T641" s="79">
        <f>IF(O641&gt;0, Q641/O641, 0)</f>
        <v/>
      </c>
      <c r="U641" s="12">
        <f>IF(Q641=0, "Exceeds Limit", IF(P641&lt;=O641, "Weight Limited", "Volume Limited"))</f>
        <v/>
      </c>
      <c r="V641" s="97">
        <f>B641&amp;"|"&amp;D641&amp;"|"&amp;F641</f>
        <v/>
      </c>
    </row>
    <row r="642" ht="19" customHeight="1">
      <c r="A642" s="98" t="n">
        <v>632</v>
      </c>
      <c r="B642" s="102" t="inlineStr">
        <is>
          <t>Stainless Steel 304</t>
        </is>
      </c>
      <c r="C642" s="19" t="inlineStr">
        <is>
          <t>ASME B36.19M / B36.10M</t>
        </is>
      </c>
      <c r="D642" s="18" t="inlineStr">
        <is>
          <t>14''</t>
        </is>
      </c>
      <c r="E642" s="98" t="n">
        <v>350</v>
      </c>
      <c r="F642" s="18" t="inlineStr">
        <is>
          <t>5</t>
        </is>
      </c>
      <c r="G642" s="20" t="n">
        <v>14</v>
      </c>
      <c r="H642" s="82" t="n">
        <v>355.6</v>
      </c>
      <c r="I642" s="20" t="n">
        <v>0.156</v>
      </c>
      <c r="J642" s="82" t="n">
        <v>3.96</v>
      </c>
      <c r="K642" s="20">
        <f>ROUND((H642-J642)*J642*IF(B642="Carbon Steel",$K$7,IF(B642="Stainless Steel 304",$K$8,$L$8)), 3)</f>
        <v/>
      </c>
      <c r="L642" s="82">
        <f>ROUND(K642*$G$5, 2)</f>
        <v/>
      </c>
      <c r="M642" s="98">
        <f>INT($G$6/H642)</f>
        <v/>
      </c>
      <c r="N642" s="98">
        <f>IF(M642=0, 0, IF(OR($K$6="Square Grid", M642=1), INT($G$7/H642), IF($G$7&lt;H642, 0, 1+INT(($G$7-H642)/(0.8660254*H642)))))</f>
        <v/>
      </c>
      <c r="O642" s="84">
        <f>IF(OR(M642=0,N642=0), 0, IF(OR($K$6="Square Grid", M642=1), M642*N642*$K$5, (INT((N642+1)/2)*M642 + INT(N642/2)*IF(($G$6-M642*H642)&gt;=0.5*H642, M642, M642-1))*$K$5))</f>
        <v/>
      </c>
      <c r="P642" s="84">
        <f>IF(L642&lt;=0, 0, INT($G$8/L642))</f>
        <v/>
      </c>
      <c r="Q642" s="95">
        <f>MIN(O642, P642)</f>
        <v/>
      </c>
      <c r="R642" s="96">
        <f>ROUND((Q642*L642)/1000, 2)</f>
        <v/>
      </c>
      <c r="S642" s="85">
        <f>IF($C$8&gt;0, R642/$C$8, 0)</f>
        <v/>
      </c>
      <c r="T642" s="85">
        <f>IF(O642&gt;0, Q642/O642, 0)</f>
        <v/>
      </c>
      <c r="U642" s="18">
        <f>IF(Q642=0, "Exceeds Limit", IF(P642&lt;=O642, "Weight Limited", "Volume Limited"))</f>
        <v/>
      </c>
      <c r="V642" s="100">
        <f>B642&amp;"|"&amp;D642&amp;"|"&amp;F642</f>
        <v/>
      </c>
    </row>
    <row r="643" ht="19" customHeight="1">
      <c r="A643" s="93" t="n">
        <v>633</v>
      </c>
      <c r="B643" s="101" t="inlineStr">
        <is>
          <t>Stainless Steel 304</t>
        </is>
      </c>
      <c r="C643" s="13" t="inlineStr">
        <is>
          <t>ASME B36.19M / B36.10M</t>
        </is>
      </c>
      <c r="D643" s="12" t="inlineStr">
        <is>
          <t>14''</t>
        </is>
      </c>
      <c r="E643" s="93" t="n">
        <v>350</v>
      </c>
      <c r="F643" s="12" t="inlineStr">
        <is>
          <t>10S</t>
        </is>
      </c>
      <c r="G643" s="14" t="n">
        <v>14</v>
      </c>
      <c r="H643" s="78" t="n">
        <v>355.6</v>
      </c>
      <c r="I643" s="14" t="n">
        <v>0.188</v>
      </c>
      <c r="J643" s="78" t="n">
        <v>4.78</v>
      </c>
      <c r="K643" s="14">
        <f>ROUND((H643-J643)*J643*IF(B643="Carbon Steel",$K$7,IF(B643="Stainless Steel 304",$K$8,$L$8)), 3)</f>
        <v/>
      </c>
      <c r="L643" s="78">
        <f>ROUND(K643*$G$5, 2)</f>
        <v/>
      </c>
      <c r="M643" s="93">
        <f>INT($G$6/H643)</f>
        <v/>
      </c>
      <c r="N643" s="93">
        <f>IF(M643=0, 0, IF(OR($K$6="Square Grid", M643=1), INT($G$7/H643), IF($G$7&lt;H643, 0, 1+INT(($G$7-H643)/(0.8660254*H643)))))</f>
        <v/>
      </c>
      <c r="O643" s="59">
        <f>IF(OR(M643=0,N643=0), 0, IF(OR($K$6="Square Grid", M643=1), M643*N643*$K$5, (INT((N643+1)/2)*M643 + INT(N643/2)*IF(($G$6-M643*H643)&gt;=0.5*H643, M643, M643-1))*$K$5))</f>
        <v/>
      </c>
      <c r="P643" s="59">
        <f>IF(L643&lt;=0, 0, INT($G$8/L643))</f>
        <v/>
      </c>
      <c r="Q643" s="95">
        <f>MIN(O643, P643)</f>
        <v/>
      </c>
      <c r="R643" s="96">
        <f>ROUND((Q643*L643)/1000, 2)</f>
        <v/>
      </c>
      <c r="S643" s="79">
        <f>IF($C$8&gt;0, R643/$C$8, 0)</f>
        <v/>
      </c>
      <c r="T643" s="79">
        <f>IF(O643&gt;0, Q643/O643, 0)</f>
        <v/>
      </c>
      <c r="U643" s="12">
        <f>IF(Q643=0, "Exceeds Limit", IF(P643&lt;=O643, "Weight Limited", "Volume Limited"))</f>
        <v/>
      </c>
      <c r="V643" s="97">
        <f>B643&amp;"|"&amp;D643&amp;"|"&amp;F643</f>
        <v/>
      </c>
    </row>
    <row r="644" ht="19" customHeight="1">
      <c r="A644" s="98" t="n">
        <v>634</v>
      </c>
      <c r="B644" s="102" t="inlineStr">
        <is>
          <t>Stainless Steel 304</t>
        </is>
      </c>
      <c r="C644" s="19" t="inlineStr">
        <is>
          <t>ASME B36.19M / B36.10M</t>
        </is>
      </c>
      <c r="D644" s="18" t="inlineStr">
        <is>
          <t>14''</t>
        </is>
      </c>
      <c r="E644" s="98" t="n">
        <v>350</v>
      </c>
      <c r="F644" s="18" t="inlineStr">
        <is>
          <t>10</t>
        </is>
      </c>
      <c r="G644" s="20" t="n">
        <v>14</v>
      </c>
      <c r="H644" s="82" t="n">
        <v>355.6</v>
      </c>
      <c r="I644" s="20" t="n">
        <v>0.25</v>
      </c>
      <c r="J644" s="82" t="n">
        <v>6.35</v>
      </c>
      <c r="K644" s="20">
        <f>ROUND((H644-J644)*J644*IF(B644="Carbon Steel",$K$7,IF(B644="Stainless Steel 304",$K$8,$L$8)), 3)</f>
        <v/>
      </c>
      <c r="L644" s="82">
        <f>ROUND(K644*$G$5, 2)</f>
        <v/>
      </c>
      <c r="M644" s="98">
        <f>INT($G$6/H644)</f>
        <v/>
      </c>
      <c r="N644" s="98">
        <f>IF(M644=0, 0, IF(OR($K$6="Square Grid", M644=1), INT($G$7/H644), IF($G$7&lt;H644, 0, 1+INT(($G$7-H644)/(0.8660254*H644)))))</f>
        <v/>
      </c>
      <c r="O644" s="84">
        <f>IF(OR(M644=0,N644=0), 0, IF(OR($K$6="Square Grid", M644=1), M644*N644*$K$5, (INT((N644+1)/2)*M644 + INT(N644/2)*IF(($G$6-M644*H644)&gt;=0.5*H644, M644, M644-1))*$K$5))</f>
        <v/>
      </c>
      <c r="P644" s="84">
        <f>IF(L644&lt;=0, 0, INT($G$8/L644))</f>
        <v/>
      </c>
      <c r="Q644" s="95">
        <f>MIN(O644, P644)</f>
        <v/>
      </c>
      <c r="R644" s="96">
        <f>ROUND((Q644*L644)/1000, 2)</f>
        <v/>
      </c>
      <c r="S644" s="85">
        <f>IF($C$8&gt;0, R644/$C$8, 0)</f>
        <v/>
      </c>
      <c r="T644" s="85">
        <f>IF(O644&gt;0, Q644/O644, 0)</f>
        <v/>
      </c>
      <c r="U644" s="18">
        <f>IF(Q644=0, "Exceeds Limit", IF(P644&lt;=O644, "Weight Limited", "Volume Limited"))</f>
        <v/>
      </c>
      <c r="V644" s="100">
        <f>B644&amp;"|"&amp;D644&amp;"|"&amp;F644</f>
        <v/>
      </c>
    </row>
    <row r="645" ht="19" customHeight="1">
      <c r="A645" s="93" t="n">
        <v>635</v>
      </c>
      <c r="B645" s="101" t="inlineStr">
        <is>
          <t>Stainless Steel 304</t>
        </is>
      </c>
      <c r="C645" s="13" t="inlineStr">
        <is>
          <t>ASME B36.19M / B36.10M</t>
        </is>
      </c>
      <c r="D645" s="12" t="inlineStr">
        <is>
          <t>14''</t>
        </is>
      </c>
      <c r="E645" s="93" t="n">
        <v>350</v>
      </c>
      <c r="F645" s="12" t="inlineStr">
        <is>
          <t>20</t>
        </is>
      </c>
      <c r="G645" s="14" t="n">
        <v>14</v>
      </c>
      <c r="H645" s="78" t="n">
        <v>355.6</v>
      </c>
      <c r="I645" s="14" t="n">
        <v>0.312</v>
      </c>
      <c r="J645" s="78" t="n">
        <v>7.92</v>
      </c>
      <c r="K645" s="14">
        <f>ROUND((H645-J645)*J645*IF(B645="Carbon Steel",$K$7,IF(B645="Stainless Steel 304",$K$8,$L$8)), 3)</f>
        <v/>
      </c>
      <c r="L645" s="78">
        <f>ROUND(K645*$G$5, 2)</f>
        <v/>
      </c>
      <c r="M645" s="93">
        <f>INT($G$6/H645)</f>
        <v/>
      </c>
      <c r="N645" s="93">
        <f>IF(M645=0, 0, IF(OR($K$6="Square Grid", M645=1), INT($G$7/H645), IF($G$7&lt;H645, 0, 1+INT(($G$7-H645)/(0.8660254*H645)))))</f>
        <v/>
      </c>
      <c r="O645" s="59">
        <f>IF(OR(M645=0,N645=0), 0, IF(OR($K$6="Square Grid", M645=1), M645*N645*$K$5, (INT((N645+1)/2)*M645 + INT(N645/2)*IF(($G$6-M645*H645)&gt;=0.5*H645, M645, M645-1))*$K$5))</f>
        <v/>
      </c>
      <c r="P645" s="59">
        <f>IF(L645&lt;=0, 0, INT($G$8/L645))</f>
        <v/>
      </c>
      <c r="Q645" s="95">
        <f>MIN(O645, P645)</f>
        <v/>
      </c>
      <c r="R645" s="96">
        <f>ROUND((Q645*L645)/1000, 2)</f>
        <v/>
      </c>
      <c r="S645" s="79">
        <f>IF($C$8&gt;0, R645/$C$8, 0)</f>
        <v/>
      </c>
      <c r="T645" s="79">
        <f>IF(O645&gt;0, Q645/O645, 0)</f>
        <v/>
      </c>
      <c r="U645" s="12">
        <f>IF(Q645=0, "Exceeds Limit", IF(P645&lt;=O645, "Weight Limited", "Volume Limited"))</f>
        <v/>
      </c>
      <c r="V645" s="97">
        <f>B645&amp;"|"&amp;D645&amp;"|"&amp;F645</f>
        <v/>
      </c>
    </row>
    <row r="646" ht="19" customHeight="1">
      <c r="A646" s="98" t="n">
        <v>636</v>
      </c>
      <c r="B646" s="102" t="inlineStr">
        <is>
          <t>Stainless Steel 304</t>
        </is>
      </c>
      <c r="C646" s="19" t="inlineStr">
        <is>
          <t>ASME B36.19M / B36.10M</t>
        </is>
      </c>
      <c r="D646" s="18" t="inlineStr">
        <is>
          <t>14''</t>
        </is>
      </c>
      <c r="E646" s="98" t="n">
        <v>350</v>
      </c>
      <c r="F646" s="18" t="inlineStr">
        <is>
          <t>30</t>
        </is>
      </c>
      <c r="G646" s="20" t="n">
        <v>14</v>
      </c>
      <c r="H646" s="82" t="n">
        <v>355.6</v>
      </c>
      <c r="I646" s="20" t="n">
        <v>0.375</v>
      </c>
      <c r="J646" s="82" t="n">
        <v>9.52</v>
      </c>
      <c r="K646" s="20">
        <f>ROUND((H646-J646)*J646*IF(B646="Carbon Steel",$K$7,IF(B646="Stainless Steel 304",$K$8,$L$8)), 3)</f>
        <v/>
      </c>
      <c r="L646" s="82">
        <f>ROUND(K646*$G$5, 2)</f>
        <v/>
      </c>
      <c r="M646" s="98">
        <f>INT($G$6/H646)</f>
        <v/>
      </c>
      <c r="N646" s="98">
        <f>IF(M646=0, 0, IF(OR($K$6="Square Grid", M646=1), INT($G$7/H646), IF($G$7&lt;H646, 0, 1+INT(($G$7-H646)/(0.8660254*H646)))))</f>
        <v/>
      </c>
      <c r="O646" s="84">
        <f>IF(OR(M646=0,N646=0), 0, IF(OR($K$6="Square Grid", M646=1), M646*N646*$K$5, (INT((N646+1)/2)*M646 + INT(N646/2)*IF(($G$6-M646*H646)&gt;=0.5*H646, M646, M646-1))*$K$5))</f>
        <v/>
      </c>
      <c r="P646" s="84">
        <f>IF(L646&lt;=0, 0, INT($G$8/L646))</f>
        <v/>
      </c>
      <c r="Q646" s="95">
        <f>MIN(O646, P646)</f>
        <v/>
      </c>
      <c r="R646" s="96">
        <f>ROUND((Q646*L646)/1000, 2)</f>
        <v/>
      </c>
      <c r="S646" s="85">
        <f>IF($C$8&gt;0, R646/$C$8, 0)</f>
        <v/>
      </c>
      <c r="T646" s="85">
        <f>IF(O646&gt;0, Q646/O646, 0)</f>
        <v/>
      </c>
      <c r="U646" s="18">
        <f>IF(Q646=0, "Exceeds Limit", IF(P646&lt;=O646, "Weight Limited", "Volume Limited"))</f>
        <v/>
      </c>
      <c r="V646" s="100">
        <f>B646&amp;"|"&amp;D646&amp;"|"&amp;F646</f>
        <v/>
      </c>
    </row>
    <row r="647" ht="19" customHeight="1">
      <c r="A647" s="93" t="n">
        <v>637</v>
      </c>
      <c r="B647" s="101" t="inlineStr">
        <is>
          <t>Stainless Steel 304</t>
        </is>
      </c>
      <c r="C647" s="13" t="inlineStr">
        <is>
          <t>ASME B36.19M / B36.10M</t>
        </is>
      </c>
      <c r="D647" s="12" t="inlineStr">
        <is>
          <t>14''</t>
        </is>
      </c>
      <c r="E647" s="93" t="n">
        <v>350</v>
      </c>
      <c r="F647" s="12" t="inlineStr">
        <is>
          <t>40S</t>
        </is>
      </c>
      <c r="G647" s="14" t="n">
        <v>14</v>
      </c>
      <c r="H647" s="78" t="n">
        <v>355.6</v>
      </c>
      <c r="I647" s="14" t="n">
        <v>0.375</v>
      </c>
      <c r="J647" s="78" t="n">
        <v>9.52</v>
      </c>
      <c r="K647" s="14">
        <f>ROUND((H647-J647)*J647*IF(B647="Carbon Steel",$K$7,IF(B647="Stainless Steel 304",$K$8,$L$8)), 3)</f>
        <v/>
      </c>
      <c r="L647" s="78">
        <f>ROUND(K647*$G$5, 2)</f>
        <v/>
      </c>
      <c r="M647" s="93">
        <f>INT($G$6/H647)</f>
        <v/>
      </c>
      <c r="N647" s="93">
        <f>IF(M647=0, 0, IF(OR($K$6="Square Grid", M647=1), INT($G$7/H647), IF($G$7&lt;H647, 0, 1+INT(($G$7-H647)/(0.8660254*H647)))))</f>
        <v/>
      </c>
      <c r="O647" s="59">
        <f>IF(OR(M647=0,N647=0), 0, IF(OR($K$6="Square Grid", M647=1), M647*N647*$K$5, (INT((N647+1)/2)*M647 + INT(N647/2)*IF(($G$6-M647*H647)&gt;=0.5*H647, M647, M647-1))*$K$5))</f>
        <v/>
      </c>
      <c r="P647" s="59">
        <f>IF(L647&lt;=0, 0, INT($G$8/L647))</f>
        <v/>
      </c>
      <c r="Q647" s="95">
        <f>MIN(O647, P647)</f>
        <v/>
      </c>
      <c r="R647" s="96">
        <f>ROUND((Q647*L647)/1000, 2)</f>
        <v/>
      </c>
      <c r="S647" s="79">
        <f>IF($C$8&gt;0, R647/$C$8, 0)</f>
        <v/>
      </c>
      <c r="T647" s="79">
        <f>IF(O647&gt;0, Q647/O647, 0)</f>
        <v/>
      </c>
      <c r="U647" s="12">
        <f>IF(Q647=0, "Exceeds Limit", IF(P647&lt;=O647, "Weight Limited", "Volume Limited"))</f>
        <v/>
      </c>
      <c r="V647" s="97">
        <f>B647&amp;"|"&amp;D647&amp;"|"&amp;F647</f>
        <v/>
      </c>
    </row>
    <row r="648" ht="19" customHeight="1">
      <c r="A648" s="98" t="n">
        <v>638</v>
      </c>
      <c r="B648" s="102" t="inlineStr">
        <is>
          <t>Stainless Steel 304</t>
        </is>
      </c>
      <c r="C648" s="19" t="inlineStr">
        <is>
          <t>ASME B36.19M / B36.10M</t>
        </is>
      </c>
      <c r="D648" s="18" t="inlineStr">
        <is>
          <t>14''</t>
        </is>
      </c>
      <c r="E648" s="98" t="n">
        <v>350</v>
      </c>
      <c r="F648" s="18" t="inlineStr">
        <is>
          <t>STD</t>
        </is>
      </c>
      <c r="G648" s="20" t="n">
        <v>14</v>
      </c>
      <c r="H648" s="82" t="n">
        <v>355.6</v>
      </c>
      <c r="I648" s="20" t="n">
        <v>0.375</v>
      </c>
      <c r="J648" s="82" t="n">
        <v>9.52</v>
      </c>
      <c r="K648" s="20">
        <f>ROUND((H648-J648)*J648*IF(B648="Carbon Steel",$K$7,IF(B648="Stainless Steel 304",$K$8,$L$8)), 3)</f>
        <v/>
      </c>
      <c r="L648" s="82">
        <f>ROUND(K648*$G$5, 2)</f>
        <v/>
      </c>
      <c r="M648" s="98">
        <f>INT($G$6/H648)</f>
        <v/>
      </c>
      <c r="N648" s="98">
        <f>IF(M648=0, 0, IF(OR($K$6="Square Grid", M648=1), INT($G$7/H648), IF($G$7&lt;H648, 0, 1+INT(($G$7-H648)/(0.8660254*H648)))))</f>
        <v/>
      </c>
      <c r="O648" s="84">
        <f>IF(OR(M648=0,N648=0), 0, IF(OR($K$6="Square Grid", M648=1), M648*N648*$K$5, (INT((N648+1)/2)*M648 + INT(N648/2)*IF(($G$6-M648*H648)&gt;=0.5*H648, M648, M648-1))*$K$5))</f>
        <v/>
      </c>
      <c r="P648" s="84">
        <f>IF(L648&lt;=0, 0, INT($G$8/L648))</f>
        <v/>
      </c>
      <c r="Q648" s="95">
        <f>MIN(O648, P648)</f>
        <v/>
      </c>
      <c r="R648" s="96">
        <f>ROUND((Q648*L648)/1000, 2)</f>
        <v/>
      </c>
      <c r="S648" s="85">
        <f>IF($C$8&gt;0, R648/$C$8, 0)</f>
        <v/>
      </c>
      <c r="T648" s="85">
        <f>IF(O648&gt;0, Q648/O648, 0)</f>
        <v/>
      </c>
      <c r="U648" s="18">
        <f>IF(Q648=0, "Exceeds Limit", IF(P648&lt;=O648, "Weight Limited", "Volume Limited"))</f>
        <v/>
      </c>
      <c r="V648" s="100">
        <f>B648&amp;"|"&amp;D648&amp;"|"&amp;F648</f>
        <v/>
      </c>
    </row>
    <row r="649" ht="19" customHeight="1">
      <c r="A649" s="93" t="n">
        <v>639</v>
      </c>
      <c r="B649" s="101" t="inlineStr">
        <is>
          <t>Stainless Steel 304</t>
        </is>
      </c>
      <c r="C649" s="13" t="inlineStr">
        <is>
          <t>ASME B36.19M / B36.10M</t>
        </is>
      </c>
      <c r="D649" s="12" t="inlineStr">
        <is>
          <t>14''</t>
        </is>
      </c>
      <c r="E649" s="93" t="n">
        <v>350</v>
      </c>
      <c r="F649" s="12" t="inlineStr">
        <is>
          <t>40</t>
        </is>
      </c>
      <c r="G649" s="14" t="n">
        <v>14</v>
      </c>
      <c r="H649" s="78" t="n">
        <v>355.6</v>
      </c>
      <c r="I649" s="14" t="n">
        <v>0.438</v>
      </c>
      <c r="J649" s="78" t="n">
        <v>11.13</v>
      </c>
      <c r="K649" s="14">
        <f>ROUND((H649-J649)*J649*IF(B649="Carbon Steel",$K$7,IF(B649="Stainless Steel 304",$K$8,$L$8)), 3)</f>
        <v/>
      </c>
      <c r="L649" s="78">
        <f>ROUND(K649*$G$5, 2)</f>
        <v/>
      </c>
      <c r="M649" s="93">
        <f>INT($G$6/H649)</f>
        <v/>
      </c>
      <c r="N649" s="93">
        <f>IF(M649=0, 0, IF(OR($K$6="Square Grid", M649=1), INT($G$7/H649), IF($G$7&lt;H649, 0, 1+INT(($G$7-H649)/(0.8660254*H649)))))</f>
        <v/>
      </c>
      <c r="O649" s="59">
        <f>IF(OR(M649=0,N649=0), 0, IF(OR($K$6="Square Grid", M649=1), M649*N649*$K$5, (INT((N649+1)/2)*M649 + INT(N649/2)*IF(($G$6-M649*H649)&gt;=0.5*H649, M649, M649-1))*$K$5))</f>
        <v/>
      </c>
      <c r="P649" s="59">
        <f>IF(L649&lt;=0, 0, INT($G$8/L649))</f>
        <v/>
      </c>
      <c r="Q649" s="95">
        <f>MIN(O649, P649)</f>
        <v/>
      </c>
      <c r="R649" s="96">
        <f>ROUND((Q649*L649)/1000, 2)</f>
        <v/>
      </c>
      <c r="S649" s="79">
        <f>IF($C$8&gt;0, R649/$C$8, 0)</f>
        <v/>
      </c>
      <c r="T649" s="79">
        <f>IF(O649&gt;0, Q649/O649, 0)</f>
        <v/>
      </c>
      <c r="U649" s="12">
        <f>IF(Q649=0, "Exceeds Limit", IF(P649&lt;=O649, "Weight Limited", "Volume Limited"))</f>
        <v/>
      </c>
      <c r="V649" s="97">
        <f>B649&amp;"|"&amp;D649&amp;"|"&amp;F649</f>
        <v/>
      </c>
    </row>
    <row r="650" ht="19" customHeight="1">
      <c r="A650" s="98" t="n">
        <v>640</v>
      </c>
      <c r="B650" s="102" t="inlineStr">
        <is>
          <t>Stainless Steel 304</t>
        </is>
      </c>
      <c r="C650" s="19" t="inlineStr">
        <is>
          <t>ASME B36.19M / B36.10M</t>
        </is>
      </c>
      <c r="D650" s="18" t="inlineStr">
        <is>
          <t>14''</t>
        </is>
      </c>
      <c r="E650" s="98" t="n">
        <v>350</v>
      </c>
      <c r="F650" s="18" t="inlineStr">
        <is>
          <t>60</t>
        </is>
      </c>
      <c r="G650" s="20" t="n">
        <v>14</v>
      </c>
      <c r="H650" s="82" t="n">
        <v>355.6</v>
      </c>
      <c r="I650" s="20" t="n">
        <v>0.594</v>
      </c>
      <c r="J650" s="82" t="n">
        <v>15.09</v>
      </c>
      <c r="K650" s="20">
        <f>ROUND((H650-J650)*J650*IF(B650="Carbon Steel",$K$7,IF(B650="Stainless Steel 304",$K$8,$L$8)), 3)</f>
        <v/>
      </c>
      <c r="L650" s="82">
        <f>ROUND(K650*$G$5, 2)</f>
        <v/>
      </c>
      <c r="M650" s="98">
        <f>INT($G$6/H650)</f>
        <v/>
      </c>
      <c r="N650" s="98">
        <f>IF(M650=0, 0, IF(OR($K$6="Square Grid", M650=1), INT($G$7/H650), IF($G$7&lt;H650, 0, 1+INT(($G$7-H650)/(0.8660254*H650)))))</f>
        <v/>
      </c>
      <c r="O650" s="84">
        <f>IF(OR(M650=0,N650=0), 0, IF(OR($K$6="Square Grid", M650=1), M650*N650*$K$5, (INT((N650+1)/2)*M650 + INT(N650/2)*IF(($G$6-M650*H650)&gt;=0.5*H650, M650, M650-1))*$K$5))</f>
        <v/>
      </c>
      <c r="P650" s="84">
        <f>IF(L650&lt;=0, 0, INT($G$8/L650))</f>
        <v/>
      </c>
      <c r="Q650" s="95">
        <f>MIN(O650, P650)</f>
        <v/>
      </c>
      <c r="R650" s="96">
        <f>ROUND((Q650*L650)/1000, 2)</f>
        <v/>
      </c>
      <c r="S650" s="85">
        <f>IF($C$8&gt;0, R650/$C$8, 0)</f>
        <v/>
      </c>
      <c r="T650" s="85">
        <f>IF(O650&gt;0, Q650/O650, 0)</f>
        <v/>
      </c>
      <c r="U650" s="18">
        <f>IF(Q650=0, "Exceeds Limit", IF(P650&lt;=O650, "Weight Limited", "Volume Limited"))</f>
        <v/>
      </c>
      <c r="V650" s="100">
        <f>B650&amp;"|"&amp;D650&amp;"|"&amp;F650</f>
        <v/>
      </c>
    </row>
    <row r="651" ht="19" customHeight="1">
      <c r="A651" s="93" t="n">
        <v>641</v>
      </c>
      <c r="B651" s="101" t="inlineStr">
        <is>
          <t>Stainless Steel 304</t>
        </is>
      </c>
      <c r="C651" s="13" t="inlineStr">
        <is>
          <t>ASME B36.19M / B36.10M</t>
        </is>
      </c>
      <c r="D651" s="12" t="inlineStr">
        <is>
          <t>14''</t>
        </is>
      </c>
      <c r="E651" s="93" t="n">
        <v>350</v>
      </c>
      <c r="F651" s="12" t="inlineStr">
        <is>
          <t>80S</t>
        </is>
      </c>
      <c r="G651" s="14" t="n">
        <v>14</v>
      </c>
      <c r="H651" s="78" t="n">
        <v>355.6</v>
      </c>
      <c r="I651" s="14" t="n">
        <v>0.5</v>
      </c>
      <c r="J651" s="78" t="n">
        <v>12.7</v>
      </c>
      <c r="K651" s="14">
        <f>ROUND((H651-J651)*J651*IF(B651="Carbon Steel",$K$7,IF(B651="Stainless Steel 304",$K$8,$L$8)), 3)</f>
        <v/>
      </c>
      <c r="L651" s="78">
        <f>ROUND(K651*$G$5, 2)</f>
        <v/>
      </c>
      <c r="M651" s="93">
        <f>INT($G$6/H651)</f>
        <v/>
      </c>
      <c r="N651" s="93">
        <f>IF(M651=0, 0, IF(OR($K$6="Square Grid", M651=1), INT($G$7/H651), IF($G$7&lt;H651, 0, 1+INT(($G$7-H651)/(0.8660254*H651)))))</f>
        <v/>
      </c>
      <c r="O651" s="59">
        <f>IF(OR(M651=0,N651=0), 0, IF(OR($K$6="Square Grid", M651=1), M651*N651*$K$5, (INT((N651+1)/2)*M651 + INT(N651/2)*IF(($G$6-M651*H651)&gt;=0.5*H651, M651, M651-1))*$K$5))</f>
        <v/>
      </c>
      <c r="P651" s="59">
        <f>IF(L651&lt;=0, 0, INT($G$8/L651))</f>
        <v/>
      </c>
      <c r="Q651" s="95">
        <f>MIN(O651, P651)</f>
        <v/>
      </c>
      <c r="R651" s="96">
        <f>ROUND((Q651*L651)/1000, 2)</f>
        <v/>
      </c>
      <c r="S651" s="79">
        <f>IF($C$8&gt;0, R651/$C$8, 0)</f>
        <v/>
      </c>
      <c r="T651" s="79">
        <f>IF(O651&gt;0, Q651/O651, 0)</f>
        <v/>
      </c>
      <c r="U651" s="12">
        <f>IF(Q651=0, "Exceeds Limit", IF(P651&lt;=O651, "Weight Limited", "Volume Limited"))</f>
        <v/>
      </c>
      <c r="V651" s="97">
        <f>B651&amp;"|"&amp;D651&amp;"|"&amp;F651</f>
        <v/>
      </c>
    </row>
    <row r="652" ht="19" customHeight="1">
      <c r="A652" s="98" t="n">
        <v>642</v>
      </c>
      <c r="B652" s="102" t="inlineStr">
        <is>
          <t>Stainless Steel 304</t>
        </is>
      </c>
      <c r="C652" s="19" t="inlineStr">
        <is>
          <t>ASME B36.19M / B36.10M</t>
        </is>
      </c>
      <c r="D652" s="18" t="inlineStr">
        <is>
          <t>14''</t>
        </is>
      </c>
      <c r="E652" s="98" t="n">
        <v>350</v>
      </c>
      <c r="F652" s="18" t="inlineStr">
        <is>
          <t>XS</t>
        </is>
      </c>
      <c r="G652" s="20" t="n">
        <v>14</v>
      </c>
      <c r="H652" s="82" t="n">
        <v>355.6</v>
      </c>
      <c r="I652" s="20" t="n">
        <v>0.5</v>
      </c>
      <c r="J652" s="82" t="n">
        <v>12.7</v>
      </c>
      <c r="K652" s="20">
        <f>ROUND((H652-J652)*J652*IF(B652="Carbon Steel",$K$7,IF(B652="Stainless Steel 304",$K$8,$L$8)), 3)</f>
        <v/>
      </c>
      <c r="L652" s="82">
        <f>ROUND(K652*$G$5, 2)</f>
        <v/>
      </c>
      <c r="M652" s="98">
        <f>INT($G$6/H652)</f>
        <v/>
      </c>
      <c r="N652" s="98">
        <f>IF(M652=0, 0, IF(OR($K$6="Square Grid", M652=1), INT($G$7/H652), IF($G$7&lt;H652, 0, 1+INT(($G$7-H652)/(0.8660254*H652)))))</f>
        <v/>
      </c>
      <c r="O652" s="84">
        <f>IF(OR(M652=0,N652=0), 0, IF(OR($K$6="Square Grid", M652=1), M652*N652*$K$5, (INT((N652+1)/2)*M652 + INT(N652/2)*IF(($G$6-M652*H652)&gt;=0.5*H652, M652, M652-1))*$K$5))</f>
        <v/>
      </c>
      <c r="P652" s="84">
        <f>IF(L652&lt;=0, 0, INT($G$8/L652))</f>
        <v/>
      </c>
      <c r="Q652" s="95">
        <f>MIN(O652, P652)</f>
        <v/>
      </c>
      <c r="R652" s="96">
        <f>ROUND((Q652*L652)/1000, 2)</f>
        <v/>
      </c>
      <c r="S652" s="85">
        <f>IF($C$8&gt;0, R652/$C$8, 0)</f>
        <v/>
      </c>
      <c r="T652" s="85">
        <f>IF(O652&gt;0, Q652/O652, 0)</f>
        <v/>
      </c>
      <c r="U652" s="18">
        <f>IF(Q652=0, "Exceeds Limit", IF(P652&lt;=O652, "Weight Limited", "Volume Limited"))</f>
        <v/>
      </c>
      <c r="V652" s="100">
        <f>B652&amp;"|"&amp;D652&amp;"|"&amp;F652</f>
        <v/>
      </c>
    </row>
    <row r="653" ht="19" customHeight="1">
      <c r="A653" s="93" t="n">
        <v>643</v>
      </c>
      <c r="B653" s="101" t="inlineStr">
        <is>
          <t>Stainless Steel 304</t>
        </is>
      </c>
      <c r="C653" s="13" t="inlineStr">
        <is>
          <t>ASME B36.19M / B36.10M</t>
        </is>
      </c>
      <c r="D653" s="12" t="inlineStr">
        <is>
          <t>14''</t>
        </is>
      </c>
      <c r="E653" s="93" t="n">
        <v>350</v>
      </c>
      <c r="F653" s="12" t="inlineStr">
        <is>
          <t>80</t>
        </is>
      </c>
      <c r="G653" s="14" t="n">
        <v>14</v>
      </c>
      <c r="H653" s="78" t="n">
        <v>355.6</v>
      </c>
      <c r="I653" s="14" t="n">
        <v>0.75</v>
      </c>
      <c r="J653" s="78" t="n">
        <v>19.05</v>
      </c>
      <c r="K653" s="14">
        <f>ROUND((H653-J653)*J653*IF(B653="Carbon Steel",$K$7,IF(B653="Stainless Steel 304",$K$8,$L$8)), 3)</f>
        <v/>
      </c>
      <c r="L653" s="78">
        <f>ROUND(K653*$G$5, 2)</f>
        <v/>
      </c>
      <c r="M653" s="93">
        <f>INT($G$6/H653)</f>
        <v/>
      </c>
      <c r="N653" s="93">
        <f>IF(M653=0, 0, IF(OR($K$6="Square Grid", M653=1), INT($G$7/H653), IF($G$7&lt;H653, 0, 1+INT(($G$7-H653)/(0.8660254*H653)))))</f>
        <v/>
      </c>
      <c r="O653" s="59">
        <f>IF(OR(M653=0,N653=0), 0, IF(OR($K$6="Square Grid", M653=1), M653*N653*$K$5, (INT((N653+1)/2)*M653 + INT(N653/2)*IF(($G$6-M653*H653)&gt;=0.5*H653, M653, M653-1))*$K$5))</f>
        <v/>
      </c>
      <c r="P653" s="59">
        <f>IF(L653&lt;=0, 0, INT($G$8/L653))</f>
        <v/>
      </c>
      <c r="Q653" s="95">
        <f>MIN(O653, P653)</f>
        <v/>
      </c>
      <c r="R653" s="96">
        <f>ROUND((Q653*L653)/1000, 2)</f>
        <v/>
      </c>
      <c r="S653" s="79">
        <f>IF($C$8&gt;0, R653/$C$8, 0)</f>
        <v/>
      </c>
      <c r="T653" s="79">
        <f>IF(O653&gt;0, Q653/O653, 0)</f>
        <v/>
      </c>
      <c r="U653" s="12">
        <f>IF(Q653=0, "Exceeds Limit", IF(P653&lt;=O653, "Weight Limited", "Volume Limited"))</f>
        <v/>
      </c>
      <c r="V653" s="97">
        <f>B653&amp;"|"&amp;D653&amp;"|"&amp;F653</f>
        <v/>
      </c>
    </row>
    <row r="654" ht="19" customHeight="1">
      <c r="A654" s="98" t="n">
        <v>644</v>
      </c>
      <c r="B654" s="102" t="inlineStr">
        <is>
          <t>Stainless Steel 304</t>
        </is>
      </c>
      <c r="C654" s="19" t="inlineStr">
        <is>
          <t>ASME B36.19M / B36.10M</t>
        </is>
      </c>
      <c r="D654" s="18" t="inlineStr">
        <is>
          <t>14''</t>
        </is>
      </c>
      <c r="E654" s="98" t="n">
        <v>350</v>
      </c>
      <c r="F654" s="18" t="inlineStr">
        <is>
          <t>100</t>
        </is>
      </c>
      <c r="G654" s="20" t="n">
        <v>14</v>
      </c>
      <c r="H654" s="82" t="n">
        <v>355.6</v>
      </c>
      <c r="I654" s="20" t="n">
        <v>0.9379999999999999</v>
      </c>
      <c r="J654" s="82" t="n">
        <v>23.83</v>
      </c>
      <c r="K654" s="20">
        <f>ROUND((H654-J654)*J654*IF(B654="Carbon Steel",$K$7,IF(B654="Stainless Steel 304",$K$8,$L$8)), 3)</f>
        <v/>
      </c>
      <c r="L654" s="82">
        <f>ROUND(K654*$G$5, 2)</f>
        <v/>
      </c>
      <c r="M654" s="98">
        <f>INT($G$6/H654)</f>
        <v/>
      </c>
      <c r="N654" s="98">
        <f>IF(M654=0, 0, IF(OR($K$6="Square Grid", M654=1), INT($G$7/H654), IF($G$7&lt;H654, 0, 1+INT(($G$7-H654)/(0.8660254*H654)))))</f>
        <v/>
      </c>
      <c r="O654" s="84">
        <f>IF(OR(M654=0,N654=0), 0, IF(OR($K$6="Square Grid", M654=1), M654*N654*$K$5, (INT((N654+1)/2)*M654 + INT(N654/2)*IF(($G$6-M654*H654)&gt;=0.5*H654, M654, M654-1))*$K$5))</f>
        <v/>
      </c>
      <c r="P654" s="84">
        <f>IF(L654&lt;=0, 0, INT($G$8/L654))</f>
        <v/>
      </c>
      <c r="Q654" s="95">
        <f>MIN(O654, P654)</f>
        <v/>
      </c>
      <c r="R654" s="96">
        <f>ROUND((Q654*L654)/1000, 2)</f>
        <v/>
      </c>
      <c r="S654" s="85">
        <f>IF($C$8&gt;0, R654/$C$8, 0)</f>
        <v/>
      </c>
      <c r="T654" s="85">
        <f>IF(O654&gt;0, Q654/O654, 0)</f>
        <v/>
      </c>
      <c r="U654" s="18">
        <f>IF(Q654=0, "Exceeds Limit", IF(P654&lt;=O654, "Weight Limited", "Volume Limited"))</f>
        <v/>
      </c>
      <c r="V654" s="100">
        <f>B654&amp;"|"&amp;D654&amp;"|"&amp;F654</f>
        <v/>
      </c>
    </row>
    <row r="655" ht="19" customHeight="1">
      <c r="A655" s="93" t="n">
        <v>645</v>
      </c>
      <c r="B655" s="101" t="inlineStr">
        <is>
          <t>Stainless Steel 304</t>
        </is>
      </c>
      <c r="C655" s="13" t="inlineStr">
        <is>
          <t>ASME B36.19M / B36.10M</t>
        </is>
      </c>
      <c r="D655" s="12" t="inlineStr">
        <is>
          <t>14''</t>
        </is>
      </c>
      <c r="E655" s="93" t="n">
        <v>350</v>
      </c>
      <c r="F655" s="12" t="inlineStr">
        <is>
          <t>120</t>
        </is>
      </c>
      <c r="G655" s="14" t="n">
        <v>14</v>
      </c>
      <c r="H655" s="78" t="n">
        <v>355.6</v>
      </c>
      <c r="I655" s="14" t="n">
        <v>1.094</v>
      </c>
      <c r="J655" s="78" t="n">
        <v>27.79</v>
      </c>
      <c r="K655" s="14">
        <f>ROUND((H655-J655)*J655*IF(B655="Carbon Steel",$K$7,IF(B655="Stainless Steel 304",$K$8,$L$8)), 3)</f>
        <v/>
      </c>
      <c r="L655" s="78">
        <f>ROUND(K655*$G$5, 2)</f>
        <v/>
      </c>
      <c r="M655" s="93">
        <f>INT($G$6/H655)</f>
        <v/>
      </c>
      <c r="N655" s="93">
        <f>IF(M655=0, 0, IF(OR($K$6="Square Grid", M655=1), INT($G$7/H655), IF($G$7&lt;H655, 0, 1+INT(($G$7-H655)/(0.8660254*H655)))))</f>
        <v/>
      </c>
      <c r="O655" s="59">
        <f>IF(OR(M655=0,N655=0), 0, IF(OR($K$6="Square Grid", M655=1), M655*N655*$K$5, (INT((N655+1)/2)*M655 + INT(N655/2)*IF(($G$6-M655*H655)&gt;=0.5*H655, M655, M655-1))*$K$5))</f>
        <v/>
      </c>
      <c r="P655" s="59">
        <f>IF(L655&lt;=0, 0, INT($G$8/L655))</f>
        <v/>
      </c>
      <c r="Q655" s="95">
        <f>MIN(O655, P655)</f>
        <v/>
      </c>
      <c r="R655" s="96">
        <f>ROUND((Q655*L655)/1000, 2)</f>
        <v/>
      </c>
      <c r="S655" s="79">
        <f>IF($C$8&gt;0, R655/$C$8, 0)</f>
        <v/>
      </c>
      <c r="T655" s="79">
        <f>IF(O655&gt;0, Q655/O655, 0)</f>
        <v/>
      </c>
      <c r="U655" s="12">
        <f>IF(Q655=0, "Exceeds Limit", IF(P655&lt;=O655, "Weight Limited", "Volume Limited"))</f>
        <v/>
      </c>
      <c r="V655" s="97">
        <f>B655&amp;"|"&amp;D655&amp;"|"&amp;F655</f>
        <v/>
      </c>
    </row>
    <row r="656" ht="19" customHeight="1">
      <c r="A656" s="98" t="n">
        <v>646</v>
      </c>
      <c r="B656" s="102" t="inlineStr">
        <is>
          <t>Stainless Steel 304</t>
        </is>
      </c>
      <c r="C656" s="19" t="inlineStr">
        <is>
          <t>ASME B36.19M / B36.10M</t>
        </is>
      </c>
      <c r="D656" s="18" t="inlineStr">
        <is>
          <t>14''</t>
        </is>
      </c>
      <c r="E656" s="98" t="n">
        <v>350</v>
      </c>
      <c r="F656" s="18" t="inlineStr">
        <is>
          <t>140</t>
        </is>
      </c>
      <c r="G656" s="20" t="n">
        <v>14</v>
      </c>
      <c r="H656" s="82" t="n">
        <v>355.6</v>
      </c>
      <c r="I656" s="20" t="n">
        <v>1.25</v>
      </c>
      <c r="J656" s="82" t="n">
        <v>31.75</v>
      </c>
      <c r="K656" s="20">
        <f>ROUND((H656-J656)*J656*IF(B656="Carbon Steel",$K$7,IF(B656="Stainless Steel 304",$K$8,$L$8)), 3)</f>
        <v/>
      </c>
      <c r="L656" s="82">
        <f>ROUND(K656*$G$5, 2)</f>
        <v/>
      </c>
      <c r="M656" s="98">
        <f>INT($G$6/H656)</f>
        <v/>
      </c>
      <c r="N656" s="98">
        <f>IF(M656=0, 0, IF(OR($K$6="Square Grid", M656=1), INT($G$7/H656), IF($G$7&lt;H656, 0, 1+INT(($G$7-H656)/(0.8660254*H656)))))</f>
        <v/>
      </c>
      <c r="O656" s="84">
        <f>IF(OR(M656=0,N656=0), 0, IF(OR($K$6="Square Grid", M656=1), M656*N656*$K$5, (INT((N656+1)/2)*M656 + INT(N656/2)*IF(($G$6-M656*H656)&gt;=0.5*H656, M656, M656-1))*$K$5))</f>
        <v/>
      </c>
      <c r="P656" s="84">
        <f>IF(L656&lt;=0, 0, INT($G$8/L656))</f>
        <v/>
      </c>
      <c r="Q656" s="95">
        <f>MIN(O656, P656)</f>
        <v/>
      </c>
      <c r="R656" s="96">
        <f>ROUND((Q656*L656)/1000, 2)</f>
        <v/>
      </c>
      <c r="S656" s="85">
        <f>IF($C$8&gt;0, R656/$C$8, 0)</f>
        <v/>
      </c>
      <c r="T656" s="85">
        <f>IF(O656&gt;0, Q656/O656, 0)</f>
        <v/>
      </c>
      <c r="U656" s="18">
        <f>IF(Q656=0, "Exceeds Limit", IF(P656&lt;=O656, "Weight Limited", "Volume Limited"))</f>
        <v/>
      </c>
      <c r="V656" s="100">
        <f>B656&amp;"|"&amp;D656&amp;"|"&amp;F656</f>
        <v/>
      </c>
    </row>
    <row r="657" ht="19" customHeight="1">
      <c r="A657" s="93" t="n">
        <v>647</v>
      </c>
      <c r="B657" s="101" t="inlineStr">
        <is>
          <t>Stainless Steel 304</t>
        </is>
      </c>
      <c r="C657" s="13" t="inlineStr">
        <is>
          <t>ASME B36.19M / B36.10M</t>
        </is>
      </c>
      <c r="D657" s="12" t="inlineStr">
        <is>
          <t>14''</t>
        </is>
      </c>
      <c r="E657" s="93" t="n">
        <v>350</v>
      </c>
      <c r="F657" s="12" t="inlineStr">
        <is>
          <t>160</t>
        </is>
      </c>
      <c r="G657" s="14" t="n">
        <v>14</v>
      </c>
      <c r="H657" s="78" t="n">
        <v>355.6</v>
      </c>
      <c r="I657" s="14" t="n">
        <v>1.406</v>
      </c>
      <c r="J657" s="78" t="n">
        <v>35.71</v>
      </c>
      <c r="K657" s="14">
        <f>ROUND((H657-J657)*J657*IF(B657="Carbon Steel",$K$7,IF(B657="Stainless Steel 304",$K$8,$L$8)), 3)</f>
        <v/>
      </c>
      <c r="L657" s="78">
        <f>ROUND(K657*$G$5, 2)</f>
        <v/>
      </c>
      <c r="M657" s="93">
        <f>INT($G$6/H657)</f>
        <v/>
      </c>
      <c r="N657" s="93">
        <f>IF(M657=0, 0, IF(OR($K$6="Square Grid", M657=1), INT($G$7/H657), IF($G$7&lt;H657, 0, 1+INT(($G$7-H657)/(0.8660254*H657)))))</f>
        <v/>
      </c>
      <c r="O657" s="59">
        <f>IF(OR(M657=0,N657=0), 0, IF(OR($K$6="Square Grid", M657=1), M657*N657*$K$5, (INT((N657+1)/2)*M657 + INT(N657/2)*IF(($G$6-M657*H657)&gt;=0.5*H657, M657, M657-1))*$K$5))</f>
        <v/>
      </c>
      <c r="P657" s="59">
        <f>IF(L657&lt;=0, 0, INT($G$8/L657))</f>
        <v/>
      </c>
      <c r="Q657" s="95">
        <f>MIN(O657, P657)</f>
        <v/>
      </c>
      <c r="R657" s="96">
        <f>ROUND((Q657*L657)/1000, 2)</f>
        <v/>
      </c>
      <c r="S657" s="79">
        <f>IF($C$8&gt;0, R657/$C$8, 0)</f>
        <v/>
      </c>
      <c r="T657" s="79">
        <f>IF(O657&gt;0, Q657/O657, 0)</f>
        <v/>
      </c>
      <c r="U657" s="12">
        <f>IF(Q657=0, "Exceeds Limit", IF(P657&lt;=O657, "Weight Limited", "Volume Limited"))</f>
        <v/>
      </c>
      <c r="V657" s="97">
        <f>B657&amp;"|"&amp;D657&amp;"|"&amp;F657</f>
        <v/>
      </c>
    </row>
    <row r="658" ht="19" customHeight="1">
      <c r="A658" s="98" t="n">
        <v>648</v>
      </c>
      <c r="B658" s="102" t="inlineStr">
        <is>
          <t>Stainless Steel 304</t>
        </is>
      </c>
      <c r="C658" s="19" t="inlineStr">
        <is>
          <t>ASME B36.19M / B36.10M</t>
        </is>
      </c>
      <c r="D658" s="18" t="inlineStr">
        <is>
          <t>16''</t>
        </is>
      </c>
      <c r="E658" s="98" t="n">
        <v>400</v>
      </c>
      <c r="F658" s="18" t="inlineStr">
        <is>
          <t>5S</t>
        </is>
      </c>
      <c r="G658" s="20" t="n">
        <v>16</v>
      </c>
      <c r="H658" s="82" t="n">
        <v>406.4</v>
      </c>
      <c r="I658" s="20" t="n">
        <v>0.165</v>
      </c>
      <c r="J658" s="82" t="n">
        <v>4.19</v>
      </c>
      <c r="K658" s="20">
        <f>ROUND((H658-J658)*J658*IF(B658="Carbon Steel",$K$7,IF(B658="Stainless Steel 304",$K$8,$L$8)), 3)</f>
        <v/>
      </c>
      <c r="L658" s="82">
        <f>ROUND(K658*$G$5, 2)</f>
        <v/>
      </c>
      <c r="M658" s="98">
        <f>INT($G$6/H658)</f>
        <v/>
      </c>
      <c r="N658" s="98">
        <f>IF(M658=0, 0, IF(OR($K$6="Square Grid", M658=1), INT($G$7/H658), IF($G$7&lt;H658, 0, 1+INT(($G$7-H658)/(0.8660254*H658)))))</f>
        <v/>
      </c>
      <c r="O658" s="84">
        <f>IF(OR(M658=0,N658=0), 0, IF(OR($K$6="Square Grid", M658=1), M658*N658*$K$5, (INT((N658+1)/2)*M658 + INT(N658/2)*IF(($G$6-M658*H658)&gt;=0.5*H658, M658, M658-1))*$K$5))</f>
        <v/>
      </c>
      <c r="P658" s="84">
        <f>IF(L658&lt;=0, 0, INT($G$8/L658))</f>
        <v/>
      </c>
      <c r="Q658" s="95">
        <f>MIN(O658, P658)</f>
        <v/>
      </c>
      <c r="R658" s="96">
        <f>ROUND((Q658*L658)/1000, 2)</f>
        <v/>
      </c>
      <c r="S658" s="85">
        <f>IF($C$8&gt;0, R658/$C$8, 0)</f>
        <v/>
      </c>
      <c r="T658" s="85">
        <f>IF(O658&gt;0, Q658/O658, 0)</f>
        <v/>
      </c>
      <c r="U658" s="18">
        <f>IF(Q658=0, "Exceeds Limit", IF(P658&lt;=O658, "Weight Limited", "Volume Limited"))</f>
        <v/>
      </c>
      <c r="V658" s="100">
        <f>B658&amp;"|"&amp;D658&amp;"|"&amp;F658</f>
        <v/>
      </c>
    </row>
    <row r="659" ht="19" customHeight="1">
      <c r="A659" s="93" t="n">
        <v>649</v>
      </c>
      <c r="B659" s="101" t="inlineStr">
        <is>
          <t>Stainless Steel 304</t>
        </is>
      </c>
      <c r="C659" s="13" t="inlineStr">
        <is>
          <t>ASME B36.19M / B36.10M</t>
        </is>
      </c>
      <c r="D659" s="12" t="inlineStr">
        <is>
          <t>16''</t>
        </is>
      </c>
      <c r="E659" s="93" t="n">
        <v>400</v>
      </c>
      <c r="F659" s="12" t="inlineStr">
        <is>
          <t>5</t>
        </is>
      </c>
      <c r="G659" s="14" t="n">
        <v>16</v>
      </c>
      <c r="H659" s="78" t="n">
        <v>406.4</v>
      </c>
      <c r="I659" s="14" t="n">
        <v>0.165</v>
      </c>
      <c r="J659" s="78" t="n">
        <v>4.19</v>
      </c>
      <c r="K659" s="14">
        <f>ROUND((H659-J659)*J659*IF(B659="Carbon Steel",$K$7,IF(B659="Stainless Steel 304",$K$8,$L$8)), 3)</f>
        <v/>
      </c>
      <c r="L659" s="78">
        <f>ROUND(K659*$G$5, 2)</f>
        <v/>
      </c>
      <c r="M659" s="93">
        <f>INT($G$6/H659)</f>
        <v/>
      </c>
      <c r="N659" s="93">
        <f>IF(M659=0, 0, IF(OR($K$6="Square Grid", M659=1), INT($G$7/H659), IF($G$7&lt;H659, 0, 1+INT(($G$7-H659)/(0.8660254*H659)))))</f>
        <v/>
      </c>
      <c r="O659" s="59">
        <f>IF(OR(M659=0,N659=0), 0, IF(OR($K$6="Square Grid", M659=1), M659*N659*$K$5, (INT((N659+1)/2)*M659 + INT(N659/2)*IF(($G$6-M659*H659)&gt;=0.5*H659, M659, M659-1))*$K$5))</f>
        <v/>
      </c>
      <c r="P659" s="59">
        <f>IF(L659&lt;=0, 0, INT($G$8/L659))</f>
        <v/>
      </c>
      <c r="Q659" s="95">
        <f>MIN(O659, P659)</f>
        <v/>
      </c>
      <c r="R659" s="96">
        <f>ROUND((Q659*L659)/1000, 2)</f>
        <v/>
      </c>
      <c r="S659" s="79">
        <f>IF($C$8&gt;0, R659/$C$8, 0)</f>
        <v/>
      </c>
      <c r="T659" s="79">
        <f>IF(O659&gt;0, Q659/O659, 0)</f>
        <v/>
      </c>
      <c r="U659" s="12">
        <f>IF(Q659=0, "Exceeds Limit", IF(P659&lt;=O659, "Weight Limited", "Volume Limited"))</f>
        <v/>
      </c>
      <c r="V659" s="97">
        <f>B659&amp;"|"&amp;D659&amp;"|"&amp;F659</f>
        <v/>
      </c>
    </row>
    <row r="660" ht="19" customHeight="1">
      <c r="A660" s="98" t="n">
        <v>650</v>
      </c>
      <c r="B660" s="102" t="inlineStr">
        <is>
          <t>Stainless Steel 304</t>
        </is>
      </c>
      <c r="C660" s="19" t="inlineStr">
        <is>
          <t>ASME B36.19M / B36.10M</t>
        </is>
      </c>
      <c r="D660" s="18" t="inlineStr">
        <is>
          <t>16''</t>
        </is>
      </c>
      <c r="E660" s="98" t="n">
        <v>400</v>
      </c>
      <c r="F660" s="18" t="inlineStr">
        <is>
          <t>10S</t>
        </is>
      </c>
      <c r="G660" s="20" t="n">
        <v>16</v>
      </c>
      <c r="H660" s="82" t="n">
        <v>406.4</v>
      </c>
      <c r="I660" s="20" t="n">
        <v>0.188</v>
      </c>
      <c r="J660" s="82" t="n">
        <v>4.78</v>
      </c>
      <c r="K660" s="20">
        <f>ROUND((H660-J660)*J660*IF(B660="Carbon Steel",$K$7,IF(B660="Stainless Steel 304",$K$8,$L$8)), 3)</f>
        <v/>
      </c>
      <c r="L660" s="82">
        <f>ROUND(K660*$G$5, 2)</f>
        <v/>
      </c>
      <c r="M660" s="98">
        <f>INT($G$6/H660)</f>
        <v/>
      </c>
      <c r="N660" s="98">
        <f>IF(M660=0, 0, IF(OR($K$6="Square Grid", M660=1), INT($G$7/H660), IF($G$7&lt;H660, 0, 1+INT(($G$7-H660)/(0.8660254*H660)))))</f>
        <v/>
      </c>
      <c r="O660" s="84">
        <f>IF(OR(M660=0,N660=0), 0, IF(OR($K$6="Square Grid", M660=1), M660*N660*$K$5, (INT((N660+1)/2)*M660 + INT(N660/2)*IF(($G$6-M660*H660)&gt;=0.5*H660, M660, M660-1))*$K$5))</f>
        <v/>
      </c>
      <c r="P660" s="84">
        <f>IF(L660&lt;=0, 0, INT($G$8/L660))</f>
        <v/>
      </c>
      <c r="Q660" s="95">
        <f>MIN(O660, P660)</f>
        <v/>
      </c>
      <c r="R660" s="96">
        <f>ROUND((Q660*L660)/1000, 2)</f>
        <v/>
      </c>
      <c r="S660" s="85">
        <f>IF($C$8&gt;0, R660/$C$8, 0)</f>
        <v/>
      </c>
      <c r="T660" s="85">
        <f>IF(O660&gt;0, Q660/O660, 0)</f>
        <v/>
      </c>
      <c r="U660" s="18">
        <f>IF(Q660=0, "Exceeds Limit", IF(P660&lt;=O660, "Weight Limited", "Volume Limited"))</f>
        <v/>
      </c>
      <c r="V660" s="100">
        <f>B660&amp;"|"&amp;D660&amp;"|"&amp;F660</f>
        <v/>
      </c>
    </row>
    <row r="661" ht="19" customHeight="1">
      <c r="A661" s="93" t="n">
        <v>651</v>
      </c>
      <c r="B661" s="101" t="inlineStr">
        <is>
          <t>Stainless Steel 304</t>
        </is>
      </c>
      <c r="C661" s="13" t="inlineStr">
        <is>
          <t>ASME B36.19M / B36.10M</t>
        </is>
      </c>
      <c r="D661" s="12" t="inlineStr">
        <is>
          <t>16''</t>
        </is>
      </c>
      <c r="E661" s="93" t="n">
        <v>400</v>
      </c>
      <c r="F661" s="12" t="inlineStr">
        <is>
          <t>10</t>
        </is>
      </c>
      <c r="G661" s="14" t="n">
        <v>16</v>
      </c>
      <c r="H661" s="78" t="n">
        <v>406.4</v>
      </c>
      <c r="I661" s="14" t="n">
        <v>0.25</v>
      </c>
      <c r="J661" s="78" t="n">
        <v>6.35</v>
      </c>
      <c r="K661" s="14">
        <f>ROUND((H661-J661)*J661*IF(B661="Carbon Steel",$K$7,IF(B661="Stainless Steel 304",$K$8,$L$8)), 3)</f>
        <v/>
      </c>
      <c r="L661" s="78">
        <f>ROUND(K661*$G$5, 2)</f>
        <v/>
      </c>
      <c r="M661" s="93">
        <f>INT($G$6/H661)</f>
        <v/>
      </c>
      <c r="N661" s="93">
        <f>IF(M661=0, 0, IF(OR($K$6="Square Grid", M661=1), INT($G$7/H661), IF($G$7&lt;H661, 0, 1+INT(($G$7-H661)/(0.8660254*H661)))))</f>
        <v/>
      </c>
      <c r="O661" s="59">
        <f>IF(OR(M661=0,N661=0), 0, IF(OR($K$6="Square Grid", M661=1), M661*N661*$K$5, (INT((N661+1)/2)*M661 + INT(N661/2)*IF(($G$6-M661*H661)&gt;=0.5*H661, M661, M661-1))*$K$5))</f>
        <v/>
      </c>
      <c r="P661" s="59">
        <f>IF(L661&lt;=0, 0, INT($G$8/L661))</f>
        <v/>
      </c>
      <c r="Q661" s="95">
        <f>MIN(O661, P661)</f>
        <v/>
      </c>
      <c r="R661" s="96">
        <f>ROUND((Q661*L661)/1000, 2)</f>
        <v/>
      </c>
      <c r="S661" s="79">
        <f>IF($C$8&gt;0, R661/$C$8, 0)</f>
        <v/>
      </c>
      <c r="T661" s="79">
        <f>IF(O661&gt;0, Q661/O661, 0)</f>
        <v/>
      </c>
      <c r="U661" s="12">
        <f>IF(Q661=0, "Exceeds Limit", IF(P661&lt;=O661, "Weight Limited", "Volume Limited"))</f>
        <v/>
      </c>
      <c r="V661" s="97">
        <f>B661&amp;"|"&amp;D661&amp;"|"&amp;F661</f>
        <v/>
      </c>
    </row>
    <row r="662" ht="19" customHeight="1">
      <c r="A662" s="98" t="n">
        <v>652</v>
      </c>
      <c r="B662" s="102" t="inlineStr">
        <is>
          <t>Stainless Steel 304</t>
        </is>
      </c>
      <c r="C662" s="19" t="inlineStr">
        <is>
          <t>ASME B36.19M / B36.10M</t>
        </is>
      </c>
      <c r="D662" s="18" t="inlineStr">
        <is>
          <t>16''</t>
        </is>
      </c>
      <c r="E662" s="98" t="n">
        <v>400</v>
      </c>
      <c r="F662" s="18" t="inlineStr">
        <is>
          <t>20</t>
        </is>
      </c>
      <c r="G662" s="20" t="n">
        <v>16</v>
      </c>
      <c r="H662" s="82" t="n">
        <v>406.4</v>
      </c>
      <c r="I662" s="20" t="n">
        <v>0.312</v>
      </c>
      <c r="J662" s="82" t="n">
        <v>7.92</v>
      </c>
      <c r="K662" s="20">
        <f>ROUND((H662-J662)*J662*IF(B662="Carbon Steel",$K$7,IF(B662="Stainless Steel 304",$K$8,$L$8)), 3)</f>
        <v/>
      </c>
      <c r="L662" s="82">
        <f>ROUND(K662*$G$5, 2)</f>
        <v/>
      </c>
      <c r="M662" s="98">
        <f>INT($G$6/H662)</f>
        <v/>
      </c>
      <c r="N662" s="98">
        <f>IF(M662=0, 0, IF(OR($K$6="Square Grid", M662=1), INT($G$7/H662), IF($G$7&lt;H662, 0, 1+INT(($G$7-H662)/(0.8660254*H662)))))</f>
        <v/>
      </c>
      <c r="O662" s="84">
        <f>IF(OR(M662=0,N662=0), 0, IF(OR($K$6="Square Grid", M662=1), M662*N662*$K$5, (INT((N662+1)/2)*M662 + INT(N662/2)*IF(($G$6-M662*H662)&gt;=0.5*H662, M662, M662-1))*$K$5))</f>
        <v/>
      </c>
      <c r="P662" s="84">
        <f>IF(L662&lt;=0, 0, INT($G$8/L662))</f>
        <v/>
      </c>
      <c r="Q662" s="95">
        <f>MIN(O662, P662)</f>
        <v/>
      </c>
      <c r="R662" s="96">
        <f>ROUND((Q662*L662)/1000, 2)</f>
        <v/>
      </c>
      <c r="S662" s="85">
        <f>IF($C$8&gt;0, R662/$C$8, 0)</f>
        <v/>
      </c>
      <c r="T662" s="85">
        <f>IF(O662&gt;0, Q662/O662, 0)</f>
        <v/>
      </c>
      <c r="U662" s="18">
        <f>IF(Q662=0, "Exceeds Limit", IF(P662&lt;=O662, "Weight Limited", "Volume Limited"))</f>
        <v/>
      </c>
      <c r="V662" s="100">
        <f>B662&amp;"|"&amp;D662&amp;"|"&amp;F662</f>
        <v/>
      </c>
    </row>
    <row r="663" ht="19" customHeight="1">
      <c r="A663" s="93" t="n">
        <v>653</v>
      </c>
      <c r="B663" s="101" t="inlineStr">
        <is>
          <t>Stainless Steel 304</t>
        </is>
      </c>
      <c r="C663" s="13" t="inlineStr">
        <is>
          <t>ASME B36.19M / B36.10M</t>
        </is>
      </c>
      <c r="D663" s="12" t="inlineStr">
        <is>
          <t>16''</t>
        </is>
      </c>
      <c r="E663" s="93" t="n">
        <v>400</v>
      </c>
      <c r="F663" s="12" t="inlineStr">
        <is>
          <t>30</t>
        </is>
      </c>
      <c r="G663" s="14" t="n">
        <v>16</v>
      </c>
      <c r="H663" s="78" t="n">
        <v>406.4</v>
      </c>
      <c r="I663" s="14" t="n">
        <v>0.375</v>
      </c>
      <c r="J663" s="78" t="n">
        <v>9.52</v>
      </c>
      <c r="K663" s="14">
        <f>ROUND((H663-J663)*J663*IF(B663="Carbon Steel",$K$7,IF(B663="Stainless Steel 304",$K$8,$L$8)), 3)</f>
        <v/>
      </c>
      <c r="L663" s="78">
        <f>ROUND(K663*$G$5, 2)</f>
        <v/>
      </c>
      <c r="M663" s="93">
        <f>INT($G$6/H663)</f>
        <v/>
      </c>
      <c r="N663" s="93">
        <f>IF(M663=0, 0, IF(OR($K$6="Square Grid", M663=1), INT($G$7/H663), IF($G$7&lt;H663, 0, 1+INT(($G$7-H663)/(0.8660254*H663)))))</f>
        <v/>
      </c>
      <c r="O663" s="59">
        <f>IF(OR(M663=0,N663=0), 0, IF(OR($K$6="Square Grid", M663=1), M663*N663*$K$5, (INT((N663+1)/2)*M663 + INT(N663/2)*IF(($G$6-M663*H663)&gt;=0.5*H663, M663, M663-1))*$K$5))</f>
        <v/>
      </c>
      <c r="P663" s="59">
        <f>IF(L663&lt;=0, 0, INT($G$8/L663))</f>
        <v/>
      </c>
      <c r="Q663" s="95">
        <f>MIN(O663, P663)</f>
        <v/>
      </c>
      <c r="R663" s="96">
        <f>ROUND((Q663*L663)/1000, 2)</f>
        <v/>
      </c>
      <c r="S663" s="79">
        <f>IF($C$8&gt;0, R663/$C$8, 0)</f>
        <v/>
      </c>
      <c r="T663" s="79">
        <f>IF(O663&gt;0, Q663/O663, 0)</f>
        <v/>
      </c>
      <c r="U663" s="12">
        <f>IF(Q663=0, "Exceeds Limit", IF(P663&lt;=O663, "Weight Limited", "Volume Limited"))</f>
        <v/>
      </c>
      <c r="V663" s="97">
        <f>B663&amp;"|"&amp;D663&amp;"|"&amp;F663</f>
        <v/>
      </c>
    </row>
    <row r="664" ht="19" customHeight="1">
      <c r="A664" s="98" t="n">
        <v>654</v>
      </c>
      <c r="B664" s="102" t="inlineStr">
        <is>
          <t>Stainless Steel 304</t>
        </is>
      </c>
      <c r="C664" s="19" t="inlineStr">
        <is>
          <t>ASME B36.19M / B36.10M</t>
        </is>
      </c>
      <c r="D664" s="18" t="inlineStr">
        <is>
          <t>16''</t>
        </is>
      </c>
      <c r="E664" s="98" t="n">
        <v>400</v>
      </c>
      <c r="F664" s="18" t="inlineStr">
        <is>
          <t>40S</t>
        </is>
      </c>
      <c r="G664" s="20" t="n">
        <v>16</v>
      </c>
      <c r="H664" s="82" t="n">
        <v>406.4</v>
      </c>
      <c r="I664" s="20" t="n">
        <v>0.375</v>
      </c>
      <c r="J664" s="82" t="n">
        <v>9.52</v>
      </c>
      <c r="K664" s="20">
        <f>ROUND((H664-J664)*J664*IF(B664="Carbon Steel",$K$7,IF(B664="Stainless Steel 304",$K$8,$L$8)), 3)</f>
        <v/>
      </c>
      <c r="L664" s="82">
        <f>ROUND(K664*$G$5, 2)</f>
        <v/>
      </c>
      <c r="M664" s="98">
        <f>INT($G$6/H664)</f>
        <v/>
      </c>
      <c r="N664" s="98">
        <f>IF(M664=0, 0, IF(OR($K$6="Square Grid", M664=1), INT($G$7/H664), IF($G$7&lt;H664, 0, 1+INT(($G$7-H664)/(0.8660254*H664)))))</f>
        <v/>
      </c>
      <c r="O664" s="84">
        <f>IF(OR(M664=0,N664=0), 0, IF(OR($K$6="Square Grid", M664=1), M664*N664*$K$5, (INT((N664+1)/2)*M664 + INT(N664/2)*IF(($G$6-M664*H664)&gt;=0.5*H664, M664, M664-1))*$K$5))</f>
        <v/>
      </c>
      <c r="P664" s="84">
        <f>IF(L664&lt;=0, 0, INT($G$8/L664))</f>
        <v/>
      </c>
      <c r="Q664" s="95">
        <f>MIN(O664, P664)</f>
        <v/>
      </c>
      <c r="R664" s="96">
        <f>ROUND((Q664*L664)/1000, 2)</f>
        <v/>
      </c>
      <c r="S664" s="85">
        <f>IF($C$8&gt;0, R664/$C$8, 0)</f>
        <v/>
      </c>
      <c r="T664" s="85">
        <f>IF(O664&gt;0, Q664/O664, 0)</f>
        <v/>
      </c>
      <c r="U664" s="18">
        <f>IF(Q664=0, "Exceeds Limit", IF(P664&lt;=O664, "Weight Limited", "Volume Limited"))</f>
        <v/>
      </c>
      <c r="V664" s="100">
        <f>B664&amp;"|"&amp;D664&amp;"|"&amp;F664</f>
        <v/>
      </c>
    </row>
    <row r="665" ht="19" customHeight="1">
      <c r="A665" s="93" t="n">
        <v>655</v>
      </c>
      <c r="B665" s="101" t="inlineStr">
        <is>
          <t>Stainless Steel 304</t>
        </is>
      </c>
      <c r="C665" s="13" t="inlineStr">
        <is>
          <t>ASME B36.19M / B36.10M</t>
        </is>
      </c>
      <c r="D665" s="12" t="inlineStr">
        <is>
          <t>16''</t>
        </is>
      </c>
      <c r="E665" s="93" t="n">
        <v>400</v>
      </c>
      <c r="F665" s="12" t="inlineStr">
        <is>
          <t>STD</t>
        </is>
      </c>
      <c r="G665" s="14" t="n">
        <v>16</v>
      </c>
      <c r="H665" s="78" t="n">
        <v>406.4</v>
      </c>
      <c r="I665" s="14" t="n">
        <v>0.375</v>
      </c>
      <c r="J665" s="78" t="n">
        <v>9.52</v>
      </c>
      <c r="K665" s="14">
        <f>ROUND((H665-J665)*J665*IF(B665="Carbon Steel",$K$7,IF(B665="Stainless Steel 304",$K$8,$L$8)), 3)</f>
        <v/>
      </c>
      <c r="L665" s="78">
        <f>ROUND(K665*$G$5, 2)</f>
        <v/>
      </c>
      <c r="M665" s="93">
        <f>INT($G$6/H665)</f>
        <v/>
      </c>
      <c r="N665" s="93">
        <f>IF(M665=0, 0, IF(OR($K$6="Square Grid", M665=1), INT($G$7/H665), IF($G$7&lt;H665, 0, 1+INT(($G$7-H665)/(0.8660254*H665)))))</f>
        <v/>
      </c>
      <c r="O665" s="59">
        <f>IF(OR(M665=0,N665=0), 0, IF(OR($K$6="Square Grid", M665=1), M665*N665*$K$5, (INT((N665+1)/2)*M665 + INT(N665/2)*IF(($G$6-M665*H665)&gt;=0.5*H665, M665, M665-1))*$K$5))</f>
        <v/>
      </c>
      <c r="P665" s="59">
        <f>IF(L665&lt;=0, 0, INT($G$8/L665))</f>
        <v/>
      </c>
      <c r="Q665" s="95">
        <f>MIN(O665, P665)</f>
        <v/>
      </c>
      <c r="R665" s="96">
        <f>ROUND((Q665*L665)/1000, 2)</f>
        <v/>
      </c>
      <c r="S665" s="79">
        <f>IF($C$8&gt;0, R665/$C$8, 0)</f>
        <v/>
      </c>
      <c r="T665" s="79">
        <f>IF(O665&gt;0, Q665/O665, 0)</f>
        <v/>
      </c>
      <c r="U665" s="12">
        <f>IF(Q665=0, "Exceeds Limit", IF(P665&lt;=O665, "Weight Limited", "Volume Limited"))</f>
        <v/>
      </c>
      <c r="V665" s="97">
        <f>B665&amp;"|"&amp;D665&amp;"|"&amp;F665</f>
        <v/>
      </c>
    </row>
    <row r="666" ht="19" customHeight="1">
      <c r="A666" s="98" t="n">
        <v>656</v>
      </c>
      <c r="B666" s="102" t="inlineStr">
        <is>
          <t>Stainless Steel 304</t>
        </is>
      </c>
      <c r="C666" s="19" t="inlineStr">
        <is>
          <t>ASME B36.19M / B36.10M</t>
        </is>
      </c>
      <c r="D666" s="18" t="inlineStr">
        <is>
          <t>16''</t>
        </is>
      </c>
      <c r="E666" s="98" t="n">
        <v>400</v>
      </c>
      <c r="F666" s="18" t="inlineStr">
        <is>
          <t>40</t>
        </is>
      </c>
      <c r="G666" s="20" t="n">
        <v>16</v>
      </c>
      <c r="H666" s="82" t="n">
        <v>406.4</v>
      </c>
      <c r="I666" s="20" t="n">
        <v>0.5</v>
      </c>
      <c r="J666" s="82" t="n">
        <v>12.7</v>
      </c>
      <c r="K666" s="20">
        <f>ROUND((H666-J666)*J666*IF(B666="Carbon Steel",$K$7,IF(B666="Stainless Steel 304",$K$8,$L$8)), 3)</f>
        <v/>
      </c>
      <c r="L666" s="82">
        <f>ROUND(K666*$G$5, 2)</f>
        <v/>
      </c>
      <c r="M666" s="98">
        <f>INT($G$6/H666)</f>
        <v/>
      </c>
      <c r="N666" s="98">
        <f>IF(M666=0, 0, IF(OR($K$6="Square Grid", M666=1), INT($G$7/H666), IF($G$7&lt;H666, 0, 1+INT(($G$7-H666)/(0.8660254*H666)))))</f>
        <v/>
      </c>
      <c r="O666" s="84">
        <f>IF(OR(M666=0,N666=0), 0, IF(OR($K$6="Square Grid", M666=1), M666*N666*$K$5, (INT((N666+1)/2)*M666 + INT(N666/2)*IF(($G$6-M666*H666)&gt;=0.5*H666, M666, M666-1))*$K$5))</f>
        <v/>
      </c>
      <c r="P666" s="84">
        <f>IF(L666&lt;=0, 0, INT($G$8/L666))</f>
        <v/>
      </c>
      <c r="Q666" s="95">
        <f>MIN(O666, P666)</f>
        <v/>
      </c>
      <c r="R666" s="96">
        <f>ROUND((Q666*L666)/1000, 2)</f>
        <v/>
      </c>
      <c r="S666" s="85">
        <f>IF($C$8&gt;0, R666/$C$8, 0)</f>
        <v/>
      </c>
      <c r="T666" s="85">
        <f>IF(O666&gt;0, Q666/O666, 0)</f>
        <v/>
      </c>
      <c r="U666" s="18">
        <f>IF(Q666=0, "Exceeds Limit", IF(P666&lt;=O666, "Weight Limited", "Volume Limited"))</f>
        <v/>
      </c>
      <c r="V666" s="100">
        <f>B666&amp;"|"&amp;D666&amp;"|"&amp;F666</f>
        <v/>
      </c>
    </row>
    <row r="667" ht="19" customHeight="1">
      <c r="A667" s="93" t="n">
        <v>657</v>
      </c>
      <c r="B667" s="101" t="inlineStr">
        <is>
          <t>Stainless Steel 304</t>
        </is>
      </c>
      <c r="C667" s="13" t="inlineStr">
        <is>
          <t>ASME B36.19M / B36.10M</t>
        </is>
      </c>
      <c r="D667" s="12" t="inlineStr">
        <is>
          <t>16''</t>
        </is>
      </c>
      <c r="E667" s="93" t="n">
        <v>400</v>
      </c>
      <c r="F667" s="12" t="inlineStr">
        <is>
          <t>60</t>
        </is>
      </c>
      <c r="G667" s="14" t="n">
        <v>16</v>
      </c>
      <c r="H667" s="78" t="n">
        <v>406.4</v>
      </c>
      <c r="I667" s="14" t="n">
        <v>0.656</v>
      </c>
      <c r="J667" s="78" t="n">
        <v>16.66</v>
      </c>
      <c r="K667" s="14">
        <f>ROUND((H667-J667)*J667*IF(B667="Carbon Steel",$K$7,IF(B667="Stainless Steel 304",$K$8,$L$8)), 3)</f>
        <v/>
      </c>
      <c r="L667" s="78">
        <f>ROUND(K667*$G$5, 2)</f>
        <v/>
      </c>
      <c r="M667" s="93">
        <f>INT($G$6/H667)</f>
        <v/>
      </c>
      <c r="N667" s="93">
        <f>IF(M667=0, 0, IF(OR($K$6="Square Grid", M667=1), INT($G$7/H667), IF($G$7&lt;H667, 0, 1+INT(($G$7-H667)/(0.8660254*H667)))))</f>
        <v/>
      </c>
      <c r="O667" s="59">
        <f>IF(OR(M667=0,N667=0), 0, IF(OR($K$6="Square Grid", M667=1), M667*N667*$K$5, (INT((N667+1)/2)*M667 + INT(N667/2)*IF(($G$6-M667*H667)&gt;=0.5*H667, M667, M667-1))*$K$5))</f>
        <v/>
      </c>
      <c r="P667" s="59">
        <f>IF(L667&lt;=0, 0, INT($G$8/L667))</f>
        <v/>
      </c>
      <c r="Q667" s="95">
        <f>MIN(O667, P667)</f>
        <v/>
      </c>
      <c r="R667" s="96">
        <f>ROUND((Q667*L667)/1000, 2)</f>
        <v/>
      </c>
      <c r="S667" s="79">
        <f>IF($C$8&gt;0, R667/$C$8, 0)</f>
        <v/>
      </c>
      <c r="T667" s="79">
        <f>IF(O667&gt;0, Q667/O667, 0)</f>
        <v/>
      </c>
      <c r="U667" s="12">
        <f>IF(Q667=0, "Exceeds Limit", IF(P667&lt;=O667, "Weight Limited", "Volume Limited"))</f>
        <v/>
      </c>
      <c r="V667" s="97">
        <f>B667&amp;"|"&amp;D667&amp;"|"&amp;F667</f>
        <v/>
      </c>
    </row>
    <row r="668" ht="19" customHeight="1">
      <c r="A668" s="98" t="n">
        <v>658</v>
      </c>
      <c r="B668" s="102" t="inlineStr">
        <is>
          <t>Stainless Steel 304</t>
        </is>
      </c>
      <c r="C668" s="19" t="inlineStr">
        <is>
          <t>ASME B36.19M / B36.10M</t>
        </is>
      </c>
      <c r="D668" s="18" t="inlineStr">
        <is>
          <t>16''</t>
        </is>
      </c>
      <c r="E668" s="98" t="n">
        <v>400</v>
      </c>
      <c r="F668" s="18" t="inlineStr">
        <is>
          <t>80S</t>
        </is>
      </c>
      <c r="G668" s="20" t="n">
        <v>16</v>
      </c>
      <c r="H668" s="82" t="n">
        <v>406.4</v>
      </c>
      <c r="I668" s="20" t="n">
        <v>0.5</v>
      </c>
      <c r="J668" s="82" t="n">
        <v>12.7</v>
      </c>
      <c r="K668" s="20">
        <f>ROUND((H668-J668)*J668*IF(B668="Carbon Steel",$K$7,IF(B668="Stainless Steel 304",$K$8,$L$8)), 3)</f>
        <v/>
      </c>
      <c r="L668" s="82">
        <f>ROUND(K668*$G$5, 2)</f>
        <v/>
      </c>
      <c r="M668" s="98">
        <f>INT($G$6/H668)</f>
        <v/>
      </c>
      <c r="N668" s="98">
        <f>IF(M668=0, 0, IF(OR($K$6="Square Grid", M668=1), INT($G$7/H668), IF($G$7&lt;H668, 0, 1+INT(($G$7-H668)/(0.8660254*H668)))))</f>
        <v/>
      </c>
      <c r="O668" s="84">
        <f>IF(OR(M668=0,N668=0), 0, IF(OR($K$6="Square Grid", M668=1), M668*N668*$K$5, (INT((N668+1)/2)*M668 + INT(N668/2)*IF(($G$6-M668*H668)&gt;=0.5*H668, M668, M668-1))*$K$5))</f>
        <v/>
      </c>
      <c r="P668" s="84">
        <f>IF(L668&lt;=0, 0, INT($G$8/L668))</f>
        <v/>
      </c>
      <c r="Q668" s="95">
        <f>MIN(O668, P668)</f>
        <v/>
      </c>
      <c r="R668" s="96">
        <f>ROUND((Q668*L668)/1000, 2)</f>
        <v/>
      </c>
      <c r="S668" s="85">
        <f>IF($C$8&gt;0, R668/$C$8, 0)</f>
        <v/>
      </c>
      <c r="T668" s="85">
        <f>IF(O668&gt;0, Q668/O668, 0)</f>
        <v/>
      </c>
      <c r="U668" s="18">
        <f>IF(Q668=0, "Exceeds Limit", IF(P668&lt;=O668, "Weight Limited", "Volume Limited"))</f>
        <v/>
      </c>
      <c r="V668" s="100">
        <f>B668&amp;"|"&amp;D668&amp;"|"&amp;F668</f>
        <v/>
      </c>
    </row>
    <row r="669" ht="19" customHeight="1">
      <c r="A669" s="93" t="n">
        <v>659</v>
      </c>
      <c r="B669" s="101" t="inlineStr">
        <is>
          <t>Stainless Steel 304</t>
        </is>
      </c>
      <c r="C669" s="13" t="inlineStr">
        <is>
          <t>ASME B36.19M / B36.10M</t>
        </is>
      </c>
      <c r="D669" s="12" t="inlineStr">
        <is>
          <t>16''</t>
        </is>
      </c>
      <c r="E669" s="93" t="n">
        <v>400</v>
      </c>
      <c r="F669" s="12" t="inlineStr">
        <is>
          <t>XS</t>
        </is>
      </c>
      <c r="G669" s="14" t="n">
        <v>16</v>
      </c>
      <c r="H669" s="78" t="n">
        <v>406.4</v>
      </c>
      <c r="I669" s="14" t="n">
        <v>0.5</v>
      </c>
      <c r="J669" s="78" t="n">
        <v>12.7</v>
      </c>
      <c r="K669" s="14">
        <f>ROUND((H669-J669)*J669*IF(B669="Carbon Steel",$K$7,IF(B669="Stainless Steel 304",$K$8,$L$8)), 3)</f>
        <v/>
      </c>
      <c r="L669" s="78">
        <f>ROUND(K669*$G$5, 2)</f>
        <v/>
      </c>
      <c r="M669" s="93">
        <f>INT($G$6/H669)</f>
        <v/>
      </c>
      <c r="N669" s="93">
        <f>IF(M669=0, 0, IF(OR($K$6="Square Grid", M669=1), INT($G$7/H669), IF($G$7&lt;H669, 0, 1+INT(($G$7-H669)/(0.8660254*H669)))))</f>
        <v/>
      </c>
      <c r="O669" s="59">
        <f>IF(OR(M669=0,N669=0), 0, IF(OR($K$6="Square Grid", M669=1), M669*N669*$K$5, (INT((N669+1)/2)*M669 + INT(N669/2)*IF(($G$6-M669*H669)&gt;=0.5*H669, M669, M669-1))*$K$5))</f>
        <v/>
      </c>
      <c r="P669" s="59">
        <f>IF(L669&lt;=0, 0, INT($G$8/L669))</f>
        <v/>
      </c>
      <c r="Q669" s="95">
        <f>MIN(O669, P669)</f>
        <v/>
      </c>
      <c r="R669" s="96">
        <f>ROUND((Q669*L669)/1000, 2)</f>
        <v/>
      </c>
      <c r="S669" s="79">
        <f>IF($C$8&gt;0, R669/$C$8, 0)</f>
        <v/>
      </c>
      <c r="T669" s="79">
        <f>IF(O669&gt;0, Q669/O669, 0)</f>
        <v/>
      </c>
      <c r="U669" s="12">
        <f>IF(Q669=0, "Exceeds Limit", IF(P669&lt;=O669, "Weight Limited", "Volume Limited"))</f>
        <v/>
      </c>
      <c r="V669" s="97">
        <f>B669&amp;"|"&amp;D669&amp;"|"&amp;F669</f>
        <v/>
      </c>
    </row>
    <row r="670" ht="19" customHeight="1">
      <c r="A670" s="98" t="n">
        <v>660</v>
      </c>
      <c r="B670" s="102" t="inlineStr">
        <is>
          <t>Stainless Steel 304</t>
        </is>
      </c>
      <c r="C670" s="19" t="inlineStr">
        <is>
          <t>ASME B36.19M / B36.10M</t>
        </is>
      </c>
      <c r="D670" s="18" t="inlineStr">
        <is>
          <t>16''</t>
        </is>
      </c>
      <c r="E670" s="98" t="n">
        <v>400</v>
      </c>
      <c r="F670" s="18" t="inlineStr">
        <is>
          <t>80</t>
        </is>
      </c>
      <c r="G670" s="20" t="n">
        <v>16</v>
      </c>
      <c r="H670" s="82" t="n">
        <v>406.4</v>
      </c>
      <c r="I670" s="20" t="n">
        <v>0.844</v>
      </c>
      <c r="J670" s="82" t="n">
        <v>21.44</v>
      </c>
      <c r="K670" s="20">
        <f>ROUND((H670-J670)*J670*IF(B670="Carbon Steel",$K$7,IF(B670="Stainless Steel 304",$K$8,$L$8)), 3)</f>
        <v/>
      </c>
      <c r="L670" s="82">
        <f>ROUND(K670*$G$5, 2)</f>
        <v/>
      </c>
      <c r="M670" s="98">
        <f>INT($G$6/H670)</f>
        <v/>
      </c>
      <c r="N670" s="98">
        <f>IF(M670=0, 0, IF(OR($K$6="Square Grid", M670=1), INT($G$7/H670), IF($G$7&lt;H670, 0, 1+INT(($G$7-H670)/(0.8660254*H670)))))</f>
        <v/>
      </c>
      <c r="O670" s="84">
        <f>IF(OR(M670=0,N670=0), 0, IF(OR($K$6="Square Grid", M670=1), M670*N670*$K$5, (INT((N670+1)/2)*M670 + INT(N670/2)*IF(($G$6-M670*H670)&gt;=0.5*H670, M670, M670-1))*$K$5))</f>
        <v/>
      </c>
      <c r="P670" s="84">
        <f>IF(L670&lt;=0, 0, INT($G$8/L670))</f>
        <v/>
      </c>
      <c r="Q670" s="95">
        <f>MIN(O670, P670)</f>
        <v/>
      </c>
      <c r="R670" s="96">
        <f>ROUND((Q670*L670)/1000, 2)</f>
        <v/>
      </c>
      <c r="S670" s="85">
        <f>IF($C$8&gt;0, R670/$C$8, 0)</f>
        <v/>
      </c>
      <c r="T670" s="85">
        <f>IF(O670&gt;0, Q670/O670, 0)</f>
        <v/>
      </c>
      <c r="U670" s="18">
        <f>IF(Q670=0, "Exceeds Limit", IF(P670&lt;=O670, "Weight Limited", "Volume Limited"))</f>
        <v/>
      </c>
      <c r="V670" s="100">
        <f>B670&amp;"|"&amp;D670&amp;"|"&amp;F670</f>
        <v/>
      </c>
    </row>
    <row r="671" ht="19" customHeight="1">
      <c r="A671" s="93" t="n">
        <v>661</v>
      </c>
      <c r="B671" s="101" t="inlineStr">
        <is>
          <t>Stainless Steel 304</t>
        </is>
      </c>
      <c r="C671" s="13" t="inlineStr">
        <is>
          <t>ASME B36.19M / B36.10M</t>
        </is>
      </c>
      <c r="D671" s="12" t="inlineStr">
        <is>
          <t>16''</t>
        </is>
      </c>
      <c r="E671" s="93" t="n">
        <v>400</v>
      </c>
      <c r="F671" s="12" t="inlineStr">
        <is>
          <t>100</t>
        </is>
      </c>
      <c r="G671" s="14" t="n">
        <v>16</v>
      </c>
      <c r="H671" s="78" t="n">
        <v>406.4</v>
      </c>
      <c r="I671" s="14" t="n">
        <v>1.031</v>
      </c>
      <c r="J671" s="78" t="n">
        <v>26.19</v>
      </c>
      <c r="K671" s="14">
        <f>ROUND((H671-J671)*J671*IF(B671="Carbon Steel",$K$7,IF(B671="Stainless Steel 304",$K$8,$L$8)), 3)</f>
        <v/>
      </c>
      <c r="L671" s="78">
        <f>ROUND(K671*$G$5, 2)</f>
        <v/>
      </c>
      <c r="M671" s="93">
        <f>INT($G$6/H671)</f>
        <v/>
      </c>
      <c r="N671" s="93">
        <f>IF(M671=0, 0, IF(OR($K$6="Square Grid", M671=1), INT($G$7/H671), IF($G$7&lt;H671, 0, 1+INT(($G$7-H671)/(0.8660254*H671)))))</f>
        <v/>
      </c>
      <c r="O671" s="59">
        <f>IF(OR(M671=0,N671=0), 0, IF(OR($K$6="Square Grid", M671=1), M671*N671*$K$5, (INT((N671+1)/2)*M671 + INT(N671/2)*IF(($G$6-M671*H671)&gt;=0.5*H671, M671, M671-1))*$K$5))</f>
        <v/>
      </c>
      <c r="P671" s="59">
        <f>IF(L671&lt;=0, 0, INT($G$8/L671))</f>
        <v/>
      </c>
      <c r="Q671" s="95">
        <f>MIN(O671, P671)</f>
        <v/>
      </c>
      <c r="R671" s="96">
        <f>ROUND((Q671*L671)/1000, 2)</f>
        <v/>
      </c>
      <c r="S671" s="79">
        <f>IF($C$8&gt;0, R671/$C$8, 0)</f>
        <v/>
      </c>
      <c r="T671" s="79">
        <f>IF(O671&gt;0, Q671/O671, 0)</f>
        <v/>
      </c>
      <c r="U671" s="12">
        <f>IF(Q671=0, "Exceeds Limit", IF(P671&lt;=O671, "Weight Limited", "Volume Limited"))</f>
        <v/>
      </c>
      <c r="V671" s="97">
        <f>B671&amp;"|"&amp;D671&amp;"|"&amp;F671</f>
        <v/>
      </c>
    </row>
    <row r="672" ht="19" customHeight="1">
      <c r="A672" s="98" t="n">
        <v>662</v>
      </c>
      <c r="B672" s="102" t="inlineStr">
        <is>
          <t>Stainless Steel 304</t>
        </is>
      </c>
      <c r="C672" s="19" t="inlineStr">
        <is>
          <t>ASME B36.19M / B36.10M</t>
        </is>
      </c>
      <c r="D672" s="18" t="inlineStr">
        <is>
          <t>16''</t>
        </is>
      </c>
      <c r="E672" s="98" t="n">
        <v>400</v>
      </c>
      <c r="F672" s="18" t="inlineStr">
        <is>
          <t>120</t>
        </is>
      </c>
      <c r="G672" s="20" t="n">
        <v>16</v>
      </c>
      <c r="H672" s="82" t="n">
        <v>406.4</v>
      </c>
      <c r="I672" s="20" t="n">
        <v>1.219</v>
      </c>
      <c r="J672" s="82" t="n">
        <v>30.96</v>
      </c>
      <c r="K672" s="20">
        <f>ROUND((H672-J672)*J672*IF(B672="Carbon Steel",$K$7,IF(B672="Stainless Steel 304",$K$8,$L$8)), 3)</f>
        <v/>
      </c>
      <c r="L672" s="82">
        <f>ROUND(K672*$G$5, 2)</f>
        <v/>
      </c>
      <c r="M672" s="98">
        <f>INT($G$6/H672)</f>
        <v/>
      </c>
      <c r="N672" s="98">
        <f>IF(M672=0, 0, IF(OR($K$6="Square Grid", M672=1), INT($G$7/H672), IF($G$7&lt;H672, 0, 1+INT(($G$7-H672)/(0.8660254*H672)))))</f>
        <v/>
      </c>
      <c r="O672" s="84">
        <f>IF(OR(M672=0,N672=0), 0, IF(OR($K$6="Square Grid", M672=1), M672*N672*$K$5, (INT((N672+1)/2)*M672 + INT(N672/2)*IF(($G$6-M672*H672)&gt;=0.5*H672, M672, M672-1))*$K$5))</f>
        <v/>
      </c>
      <c r="P672" s="84">
        <f>IF(L672&lt;=0, 0, INT($G$8/L672))</f>
        <v/>
      </c>
      <c r="Q672" s="95">
        <f>MIN(O672, P672)</f>
        <v/>
      </c>
      <c r="R672" s="96">
        <f>ROUND((Q672*L672)/1000, 2)</f>
        <v/>
      </c>
      <c r="S672" s="85">
        <f>IF($C$8&gt;0, R672/$C$8, 0)</f>
        <v/>
      </c>
      <c r="T672" s="85">
        <f>IF(O672&gt;0, Q672/O672, 0)</f>
        <v/>
      </c>
      <c r="U672" s="18">
        <f>IF(Q672=0, "Exceeds Limit", IF(P672&lt;=O672, "Weight Limited", "Volume Limited"))</f>
        <v/>
      </c>
      <c r="V672" s="100">
        <f>B672&amp;"|"&amp;D672&amp;"|"&amp;F672</f>
        <v/>
      </c>
    </row>
    <row r="673" ht="19" customHeight="1">
      <c r="A673" s="93" t="n">
        <v>663</v>
      </c>
      <c r="B673" s="101" t="inlineStr">
        <is>
          <t>Stainless Steel 304</t>
        </is>
      </c>
      <c r="C673" s="13" t="inlineStr">
        <is>
          <t>ASME B36.19M / B36.10M</t>
        </is>
      </c>
      <c r="D673" s="12" t="inlineStr">
        <is>
          <t>16''</t>
        </is>
      </c>
      <c r="E673" s="93" t="n">
        <v>400</v>
      </c>
      <c r="F673" s="12" t="inlineStr">
        <is>
          <t>140</t>
        </is>
      </c>
      <c r="G673" s="14" t="n">
        <v>16</v>
      </c>
      <c r="H673" s="78" t="n">
        <v>406.4</v>
      </c>
      <c r="I673" s="14" t="n">
        <v>1.438</v>
      </c>
      <c r="J673" s="78" t="n">
        <v>36.53</v>
      </c>
      <c r="K673" s="14">
        <f>ROUND((H673-J673)*J673*IF(B673="Carbon Steel",$K$7,IF(B673="Stainless Steel 304",$K$8,$L$8)), 3)</f>
        <v/>
      </c>
      <c r="L673" s="78">
        <f>ROUND(K673*$G$5, 2)</f>
        <v/>
      </c>
      <c r="M673" s="93">
        <f>INT($G$6/H673)</f>
        <v/>
      </c>
      <c r="N673" s="93">
        <f>IF(M673=0, 0, IF(OR($K$6="Square Grid", M673=1), INT($G$7/H673), IF($G$7&lt;H673, 0, 1+INT(($G$7-H673)/(0.8660254*H673)))))</f>
        <v/>
      </c>
      <c r="O673" s="59">
        <f>IF(OR(M673=0,N673=0), 0, IF(OR($K$6="Square Grid", M673=1), M673*N673*$K$5, (INT((N673+1)/2)*M673 + INT(N673/2)*IF(($G$6-M673*H673)&gt;=0.5*H673, M673, M673-1))*$K$5))</f>
        <v/>
      </c>
      <c r="P673" s="59">
        <f>IF(L673&lt;=0, 0, INT($G$8/L673))</f>
        <v/>
      </c>
      <c r="Q673" s="95">
        <f>MIN(O673, P673)</f>
        <v/>
      </c>
      <c r="R673" s="96">
        <f>ROUND((Q673*L673)/1000, 2)</f>
        <v/>
      </c>
      <c r="S673" s="79">
        <f>IF($C$8&gt;0, R673/$C$8, 0)</f>
        <v/>
      </c>
      <c r="T673" s="79">
        <f>IF(O673&gt;0, Q673/O673, 0)</f>
        <v/>
      </c>
      <c r="U673" s="12">
        <f>IF(Q673=0, "Exceeds Limit", IF(P673&lt;=O673, "Weight Limited", "Volume Limited"))</f>
        <v/>
      </c>
      <c r="V673" s="97">
        <f>B673&amp;"|"&amp;D673&amp;"|"&amp;F673</f>
        <v/>
      </c>
    </row>
    <row r="674" ht="19" customHeight="1">
      <c r="A674" s="98" t="n">
        <v>664</v>
      </c>
      <c r="B674" s="102" t="inlineStr">
        <is>
          <t>Stainless Steel 304</t>
        </is>
      </c>
      <c r="C674" s="19" t="inlineStr">
        <is>
          <t>ASME B36.19M / B36.10M</t>
        </is>
      </c>
      <c r="D674" s="18" t="inlineStr">
        <is>
          <t>16''</t>
        </is>
      </c>
      <c r="E674" s="98" t="n">
        <v>400</v>
      </c>
      <c r="F674" s="18" t="inlineStr">
        <is>
          <t>160</t>
        </is>
      </c>
      <c r="G674" s="20" t="n">
        <v>16</v>
      </c>
      <c r="H674" s="82" t="n">
        <v>406.4</v>
      </c>
      <c r="I674" s="20" t="n">
        <v>1.594</v>
      </c>
      <c r="J674" s="82" t="n">
        <v>40.49</v>
      </c>
      <c r="K674" s="20">
        <f>ROUND((H674-J674)*J674*IF(B674="Carbon Steel",$K$7,IF(B674="Stainless Steel 304",$K$8,$L$8)), 3)</f>
        <v/>
      </c>
      <c r="L674" s="82">
        <f>ROUND(K674*$G$5, 2)</f>
        <v/>
      </c>
      <c r="M674" s="98">
        <f>INT($G$6/H674)</f>
        <v/>
      </c>
      <c r="N674" s="98">
        <f>IF(M674=0, 0, IF(OR($K$6="Square Grid", M674=1), INT($G$7/H674), IF($G$7&lt;H674, 0, 1+INT(($G$7-H674)/(0.8660254*H674)))))</f>
        <v/>
      </c>
      <c r="O674" s="84">
        <f>IF(OR(M674=0,N674=0), 0, IF(OR($K$6="Square Grid", M674=1), M674*N674*$K$5, (INT((N674+1)/2)*M674 + INT(N674/2)*IF(($G$6-M674*H674)&gt;=0.5*H674, M674, M674-1))*$K$5))</f>
        <v/>
      </c>
      <c r="P674" s="84">
        <f>IF(L674&lt;=0, 0, INT($G$8/L674))</f>
        <v/>
      </c>
      <c r="Q674" s="95">
        <f>MIN(O674, P674)</f>
        <v/>
      </c>
      <c r="R674" s="96">
        <f>ROUND((Q674*L674)/1000, 2)</f>
        <v/>
      </c>
      <c r="S674" s="85">
        <f>IF($C$8&gt;0, R674/$C$8, 0)</f>
        <v/>
      </c>
      <c r="T674" s="85">
        <f>IF(O674&gt;0, Q674/O674, 0)</f>
        <v/>
      </c>
      <c r="U674" s="18">
        <f>IF(Q674=0, "Exceeds Limit", IF(P674&lt;=O674, "Weight Limited", "Volume Limited"))</f>
        <v/>
      </c>
      <c r="V674" s="100">
        <f>B674&amp;"|"&amp;D674&amp;"|"&amp;F674</f>
        <v/>
      </c>
    </row>
    <row r="675" ht="19" customHeight="1">
      <c r="A675" s="93" t="n">
        <v>665</v>
      </c>
      <c r="B675" s="101" t="inlineStr">
        <is>
          <t>Stainless Steel 304</t>
        </is>
      </c>
      <c r="C675" s="13" t="inlineStr">
        <is>
          <t>ASME B36.19M / B36.10M</t>
        </is>
      </c>
      <c r="D675" s="12" t="inlineStr">
        <is>
          <t>18''</t>
        </is>
      </c>
      <c r="E675" s="93" t="n">
        <v>450</v>
      </c>
      <c r="F675" s="12" t="inlineStr">
        <is>
          <t>5S</t>
        </is>
      </c>
      <c r="G675" s="14" t="n">
        <v>18</v>
      </c>
      <c r="H675" s="78" t="n">
        <v>457.2</v>
      </c>
      <c r="I675" s="14" t="n">
        <v>0.165</v>
      </c>
      <c r="J675" s="78" t="n">
        <v>4.19</v>
      </c>
      <c r="K675" s="14">
        <f>ROUND((H675-J675)*J675*IF(B675="Carbon Steel",$K$7,IF(B675="Stainless Steel 304",$K$8,$L$8)), 3)</f>
        <v/>
      </c>
      <c r="L675" s="78">
        <f>ROUND(K675*$G$5, 2)</f>
        <v/>
      </c>
      <c r="M675" s="93">
        <f>INT($G$6/H675)</f>
        <v/>
      </c>
      <c r="N675" s="93">
        <f>IF(M675=0, 0, IF(OR($K$6="Square Grid", M675=1), INT($G$7/H675), IF($G$7&lt;H675, 0, 1+INT(($G$7-H675)/(0.8660254*H675)))))</f>
        <v/>
      </c>
      <c r="O675" s="59">
        <f>IF(OR(M675=0,N675=0), 0, IF(OR($K$6="Square Grid", M675=1), M675*N675*$K$5, (INT((N675+1)/2)*M675 + INT(N675/2)*IF(($G$6-M675*H675)&gt;=0.5*H675, M675, M675-1))*$K$5))</f>
        <v/>
      </c>
      <c r="P675" s="59">
        <f>IF(L675&lt;=0, 0, INT($G$8/L675))</f>
        <v/>
      </c>
      <c r="Q675" s="95">
        <f>MIN(O675, P675)</f>
        <v/>
      </c>
      <c r="R675" s="96">
        <f>ROUND((Q675*L675)/1000, 2)</f>
        <v/>
      </c>
      <c r="S675" s="79">
        <f>IF($C$8&gt;0, R675/$C$8, 0)</f>
        <v/>
      </c>
      <c r="T675" s="79">
        <f>IF(O675&gt;0, Q675/O675, 0)</f>
        <v/>
      </c>
      <c r="U675" s="12">
        <f>IF(Q675=0, "Exceeds Limit", IF(P675&lt;=O675, "Weight Limited", "Volume Limited"))</f>
        <v/>
      </c>
      <c r="V675" s="97">
        <f>B675&amp;"|"&amp;D675&amp;"|"&amp;F675</f>
        <v/>
      </c>
    </row>
    <row r="676" ht="19" customHeight="1">
      <c r="A676" s="98" t="n">
        <v>666</v>
      </c>
      <c r="B676" s="102" t="inlineStr">
        <is>
          <t>Stainless Steel 304</t>
        </is>
      </c>
      <c r="C676" s="19" t="inlineStr">
        <is>
          <t>ASME B36.19M / B36.10M</t>
        </is>
      </c>
      <c r="D676" s="18" t="inlineStr">
        <is>
          <t>18''</t>
        </is>
      </c>
      <c r="E676" s="98" t="n">
        <v>450</v>
      </c>
      <c r="F676" s="18" t="inlineStr">
        <is>
          <t>5</t>
        </is>
      </c>
      <c r="G676" s="20" t="n">
        <v>18</v>
      </c>
      <c r="H676" s="82" t="n">
        <v>457.2</v>
      </c>
      <c r="I676" s="20" t="n">
        <v>0.165</v>
      </c>
      <c r="J676" s="82" t="n">
        <v>4.19</v>
      </c>
      <c r="K676" s="20">
        <f>ROUND((H676-J676)*J676*IF(B676="Carbon Steel",$K$7,IF(B676="Stainless Steel 304",$K$8,$L$8)), 3)</f>
        <v/>
      </c>
      <c r="L676" s="82">
        <f>ROUND(K676*$G$5, 2)</f>
        <v/>
      </c>
      <c r="M676" s="98">
        <f>INT($G$6/H676)</f>
        <v/>
      </c>
      <c r="N676" s="98">
        <f>IF(M676=0, 0, IF(OR($K$6="Square Grid", M676=1), INT($G$7/H676), IF($G$7&lt;H676, 0, 1+INT(($G$7-H676)/(0.8660254*H676)))))</f>
        <v/>
      </c>
      <c r="O676" s="84">
        <f>IF(OR(M676=0,N676=0), 0, IF(OR($K$6="Square Grid", M676=1), M676*N676*$K$5, (INT((N676+1)/2)*M676 + INT(N676/2)*IF(($G$6-M676*H676)&gt;=0.5*H676, M676, M676-1))*$K$5))</f>
        <v/>
      </c>
      <c r="P676" s="84">
        <f>IF(L676&lt;=0, 0, INT($G$8/L676))</f>
        <v/>
      </c>
      <c r="Q676" s="95">
        <f>MIN(O676, P676)</f>
        <v/>
      </c>
      <c r="R676" s="96">
        <f>ROUND((Q676*L676)/1000, 2)</f>
        <v/>
      </c>
      <c r="S676" s="85">
        <f>IF($C$8&gt;0, R676/$C$8, 0)</f>
        <v/>
      </c>
      <c r="T676" s="85">
        <f>IF(O676&gt;0, Q676/O676, 0)</f>
        <v/>
      </c>
      <c r="U676" s="18">
        <f>IF(Q676=0, "Exceeds Limit", IF(P676&lt;=O676, "Weight Limited", "Volume Limited"))</f>
        <v/>
      </c>
      <c r="V676" s="100">
        <f>B676&amp;"|"&amp;D676&amp;"|"&amp;F676</f>
        <v/>
      </c>
    </row>
    <row r="677" ht="19" customHeight="1">
      <c r="A677" s="93" t="n">
        <v>667</v>
      </c>
      <c r="B677" s="101" t="inlineStr">
        <is>
          <t>Stainless Steel 304</t>
        </is>
      </c>
      <c r="C677" s="13" t="inlineStr">
        <is>
          <t>ASME B36.19M / B36.10M</t>
        </is>
      </c>
      <c r="D677" s="12" t="inlineStr">
        <is>
          <t>18''</t>
        </is>
      </c>
      <c r="E677" s="93" t="n">
        <v>450</v>
      </c>
      <c r="F677" s="12" t="inlineStr">
        <is>
          <t>10S</t>
        </is>
      </c>
      <c r="G677" s="14" t="n">
        <v>18</v>
      </c>
      <c r="H677" s="78" t="n">
        <v>457.2</v>
      </c>
      <c r="I677" s="14" t="n">
        <v>0.188</v>
      </c>
      <c r="J677" s="78" t="n">
        <v>4.78</v>
      </c>
      <c r="K677" s="14">
        <f>ROUND((H677-J677)*J677*IF(B677="Carbon Steel",$K$7,IF(B677="Stainless Steel 304",$K$8,$L$8)), 3)</f>
        <v/>
      </c>
      <c r="L677" s="78">
        <f>ROUND(K677*$G$5, 2)</f>
        <v/>
      </c>
      <c r="M677" s="93">
        <f>INT($G$6/H677)</f>
        <v/>
      </c>
      <c r="N677" s="93">
        <f>IF(M677=0, 0, IF(OR($K$6="Square Grid", M677=1), INT($G$7/H677), IF($G$7&lt;H677, 0, 1+INT(($G$7-H677)/(0.8660254*H677)))))</f>
        <v/>
      </c>
      <c r="O677" s="59">
        <f>IF(OR(M677=0,N677=0), 0, IF(OR($K$6="Square Grid", M677=1), M677*N677*$K$5, (INT((N677+1)/2)*M677 + INT(N677/2)*IF(($G$6-M677*H677)&gt;=0.5*H677, M677, M677-1))*$K$5))</f>
        <v/>
      </c>
      <c r="P677" s="59">
        <f>IF(L677&lt;=0, 0, INT($G$8/L677))</f>
        <v/>
      </c>
      <c r="Q677" s="95">
        <f>MIN(O677, P677)</f>
        <v/>
      </c>
      <c r="R677" s="96">
        <f>ROUND((Q677*L677)/1000, 2)</f>
        <v/>
      </c>
      <c r="S677" s="79">
        <f>IF($C$8&gt;0, R677/$C$8, 0)</f>
        <v/>
      </c>
      <c r="T677" s="79">
        <f>IF(O677&gt;0, Q677/O677, 0)</f>
        <v/>
      </c>
      <c r="U677" s="12">
        <f>IF(Q677=0, "Exceeds Limit", IF(P677&lt;=O677, "Weight Limited", "Volume Limited"))</f>
        <v/>
      </c>
      <c r="V677" s="97">
        <f>B677&amp;"|"&amp;D677&amp;"|"&amp;F677</f>
        <v/>
      </c>
    </row>
    <row r="678" ht="19" customHeight="1">
      <c r="A678" s="98" t="n">
        <v>668</v>
      </c>
      <c r="B678" s="102" t="inlineStr">
        <is>
          <t>Stainless Steel 304</t>
        </is>
      </c>
      <c r="C678" s="19" t="inlineStr">
        <is>
          <t>ASME B36.19M / B36.10M</t>
        </is>
      </c>
      <c r="D678" s="18" t="inlineStr">
        <is>
          <t>18''</t>
        </is>
      </c>
      <c r="E678" s="98" t="n">
        <v>450</v>
      </c>
      <c r="F678" s="18" t="inlineStr">
        <is>
          <t>10</t>
        </is>
      </c>
      <c r="G678" s="20" t="n">
        <v>18</v>
      </c>
      <c r="H678" s="82" t="n">
        <v>457.2</v>
      </c>
      <c r="I678" s="20" t="n">
        <v>0.25</v>
      </c>
      <c r="J678" s="82" t="n">
        <v>6.35</v>
      </c>
      <c r="K678" s="20">
        <f>ROUND((H678-J678)*J678*IF(B678="Carbon Steel",$K$7,IF(B678="Stainless Steel 304",$K$8,$L$8)), 3)</f>
        <v/>
      </c>
      <c r="L678" s="82">
        <f>ROUND(K678*$G$5, 2)</f>
        <v/>
      </c>
      <c r="M678" s="98">
        <f>INT($G$6/H678)</f>
        <v/>
      </c>
      <c r="N678" s="98">
        <f>IF(M678=0, 0, IF(OR($K$6="Square Grid", M678=1), INT($G$7/H678), IF($G$7&lt;H678, 0, 1+INT(($G$7-H678)/(0.8660254*H678)))))</f>
        <v/>
      </c>
      <c r="O678" s="84">
        <f>IF(OR(M678=0,N678=0), 0, IF(OR($K$6="Square Grid", M678=1), M678*N678*$K$5, (INT((N678+1)/2)*M678 + INT(N678/2)*IF(($G$6-M678*H678)&gt;=0.5*H678, M678, M678-1))*$K$5))</f>
        <v/>
      </c>
      <c r="P678" s="84">
        <f>IF(L678&lt;=0, 0, INT($G$8/L678))</f>
        <v/>
      </c>
      <c r="Q678" s="95">
        <f>MIN(O678, P678)</f>
        <v/>
      </c>
      <c r="R678" s="96">
        <f>ROUND((Q678*L678)/1000, 2)</f>
        <v/>
      </c>
      <c r="S678" s="85">
        <f>IF($C$8&gt;0, R678/$C$8, 0)</f>
        <v/>
      </c>
      <c r="T678" s="85">
        <f>IF(O678&gt;0, Q678/O678, 0)</f>
        <v/>
      </c>
      <c r="U678" s="18">
        <f>IF(Q678=0, "Exceeds Limit", IF(P678&lt;=O678, "Weight Limited", "Volume Limited"))</f>
        <v/>
      </c>
      <c r="V678" s="100">
        <f>B678&amp;"|"&amp;D678&amp;"|"&amp;F678</f>
        <v/>
      </c>
    </row>
    <row r="679" ht="19" customHeight="1">
      <c r="A679" s="93" t="n">
        <v>669</v>
      </c>
      <c r="B679" s="101" t="inlineStr">
        <is>
          <t>Stainless Steel 304</t>
        </is>
      </c>
      <c r="C679" s="13" t="inlineStr">
        <is>
          <t>ASME B36.19M / B36.10M</t>
        </is>
      </c>
      <c r="D679" s="12" t="inlineStr">
        <is>
          <t>18''</t>
        </is>
      </c>
      <c r="E679" s="93" t="n">
        <v>450</v>
      </c>
      <c r="F679" s="12" t="inlineStr">
        <is>
          <t>20</t>
        </is>
      </c>
      <c r="G679" s="14" t="n">
        <v>18</v>
      </c>
      <c r="H679" s="78" t="n">
        <v>457.2</v>
      </c>
      <c r="I679" s="14" t="n">
        <v>0.312</v>
      </c>
      <c r="J679" s="78" t="n">
        <v>7.92</v>
      </c>
      <c r="K679" s="14">
        <f>ROUND((H679-J679)*J679*IF(B679="Carbon Steel",$K$7,IF(B679="Stainless Steel 304",$K$8,$L$8)), 3)</f>
        <v/>
      </c>
      <c r="L679" s="78">
        <f>ROUND(K679*$G$5, 2)</f>
        <v/>
      </c>
      <c r="M679" s="93">
        <f>INT($G$6/H679)</f>
        <v/>
      </c>
      <c r="N679" s="93">
        <f>IF(M679=0, 0, IF(OR($K$6="Square Grid", M679=1), INT($G$7/H679), IF($G$7&lt;H679, 0, 1+INT(($G$7-H679)/(0.8660254*H679)))))</f>
        <v/>
      </c>
      <c r="O679" s="59">
        <f>IF(OR(M679=0,N679=0), 0, IF(OR($K$6="Square Grid", M679=1), M679*N679*$K$5, (INT((N679+1)/2)*M679 + INT(N679/2)*IF(($G$6-M679*H679)&gt;=0.5*H679, M679, M679-1))*$K$5))</f>
        <v/>
      </c>
      <c r="P679" s="59">
        <f>IF(L679&lt;=0, 0, INT($G$8/L679))</f>
        <v/>
      </c>
      <c r="Q679" s="95">
        <f>MIN(O679, P679)</f>
        <v/>
      </c>
      <c r="R679" s="96">
        <f>ROUND((Q679*L679)/1000, 2)</f>
        <v/>
      </c>
      <c r="S679" s="79">
        <f>IF($C$8&gt;0, R679/$C$8, 0)</f>
        <v/>
      </c>
      <c r="T679" s="79">
        <f>IF(O679&gt;0, Q679/O679, 0)</f>
        <v/>
      </c>
      <c r="U679" s="12">
        <f>IF(Q679=0, "Exceeds Limit", IF(P679&lt;=O679, "Weight Limited", "Volume Limited"))</f>
        <v/>
      </c>
      <c r="V679" s="97">
        <f>B679&amp;"|"&amp;D679&amp;"|"&amp;F679</f>
        <v/>
      </c>
    </row>
    <row r="680" ht="19" customHeight="1">
      <c r="A680" s="98" t="n">
        <v>670</v>
      </c>
      <c r="B680" s="102" t="inlineStr">
        <is>
          <t>Stainless Steel 304</t>
        </is>
      </c>
      <c r="C680" s="19" t="inlineStr">
        <is>
          <t>ASME B36.19M / B36.10M</t>
        </is>
      </c>
      <c r="D680" s="18" t="inlineStr">
        <is>
          <t>18''</t>
        </is>
      </c>
      <c r="E680" s="98" t="n">
        <v>450</v>
      </c>
      <c r="F680" s="18" t="inlineStr">
        <is>
          <t>30</t>
        </is>
      </c>
      <c r="G680" s="20" t="n">
        <v>18</v>
      </c>
      <c r="H680" s="82" t="n">
        <v>457.2</v>
      </c>
      <c r="I680" s="20" t="n">
        <v>0.438</v>
      </c>
      <c r="J680" s="82" t="n">
        <v>11.13</v>
      </c>
      <c r="K680" s="20">
        <f>ROUND((H680-J680)*J680*IF(B680="Carbon Steel",$K$7,IF(B680="Stainless Steel 304",$K$8,$L$8)), 3)</f>
        <v/>
      </c>
      <c r="L680" s="82">
        <f>ROUND(K680*$G$5, 2)</f>
        <v/>
      </c>
      <c r="M680" s="98">
        <f>INT($G$6/H680)</f>
        <v/>
      </c>
      <c r="N680" s="98">
        <f>IF(M680=0, 0, IF(OR($K$6="Square Grid", M680=1), INT($G$7/H680), IF($G$7&lt;H680, 0, 1+INT(($G$7-H680)/(0.8660254*H680)))))</f>
        <v/>
      </c>
      <c r="O680" s="84">
        <f>IF(OR(M680=0,N680=0), 0, IF(OR($K$6="Square Grid", M680=1), M680*N680*$K$5, (INT((N680+1)/2)*M680 + INT(N680/2)*IF(($G$6-M680*H680)&gt;=0.5*H680, M680, M680-1))*$K$5))</f>
        <v/>
      </c>
      <c r="P680" s="84">
        <f>IF(L680&lt;=0, 0, INT($G$8/L680))</f>
        <v/>
      </c>
      <c r="Q680" s="95">
        <f>MIN(O680, P680)</f>
        <v/>
      </c>
      <c r="R680" s="96">
        <f>ROUND((Q680*L680)/1000, 2)</f>
        <v/>
      </c>
      <c r="S680" s="85">
        <f>IF($C$8&gt;0, R680/$C$8, 0)</f>
        <v/>
      </c>
      <c r="T680" s="85">
        <f>IF(O680&gt;0, Q680/O680, 0)</f>
        <v/>
      </c>
      <c r="U680" s="18">
        <f>IF(Q680=0, "Exceeds Limit", IF(P680&lt;=O680, "Weight Limited", "Volume Limited"))</f>
        <v/>
      </c>
      <c r="V680" s="100">
        <f>B680&amp;"|"&amp;D680&amp;"|"&amp;F680</f>
        <v/>
      </c>
    </row>
    <row r="681" ht="19" customHeight="1">
      <c r="A681" s="93" t="n">
        <v>671</v>
      </c>
      <c r="B681" s="101" t="inlineStr">
        <is>
          <t>Stainless Steel 304</t>
        </is>
      </c>
      <c r="C681" s="13" t="inlineStr">
        <is>
          <t>ASME B36.19M / B36.10M</t>
        </is>
      </c>
      <c r="D681" s="12" t="inlineStr">
        <is>
          <t>18''</t>
        </is>
      </c>
      <c r="E681" s="93" t="n">
        <v>450</v>
      </c>
      <c r="F681" s="12" t="inlineStr">
        <is>
          <t>40S</t>
        </is>
      </c>
      <c r="G681" s="14" t="n">
        <v>18</v>
      </c>
      <c r="H681" s="78" t="n">
        <v>457.2</v>
      </c>
      <c r="I681" s="14" t="n">
        <v>0.375</v>
      </c>
      <c r="J681" s="78" t="n">
        <v>9.52</v>
      </c>
      <c r="K681" s="14">
        <f>ROUND((H681-J681)*J681*IF(B681="Carbon Steel",$K$7,IF(B681="Stainless Steel 304",$K$8,$L$8)), 3)</f>
        <v/>
      </c>
      <c r="L681" s="78">
        <f>ROUND(K681*$G$5, 2)</f>
        <v/>
      </c>
      <c r="M681" s="93">
        <f>INT($G$6/H681)</f>
        <v/>
      </c>
      <c r="N681" s="93">
        <f>IF(M681=0, 0, IF(OR($K$6="Square Grid", M681=1), INT($G$7/H681), IF($G$7&lt;H681, 0, 1+INT(($G$7-H681)/(0.8660254*H681)))))</f>
        <v/>
      </c>
      <c r="O681" s="59">
        <f>IF(OR(M681=0,N681=0), 0, IF(OR($K$6="Square Grid", M681=1), M681*N681*$K$5, (INT((N681+1)/2)*M681 + INT(N681/2)*IF(($G$6-M681*H681)&gt;=0.5*H681, M681, M681-1))*$K$5))</f>
        <v/>
      </c>
      <c r="P681" s="59">
        <f>IF(L681&lt;=0, 0, INT($G$8/L681))</f>
        <v/>
      </c>
      <c r="Q681" s="95">
        <f>MIN(O681, P681)</f>
        <v/>
      </c>
      <c r="R681" s="96">
        <f>ROUND((Q681*L681)/1000, 2)</f>
        <v/>
      </c>
      <c r="S681" s="79">
        <f>IF($C$8&gt;0, R681/$C$8, 0)</f>
        <v/>
      </c>
      <c r="T681" s="79">
        <f>IF(O681&gt;0, Q681/O681, 0)</f>
        <v/>
      </c>
      <c r="U681" s="12">
        <f>IF(Q681=0, "Exceeds Limit", IF(P681&lt;=O681, "Weight Limited", "Volume Limited"))</f>
        <v/>
      </c>
      <c r="V681" s="97">
        <f>B681&amp;"|"&amp;D681&amp;"|"&amp;F681</f>
        <v/>
      </c>
    </row>
    <row r="682" ht="19" customHeight="1">
      <c r="A682" s="98" t="n">
        <v>672</v>
      </c>
      <c r="B682" s="102" t="inlineStr">
        <is>
          <t>Stainless Steel 304</t>
        </is>
      </c>
      <c r="C682" s="19" t="inlineStr">
        <is>
          <t>ASME B36.19M / B36.10M</t>
        </is>
      </c>
      <c r="D682" s="18" t="inlineStr">
        <is>
          <t>18''</t>
        </is>
      </c>
      <c r="E682" s="98" t="n">
        <v>450</v>
      </c>
      <c r="F682" s="18" t="inlineStr">
        <is>
          <t>STD</t>
        </is>
      </c>
      <c r="G682" s="20" t="n">
        <v>18</v>
      </c>
      <c r="H682" s="82" t="n">
        <v>457.2</v>
      </c>
      <c r="I682" s="20" t="n">
        <v>0.375</v>
      </c>
      <c r="J682" s="82" t="n">
        <v>9.52</v>
      </c>
      <c r="K682" s="20">
        <f>ROUND((H682-J682)*J682*IF(B682="Carbon Steel",$K$7,IF(B682="Stainless Steel 304",$K$8,$L$8)), 3)</f>
        <v/>
      </c>
      <c r="L682" s="82">
        <f>ROUND(K682*$G$5, 2)</f>
        <v/>
      </c>
      <c r="M682" s="98">
        <f>INT($G$6/H682)</f>
        <v/>
      </c>
      <c r="N682" s="98">
        <f>IF(M682=0, 0, IF(OR($K$6="Square Grid", M682=1), INT($G$7/H682), IF($G$7&lt;H682, 0, 1+INT(($G$7-H682)/(0.8660254*H682)))))</f>
        <v/>
      </c>
      <c r="O682" s="84">
        <f>IF(OR(M682=0,N682=0), 0, IF(OR($K$6="Square Grid", M682=1), M682*N682*$K$5, (INT((N682+1)/2)*M682 + INT(N682/2)*IF(($G$6-M682*H682)&gt;=0.5*H682, M682, M682-1))*$K$5))</f>
        <v/>
      </c>
      <c r="P682" s="84">
        <f>IF(L682&lt;=0, 0, INT($G$8/L682))</f>
        <v/>
      </c>
      <c r="Q682" s="95">
        <f>MIN(O682, P682)</f>
        <v/>
      </c>
      <c r="R682" s="96">
        <f>ROUND((Q682*L682)/1000, 2)</f>
        <v/>
      </c>
      <c r="S682" s="85">
        <f>IF($C$8&gt;0, R682/$C$8, 0)</f>
        <v/>
      </c>
      <c r="T682" s="85">
        <f>IF(O682&gt;0, Q682/O682, 0)</f>
        <v/>
      </c>
      <c r="U682" s="18">
        <f>IF(Q682=0, "Exceeds Limit", IF(P682&lt;=O682, "Weight Limited", "Volume Limited"))</f>
        <v/>
      </c>
      <c r="V682" s="100">
        <f>B682&amp;"|"&amp;D682&amp;"|"&amp;F682</f>
        <v/>
      </c>
    </row>
    <row r="683" ht="19" customHeight="1">
      <c r="A683" s="93" t="n">
        <v>673</v>
      </c>
      <c r="B683" s="101" t="inlineStr">
        <is>
          <t>Stainless Steel 304</t>
        </is>
      </c>
      <c r="C683" s="13" t="inlineStr">
        <is>
          <t>ASME B36.19M / B36.10M</t>
        </is>
      </c>
      <c r="D683" s="12" t="inlineStr">
        <is>
          <t>18''</t>
        </is>
      </c>
      <c r="E683" s="93" t="n">
        <v>450</v>
      </c>
      <c r="F683" s="12" t="inlineStr">
        <is>
          <t>40</t>
        </is>
      </c>
      <c r="G683" s="14" t="n">
        <v>18</v>
      </c>
      <c r="H683" s="78" t="n">
        <v>457.2</v>
      </c>
      <c r="I683" s="14" t="n">
        <v>0.5620000000000001</v>
      </c>
      <c r="J683" s="78" t="n">
        <v>14.27</v>
      </c>
      <c r="K683" s="14">
        <f>ROUND((H683-J683)*J683*IF(B683="Carbon Steel",$K$7,IF(B683="Stainless Steel 304",$K$8,$L$8)), 3)</f>
        <v/>
      </c>
      <c r="L683" s="78">
        <f>ROUND(K683*$G$5, 2)</f>
        <v/>
      </c>
      <c r="M683" s="93">
        <f>INT($G$6/H683)</f>
        <v/>
      </c>
      <c r="N683" s="93">
        <f>IF(M683=0, 0, IF(OR($K$6="Square Grid", M683=1), INT($G$7/H683), IF($G$7&lt;H683, 0, 1+INT(($G$7-H683)/(0.8660254*H683)))))</f>
        <v/>
      </c>
      <c r="O683" s="59">
        <f>IF(OR(M683=0,N683=0), 0, IF(OR($K$6="Square Grid", M683=1), M683*N683*$K$5, (INT((N683+1)/2)*M683 + INT(N683/2)*IF(($G$6-M683*H683)&gt;=0.5*H683, M683, M683-1))*$K$5))</f>
        <v/>
      </c>
      <c r="P683" s="59">
        <f>IF(L683&lt;=0, 0, INT($G$8/L683))</f>
        <v/>
      </c>
      <c r="Q683" s="95">
        <f>MIN(O683, P683)</f>
        <v/>
      </c>
      <c r="R683" s="96">
        <f>ROUND((Q683*L683)/1000, 2)</f>
        <v/>
      </c>
      <c r="S683" s="79">
        <f>IF($C$8&gt;0, R683/$C$8, 0)</f>
        <v/>
      </c>
      <c r="T683" s="79">
        <f>IF(O683&gt;0, Q683/O683, 0)</f>
        <v/>
      </c>
      <c r="U683" s="12">
        <f>IF(Q683=0, "Exceeds Limit", IF(P683&lt;=O683, "Weight Limited", "Volume Limited"))</f>
        <v/>
      </c>
      <c r="V683" s="97">
        <f>B683&amp;"|"&amp;D683&amp;"|"&amp;F683</f>
        <v/>
      </c>
    </row>
    <row r="684" ht="19" customHeight="1">
      <c r="A684" s="98" t="n">
        <v>674</v>
      </c>
      <c r="B684" s="102" t="inlineStr">
        <is>
          <t>Stainless Steel 304</t>
        </is>
      </c>
      <c r="C684" s="19" t="inlineStr">
        <is>
          <t>ASME B36.19M / B36.10M</t>
        </is>
      </c>
      <c r="D684" s="18" t="inlineStr">
        <is>
          <t>18''</t>
        </is>
      </c>
      <c r="E684" s="98" t="n">
        <v>450</v>
      </c>
      <c r="F684" s="18" t="inlineStr">
        <is>
          <t>60</t>
        </is>
      </c>
      <c r="G684" s="20" t="n">
        <v>18</v>
      </c>
      <c r="H684" s="82" t="n">
        <v>457.2</v>
      </c>
      <c r="I684" s="20" t="n">
        <v>0.75</v>
      </c>
      <c r="J684" s="82" t="n">
        <v>19.05</v>
      </c>
      <c r="K684" s="20">
        <f>ROUND((H684-J684)*J684*IF(B684="Carbon Steel",$K$7,IF(B684="Stainless Steel 304",$K$8,$L$8)), 3)</f>
        <v/>
      </c>
      <c r="L684" s="82">
        <f>ROUND(K684*$G$5, 2)</f>
        <v/>
      </c>
      <c r="M684" s="98">
        <f>INT($G$6/H684)</f>
        <v/>
      </c>
      <c r="N684" s="98">
        <f>IF(M684=0, 0, IF(OR($K$6="Square Grid", M684=1), INT($G$7/H684), IF($G$7&lt;H684, 0, 1+INT(($G$7-H684)/(0.8660254*H684)))))</f>
        <v/>
      </c>
      <c r="O684" s="84">
        <f>IF(OR(M684=0,N684=0), 0, IF(OR($K$6="Square Grid", M684=1), M684*N684*$K$5, (INT((N684+1)/2)*M684 + INT(N684/2)*IF(($G$6-M684*H684)&gt;=0.5*H684, M684, M684-1))*$K$5))</f>
        <v/>
      </c>
      <c r="P684" s="84">
        <f>IF(L684&lt;=0, 0, INT($G$8/L684))</f>
        <v/>
      </c>
      <c r="Q684" s="95">
        <f>MIN(O684, P684)</f>
        <v/>
      </c>
      <c r="R684" s="96">
        <f>ROUND((Q684*L684)/1000, 2)</f>
        <v/>
      </c>
      <c r="S684" s="85">
        <f>IF($C$8&gt;0, R684/$C$8, 0)</f>
        <v/>
      </c>
      <c r="T684" s="85">
        <f>IF(O684&gt;0, Q684/O684, 0)</f>
        <v/>
      </c>
      <c r="U684" s="18">
        <f>IF(Q684=0, "Exceeds Limit", IF(P684&lt;=O684, "Weight Limited", "Volume Limited"))</f>
        <v/>
      </c>
      <c r="V684" s="100">
        <f>B684&amp;"|"&amp;D684&amp;"|"&amp;F684</f>
        <v/>
      </c>
    </row>
    <row r="685" ht="19" customHeight="1">
      <c r="A685" s="93" t="n">
        <v>675</v>
      </c>
      <c r="B685" s="101" t="inlineStr">
        <is>
          <t>Stainless Steel 304</t>
        </is>
      </c>
      <c r="C685" s="13" t="inlineStr">
        <is>
          <t>ASME B36.19M / B36.10M</t>
        </is>
      </c>
      <c r="D685" s="12" t="inlineStr">
        <is>
          <t>18''</t>
        </is>
      </c>
      <c r="E685" s="93" t="n">
        <v>450</v>
      </c>
      <c r="F685" s="12" t="inlineStr">
        <is>
          <t>80S</t>
        </is>
      </c>
      <c r="G685" s="14" t="n">
        <v>18</v>
      </c>
      <c r="H685" s="78" t="n">
        <v>457.2</v>
      </c>
      <c r="I685" s="14" t="n">
        <v>0.5</v>
      </c>
      <c r="J685" s="78" t="n">
        <v>12.7</v>
      </c>
      <c r="K685" s="14">
        <f>ROUND((H685-J685)*J685*IF(B685="Carbon Steel",$K$7,IF(B685="Stainless Steel 304",$K$8,$L$8)), 3)</f>
        <v/>
      </c>
      <c r="L685" s="78">
        <f>ROUND(K685*$G$5, 2)</f>
        <v/>
      </c>
      <c r="M685" s="93">
        <f>INT($G$6/H685)</f>
        <v/>
      </c>
      <c r="N685" s="93">
        <f>IF(M685=0, 0, IF(OR($K$6="Square Grid", M685=1), INT($G$7/H685), IF($G$7&lt;H685, 0, 1+INT(($G$7-H685)/(0.8660254*H685)))))</f>
        <v/>
      </c>
      <c r="O685" s="59">
        <f>IF(OR(M685=0,N685=0), 0, IF(OR($K$6="Square Grid", M685=1), M685*N685*$K$5, (INT((N685+1)/2)*M685 + INT(N685/2)*IF(($G$6-M685*H685)&gt;=0.5*H685, M685, M685-1))*$K$5))</f>
        <v/>
      </c>
      <c r="P685" s="59">
        <f>IF(L685&lt;=0, 0, INT($G$8/L685))</f>
        <v/>
      </c>
      <c r="Q685" s="95">
        <f>MIN(O685, P685)</f>
        <v/>
      </c>
      <c r="R685" s="96">
        <f>ROUND((Q685*L685)/1000, 2)</f>
        <v/>
      </c>
      <c r="S685" s="79">
        <f>IF($C$8&gt;0, R685/$C$8, 0)</f>
        <v/>
      </c>
      <c r="T685" s="79">
        <f>IF(O685&gt;0, Q685/O685, 0)</f>
        <v/>
      </c>
      <c r="U685" s="12">
        <f>IF(Q685=0, "Exceeds Limit", IF(P685&lt;=O685, "Weight Limited", "Volume Limited"))</f>
        <v/>
      </c>
      <c r="V685" s="97">
        <f>B685&amp;"|"&amp;D685&amp;"|"&amp;F685</f>
        <v/>
      </c>
    </row>
    <row r="686" ht="19" customHeight="1">
      <c r="A686" s="98" t="n">
        <v>676</v>
      </c>
      <c r="B686" s="102" t="inlineStr">
        <is>
          <t>Stainless Steel 304</t>
        </is>
      </c>
      <c r="C686" s="19" t="inlineStr">
        <is>
          <t>ASME B36.19M / B36.10M</t>
        </is>
      </c>
      <c r="D686" s="18" t="inlineStr">
        <is>
          <t>18''</t>
        </is>
      </c>
      <c r="E686" s="98" t="n">
        <v>450</v>
      </c>
      <c r="F686" s="18" t="inlineStr">
        <is>
          <t>XS</t>
        </is>
      </c>
      <c r="G686" s="20" t="n">
        <v>18</v>
      </c>
      <c r="H686" s="82" t="n">
        <v>457.2</v>
      </c>
      <c r="I686" s="20" t="n">
        <v>0.5</v>
      </c>
      <c r="J686" s="82" t="n">
        <v>12.7</v>
      </c>
      <c r="K686" s="20">
        <f>ROUND((H686-J686)*J686*IF(B686="Carbon Steel",$K$7,IF(B686="Stainless Steel 304",$K$8,$L$8)), 3)</f>
        <v/>
      </c>
      <c r="L686" s="82">
        <f>ROUND(K686*$G$5, 2)</f>
        <v/>
      </c>
      <c r="M686" s="98">
        <f>INT($G$6/H686)</f>
        <v/>
      </c>
      <c r="N686" s="98">
        <f>IF(M686=0, 0, IF(OR($K$6="Square Grid", M686=1), INT($G$7/H686), IF($G$7&lt;H686, 0, 1+INT(($G$7-H686)/(0.8660254*H686)))))</f>
        <v/>
      </c>
      <c r="O686" s="84">
        <f>IF(OR(M686=0,N686=0), 0, IF(OR($K$6="Square Grid", M686=1), M686*N686*$K$5, (INT((N686+1)/2)*M686 + INT(N686/2)*IF(($G$6-M686*H686)&gt;=0.5*H686, M686, M686-1))*$K$5))</f>
        <v/>
      </c>
      <c r="P686" s="84">
        <f>IF(L686&lt;=0, 0, INT($G$8/L686))</f>
        <v/>
      </c>
      <c r="Q686" s="95">
        <f>MIN(O686, P686)</f>
        <v/>
      </c>
      <c r="R686" s="96">
        <f>ROUND((Q686*L686)/1000, 2)</f>
        <v/>
      </c>
      <c r="S686" s="85">
        <f>IF($C$8&gt;0, R686/$C$8, 0)</f>
        <v/>
      </c>
      <c r="T686" s="85">
        <f>IF(O686&gt;0, Q686/O686, 0)</f>
        <v/>
      </c>
      <c r="U686" s="18">
        <f>IF(Q686=0, "Exceeds Limit", IF(P686&lt;=O686, "Weight Limited", "Volume Limited"))</f>
        <v/>
      </c>
      <c r="V686" s="100">
        <f>B686&amp;"|"&amp;D686&amp;"|"&amp;F686</f>
        <v/>
      </c>
    </row>
    <row r="687" ht="19" customHeight="1">
      <c r="A687" s="93" t="n">
        <v>677</v>
      </c>
      <c r="B687" s="101" t="inlineStr">
        <is>
          <t>Stainless Steel 304</t>
        </is>
      </c>
      <c r="C687" s="13" t="inlineStr">
        <is>
          <t>ASME B36.19M / B36.10M</t>
        </is>
      </c>
      <c r="D687" s="12" t="inlineStr">
        <is>
          <t>18''</t>
        </is>
      </c>
      <c r="E687" s="93" t="n">
        <v>450</v>
      </c>
      <c r="F687" s="12" t="inlineStr">
        <is>
          <t>80</t>
        </is>
      </c>
      <c r="G687" s="14" t="n">
        <v>18</v>
      </c>
      <c r="H687" s="78" t="n">
        <v>457.2</v>
      </c>
      <c r="I687" s="14" t="n">
        <v>0.9379999999999999</v>
      </c>
      <c r="J687" s="78" t="n">
        <v>23.83</v>
      </c>
      <c r="K687" s="14">
        <f>ROUND((H687-J687)*J687*IF(B687="Carbon Steel",$K$7,IF(B687="Stainless Steel 304",$K$8,$L$8)), 3)</f>
        <v/>
      </c>
      <c r="L687" s="78">
        <f>ROUND(K687*$G$5, 2)</f>
        <v/>
      </c>
      <c r="M687" s="93">
        <f>INT($G$6/H687)</f>
        <v/>
      </c>
      <c r="N687" s="93">
        <f>IF(M687=0, 0, IF(OR($K$6="Square Grid", M687=1), INT($G$7/H687), IF($G$7&lt;H687, 0, 1+INT(($G$7-H687)/(0.8660254*H687)))))</f>
        <v/>
      </c>
      <c r="O687" s="59">
        <f>IF(OR(M687=0,N687=0), 0, IF(OR($K$6="Square Grid", M687=1), M687*N687*$K$5, (INT((N687+1)/2)*M687 + INT(N687/2)*IF(($G$6-M687*H687)&gt;=0.5*H687, M687, M687-1))*$K$5))</f>
        <v/>
      </c>
      <c r="P687" s="59">
        <f>IF(L687&lt;=0, 0, INT($G$8/L687))</f>
        <v/>
      </c>
      <c r="Q687" s="95">
        <f>MIN(O687, P687)</f>
        <v/>
      </c>
      <c r="R687" s="96">
        <f>ROUND((Q687*L687)/1000, 2)</f>
        <v/>
      </c>
      <c r="S687" s="79">
        <f>IF($C$8&gt;0, R687/$C$8, 0)</f>
        <v/>
      </c>
      <c r="T687" s="79">
        <f>IF(O687&gt;0, Q687/O687, 0)</f>
        <v/>
      </c>
      <c r="U687" s="12">
        <f>IF(Q687=0, "Exceeds Limit", IF(P687&lt;=O687, "Weight Limited", "Volume Limited"))</f>
        <v/>
      </c>
      <c r="V687" s="97">
        <f>B687&amp;"|"&amp;D687&amp;"|"&amp;F687</f>
        <v/>
      </c>
    </row>
    <row r="688" ht="19" customHeight="1">
      <c r="A688" s="98" t="n">
        <v>678</v>
      </c>
      <c r="B688" s="102" t="inlineStr">
        <is>
          <t>Stainless Steel 304</t>
        </is>
      </c>
      <c r="C688" s="19" t="inlineStr">
        <is>
          <t>ASME B36.19M / B36.10M</t>
        </is>
      </c>
      <c r="D688" s="18" t="inlineStr">
        <is>
          <t>18''</t>
        </is>
      </c>
      <c r="E688" s="98" t="n">
        <v>450</v>
      </c>
      <c r="F688" s="18" t="inlineStr">
        <is>
          <t>100</t>
        </is>
      </c>
      <c r="G688" s="20" t="n">
        <v>18</v>
      </c>
      <c r="H688" s="82" t="n">
        <v>457.2</v>
      </c>
      <c r="I688" s="20" t="n">
        <v>1.156</v>
      </c>
      <c r="J688" s="82" t="n">
        <v>29.36</v>
      </c>
      <c r="K688" s="20">
        <f>ROUND((H688-J688)*J688*IF(B688="Carbon Steel",$K$7,IF(B688="Stainless Steel 304",$K$8,$L$8)), 3)</f>
        <v/>
      </c>
      <c r="L688" s="82">
        <f>ROUND(K688*$G$5, 2)</f>
        <v/>
      </c>
      <c r="M688" s="98">
        <f>INT($G$6/H688)</f>
        <v/>
      </c>
      <c r="N688" s="98">
        <f>IF(M688=0, 0, IF(OR($K$6="Square Grid", M688=1), INT($G$7/H688), IF($G$7&lt;H688, 0, 1+INT(($G$7-H688)/(0.8660254*H688)))))</f>
        <v/>
      </c>
      <c r="O688" s="84">
        <f>IF(OR(M688=0,N688=0), 0, IF(OR($K$6="Square Grid", M688=1), M688*N688*$K$5, (INT((N688+1)/2)*M688 + INT(N688/2)*IF(($G$6-M688*H688)&gt;=0.5*H688, M688, M688-1))*$K$5))</f>
        <v/>
      </c>
      <c r="P688" s="84">
        <f>IF(L688&lt;=0, 0, INT($G$8/L688))</f>
        <v/>
      </c>
      <c r="Q688" s="95">
        <f>MIN(O688, P688)</f>
        <v/>
      </c>
      <c r="R688" s="96">
        <f>ROUND((Q688*L688)/1000, 2)</f>
        <v/>
      </c>
      <c r="S688" s="85">
        <f>IF($C$8&gt;0, R688/$C$8, 0)</f>
        <v/>
      </c>
      <c r="T688" s="85">
        <f>IF(O688&gt;0, Q688/O688, 0)</f>
        <v/>
      </c>
      <c r="U688" s="18">
        <f>IF(Q688=0, "Exceeds Limit", IF(P688&lt;=O688, "Weight Limited", "Volume Limited"))</f>
        <v/>
      </c>
      <c r="V688" s="100">
        <f>B688&amp;"|"&amp;D688&amp;"|"&amp;F688</f>
        <v/>
      </c>
    </row>
    <row r="689" ht="19" customHeight="1">
      <c r="A689" s="93" t="n">
        <v>679</v>
      </c>
      <c r="B689" s="101" t="inlineStr">
        <is>
          <t>Stainless Steel 304</t>
        </is>
      </c>
      <c r="C689" s="13" t="inlineStr">
        <is>
          <t>ASME B36.19M / B36.10M</t>
        </is>
      </c>
      <c r="D689" s="12" t="inlineStr">
        <is>
          <t>18''</t>
        </is>
      </c>
      <c r="E689" s="93" t="n">
        <v>450</v>
      </c>
      <c r="F689" s="12" t="inlineStr">
        <is>
          <t>120</t>
        </is>
      </c>
      <c r="G689" s="14" t="n">
        <v>18</v>
      </c>
      <c r="H689" s="78" t="n">
        <v>457.2</v>
      </c>
      <c r="I689" s="14" t="n">
        <v>1.375</v>
      </c>
      <c r="J689" s="78" t="n">
        <v>34.92</v>
      </c>
      <c r="K689" s="14">
        <f>ROUND((H689-J689)*J689*IF(B689="Carbon Steel",$K$7,IF(B689="Stainless Steel 304",$K$8,$L$8)), 3)</f>
        <v/>
      </c>
      <c r="L689" s="78">
        <f>ROUND(K689*$G$5, 2)</f>
        <v/>
      </c>
      <c r="M689" s="93">
        <f>INT($G$6/H689)</f>
        <v/>
      </c>
      <c r="N689" s="93">
        <f>IF(M689=0, 0, IF(OR($K$6="Square Grid", M689=1), INT($G$7/H689), IF($G$7&lt;H689, 0, 1+INT(($G$7-H689)/(0.8660254*H689)))))</f>
        <v/>
      </c>
      <c r="O689" s="59">
        <f>IF(OR(M689=0,N689=0), 0, IF(OR($K$6="Square Grid", M689=1), M689*N689*$K$5, (INT((N689+1)/2)*M689 + INT(N689/2)*IF(($G$6-M689*H689)&gt;=0.5*H689, M689, M689-1))*$K$5))</f>
        <v/>
      </c>
      <c r="P689" s="59">
        <f>IF(L689&lt;=0, 0, INT($G$8/L689))</f>
        <v/>
      </c>
      <c r="Q689" s="95">
        <f>MIN(O689, P689)</f>
        <v/>
      </c>
      <c r="R689" s="96">
        <f>ROUND((Q689*L689)/1000, 2)</f>
        <v/>
      </c>
      <c r="S689" s="79">
        <f>IF($C$8&gt;0, R689/$C$8, 0)</f>
        <v/>
      </c>
      <c r="T689" s="79">
        <f>IF(O689&gt;0, Q689/O689, 0)</f>
        <v/>
      </c>
      <c r="U689" s="12">
        <f>IF(Q689=0, "Exceeds Limit", IF(P689&lt;=O689, "Weight Limited", "Volume Limited"))</f>
        <v/>
      </c>
      <c r="V689" s="97">
        <f>B689&amp;"|"&amp;D689&amp;"|"&amp;F689</f>
        <v/>
      </c>
    </row>
    <row r="690" ht="19" customHeight="1">
      <c r="A690" s="98" t="n">
        <v>680</v>
      </c>
      <c r="B690" s="102" t="inlineStr">
        <is>
          <t>Stainless Steel 304</t>
        </is>
      </c>
      <c r="C690" s="19" t="inlineStr">
        <is>
          <t>ASME B36.19M / B36.10M</t>
        </is>
      </c>
      <c r="D690" s="18" t="inlineStr">
        <is>
          <t>18''</t>
        </is>
      </c>
      <c r="E690" s="98" t="n">
        <v>450</v>
      </c>
      <c r="F690" s="18" t="inlineStr">
        <is>
          <t>140</t>
        </is>
      </c>
      <c r="G690" s="20" t="n">
        <v>18</v>
      </c>
      <c r="H690" s="82" t="n">
        <v>457.2</v>
      </c>
      <c r="I690" s="20" t="n">
        <v>1.562</v>
      </c>
      <c r="J690" s="82" t="n">
        <v>39.67</v>
      </c>
      <c r="K690" s="20">
        <f>ROUND((H690-J690)*J690*IF(B690="Carbon Steel",$K$7,IF(B690="Stainless Steel 304",$K$8,$L$8)), 3)</f>
        <v/>
      </c>
      <c r="L690" s="82">
        <f>ROUND(K690*$G$5, 2)</f>
        <v/>
      </c>
      <c r="M690" s="98">
        <f>INT($G$6/H690)</f>
        <v/>
      </c>
      <c r="N690" s="98">
        <f>IF(M690=0, 0, IF(OR($K$6="Square Grid", M690=1), INT($G$7/H690), IF($G$7&lt;H690, 0, 1+INT(($G$7-H690)/(0.8660254*H690)))))</f>
        <v/>
      </c>
      <c r="O690" s="84">
        <f>IF(OR(M690=0,N690=0), 0, IF(OR($K$6="Square Grid", M690=1), M690*N690*$K$5, (INT((N690+1)/2)*M690 + INT(N690/2)*IF(($G$6-M690*H690)&gt;=0.5*H690, M690, M690-1))*$K$5))</f>
        <v/>
      </c>
      <c r="P690" s="84">
        <f>IF(L690&lt;=0, 0, INT($G$8/L690))</f>
        <v/>
      </c>
      <c r="Q690" s="95">
        <f>MIN(O690, P690)</f>
        <v/>
      </c>
      <c r="R690" s="96">
        <f>ROUND((Q690*L690)/1000, 2)</f>
        <v/>
      </c>
      <c r="S690" s="85">
        <f>IF($C$8&gt;0, R690/$C$8, 0)</f>
        <v/>
      </c>
      <c r="T690" s="85">
        <f>IF(O690&gt;0, Q690/O690, 0)</f>
        <v/>
      </c>
      <c r="U690" s="18">
        <f>IF(Q690=0, "Exceeds Limit", IF(P690&lt;=O690, "Weight Limited", "Volume Limited"))</f>
        <v/>
      </c>
      <c r="V690" s="100">
        <f>B690&amp;"|"&amp;D690&amp;"|"&amp;F690</f>
        <v/>
      </c>
    </row>
    <row r="691" ht="19" customHeight="1">
      <c r="A691" s="93" t="n">
        <v>681</v>
      </c>
      <c r="B691" s="101" t="inlineStr">
        <is>
          <t>Stainless Steel 304</t>
        </is>
      </c>
      <c r="C691" s="13" t="inlineStr">
        <is>
          <t>ASME B36.19M / B36.10M</t>
        </is>
      </c>
      <c r="D691" s="12" t="inlineStr">
        <is>
          <t>18''</t>
        </is>
      </c>
      <c r="E691" s="93" t="n">
        <v>450</v>
      </c>
      <c r="F691" s="12" t="inlineStr">
        <is>
          <t>160</t>
        </is>
      </c>
      <c r="G691" s="14" t="n">
        <v>18</v>
      </c>
      <c r="H691" s="78" t="n">
        <v>457.2</v>
      </c>
      <c r="I691" s="14" t="n">
        <v>1.781</v>
      </c>
      <c r="J691" s="78" t="n">
        <v>45.24</v>
      </c>
      <c r="K691" s="14">
        <f>ROUND((H691-J691)*J691*IF(B691="Carbon Steel",$K$7,IF(B691="Stainless Steel 304",$K$8,$L$8)), 3)</f>
        <v/>
      </c>
      <c r="L691" s="78">
        <f>ROUND(K691*$G$5, 2)</f>
        <v/>
      </c>
      <c r="M691" s="93">
        <f>INT($G$6/H691)</f>
        <v/>
      </c>
      <c r="N691" s="93">
        <f>IF(M691=0, 0, IF(OR($K$6="Square Grid", M691=1), INT($G$7/H691), IF($G$7&lt;H691, 0, 1+INT(($G$7-H691)/(0.8660254*H691)))))</f>
        <v/>
      </c>
      <c r="O691" s="59">
        <f>IF(OR(M691=0,N691=0), 0, IF(OR($K$6="Square Grid", M691=1), M691*N691*$K$5, (INT((N691+1)/2)*M691 + INT(N691/2)*IF(($G$6-M691*H691)&gt;=0.5*H691, M691, M691-1))*$K$5))</f>
        <v/>
      </c>
      <c r="P691" s="59">
        <f>IF(L691&lt;=0, 0, INT($G$8/L691))</f>
        <v/>
      </c>
      <c r="Q691" s="95">
        <f>MIN(O691, P691)</f>
        <v/>
      </c>
      <c r="R691" s="96">
        <f>ROUND((Q691*L691)/1000, 2)</f>
        <v/>
      </c>
      <c r="S691" s="79">
        <f>IF($C$8&gt;0, R691/$C$8, 0)</f>
        <v/>
      </c>
      <c r="T691" s="79">
        <f>IF(O691&gt;0, Q691/O691, 0)</f>
        <v/>
      </c>
      <c r="U691" s="12">
        <f>IF(Q691=0, "Exceeds Limit", IF(P691&lt;=O691, "Weight Limited", "Volume Limited"))</f>
        <v/>
      </c>
      <c r="V691" s="97">
        <f>B691&amp;"|"&amp;D691&amp;"|"&amp;F691</f>
        <v/>
      </c>
    </row>
    <row r="692" ht="19" customHeight="1">
      <c r="A692" s="98" t="n">
        <v>682</v>
      </c>
      <c r="B692" s="102" t="inlineStr">
        <is>
          <t>Stainless Steel 304</t>
        </is>
      </c>
      <c r="C692" s="19" t="inlineStr">
        <is>
          <t>ASME B36.19M / B36.10M</t>
        </is>
      </c>
      <c r="D692" s="18" t="inlineStr">
        <is>
          <t>20''</t>
        </is>
      </c>
      <c r="E692" s="98" t="n">
        <v>500</v>
      </c>
      <c r="F692" s="18" t="inlineStr">
        <is>
          <t>5S</t>
        </is>
      </c>
      <c r="G692" s="20" t="n">
        <v>20</v>
      </c>
      <c r="H692" s="82" t="n">
        <v>508</v>
      </c>
      <c r="I692" s="20" t="n">
        <v>0.188</v>
      </c>
      <c r="J692" s="82" t="n">
        <v>4.78</v>
      </c>
      <c r="K692" s="20">
        <f>ROUND((H692-J692)*J692*IF(B692="Carbon Steel",$K$7,IF(B692="Stainless Steel 304",$K$8,$L$8)), 3)</f>
        <v/>
      </c>
      <c r="L692" s="82">
        <f>ROUND(K692*$G$5, 2)</f>
        <v/>
      </c>
      <c r="M692" s="98">
        <f>INT($G$6/H692)</f>
        <v/>
      </c>
      <c r="N692" s="98">
        <f>IF(M692=0, 0, IF(OR($K$6="Square Grid", M692=1), INT($G$7/H692), IF($G$7&lt;H692, 0, 1+INT(($G$7-H692)/(0.8660254*H692)))))</f>
        <v/>
      </c>
      <c r="O692" s="84">
        <f>IF(OR(M692=0,N692=0), 0, IF(OR($K$6="Square Grid", M692=1), M692*N692*$K$5, (INT((N692+1)/2)*M692 + INT(N692/2)*IF(($G$6-M692*H692)&gt;=0.5*H692, M692, M692-1))*$K$5))</f>
        <v/>
      </c>
      <c r="P692" s="84">
        <f>IF(L692&lt;=0, 0, INT($G$8/L692))</f>
        <v/>
      </c>
      <c r="Q692" s="95">
        <f>MIN(O692, P692)</f>
        <v/>
      </c>
      <c r="R692" s="96">
        <f>ROUND((Q692*L692)/1000, 2)</f>
        <v/>
      </c>
      <c r="S692" s="85">
        <f>IF($C$8&gt;0, R692/$C$8, 0)</f>
        <v/>
      </c>
      <c r="T692" s="85">
        <f>IF(O692&gt;0, Q692/O692, 0)</f>
        <v/>
      </c>
      <c r="U692" s="18">
        <f>IF(Q692=0, "Exceeds Limit", IF(P692&lt;=O692, "Weight Limited", "Volume Limited"))</f>
        <v/>
      </c>
      <c r="V692" s="100">
        <f>B692&amp;"|"&amp;D692&amp;"|"&amp;F692</f>
        <v/>
      </c>
    </row>
    <row r="693" ht="19" customHeight="1">
      <c r="A693" s="93" t="n">
        <v>683</v>
      </c>
      <c r="B693" s="101" t="inlineStr">
        <is>
          <t>Stainless Steel 304</t>
        </is>
      </c>
      <c r="C693" s="13" t="inlineStr">
        <is>
          <t>ASME B36.19M / B36.10M</t>
        </is>
      </c>
      <c r="D693" s="12" t="inlineStr">
        <is>
          <t>20''</t>
        </is>
      </c>
      <c r="E693" s="93" t="n">
        <v>500</v>
      </c>
      <c r="F693" s="12" t="inlineStr">
        <is>
          <t>5</t>
        </is>
      </c>
      <c r="G693" s="14" t="n">
        <v>20</v>
      </c>
      <c r="H693" s="78" t="n">
        <v>508</v>
      </c>
      <c r="I693" s="14" t="n">
        <v>0.188</v>
      </c>
      <c r="J693" s="78" t="n">
        <v>4.78</v>
      </c>
      <c r="K693" s="14">
        <f>ROUND((H693-J693)*J693*IF(B693="Carbon Steel",$K$7,IF(B693="Stainless Steel 304",$K$8,$L$8)), 3)</f>
        <v/>
      </c>
      <c r="L693" s="78">
        <f>ROUND(K693*$G$5, 2)</f>
        <v/>
      </c>
      <c r="M693" s="93">
        <f>INT($G$6/H693)</f>
        <v/>
      </c>
      <c r="N693" s="93">
        <f>IF(M693=0, 0, IF(OR($K$6="Square Grid", M693=1), INT($G$7/H693), IF($G$7&lt;H693, 0, 1+INT(($G$7-H693)/(0.8660254*H693)))))</f>
        <v/>
      </c>
      <c r="O693" s="59">
        <f>IF(OR(M693=0,N693=0), 0, IF(OR($K$6="Square Grid", M693=1), M693*N693*$K$5, (INT((N693+1)/2)*M693 + INT(N693/2)*IF(($G$6-M693*H693)&gt;=0.5*H693, M693, M693-1))*$K$5))</f>
        <v/>
      </c>
      <c r="P693" s="59">
        <f>IF(L693&lt;=0, 0, INT($G$8/L693))</f>
        <v/>
      </c>
      <c r="Q693" s="95">
        <f>MIN(O693, P693)</f>
        <v/>
      </c>
      <c r="R693" s="96">
        <f>ROUND((Q693*L693)/1000, 2)</f>
        <v/>
      </c>
      <c r="S693" s="79">
        <f>IF($C$8&gt;0, R693/$C$8, 0)</f>
        <v/>
      </c>
      <c r="T693" s="79">
        <f>IF(O693&gt;0, Q693/O693, 0)</f>
        <v/>
      </c>
      <c r="U693" s="12">
        <f>IF(Q693=0, "Exceeds Limit", IF(P693&lt;=O693, "Weight Limited", "Volume Limited"))</f>
        <v/>
      </c>
      <c r="V693" s="97">
        <f>B693&amp;"|"&amp;D693&amp;"|"&amp;F693</f>
        <v/>
      </c>
    </row>
    <row r="694" ht="19" customHeight="1">
      <c r="A694" s="98" t="n">
        <v>684</v>
      </c>
      <c r="B694" s="102" t="inlineStr">
        <is>
          <t>Stainless Steel 304</t>
        </is>
      </c>
      <c r="C694" s="19" t="inlineStr">
        <is>
          <t>ASME B36.19M / B36.10M</t>
        </is>
      </c>
      <c r="D694" s="18" t="inlineStr">
        <is>
          <t>20''</t>
        </is>
      </c>
      <c r="E694" s="98" t="n">
        <v>500</v>
      </c>
      <c r="F694" s="18" t="inlineStr">
        <is>
          <t>10S</t>
        </is>
      </c>
      <c r="G694" s="20" t="n">
        <v>20</v>
      </c>
      <c r="H694" s="82" t="n">
        <v>508</v>
      </c>
      <c r="I694" s="20" t="n">
        <v>0.218</v>
      </c>
      <c r="J694" s="82" t="n">
        <v>5.54</v>
      </c>
      <c r="K694" s="20">
        <f>ROUND((H694-J694)*J694*IF(B694="Carbon Steel",$K$7,IF(B694="Stainless Steel 304",$K$8,$L$8)), 3)</f>
        <v/>
      </c>
      <c r="L694" s="82">
        <f>ROUND(K694*$G$5, 2)</f>
        <v/>
      </c>
      <c r="M694" s="98">
        <f>INT($G$6/H694)</f>
        <v/>
      </c>
      <c r="N694" s="98">
        <f>IF(M694=0, 0, IF(OR($K$6="Square Grid", M694=1), INT($G$7/H694), IF($G$7&lt;H694, 0, 1+INT(($G$7-H694)/(0.8660254*H694)))))</f>
        <v/>
      </c>
      <c r="O694" s="84">
        <f>IF(OR(M694=0,N694=0), 0, IF(OR($K$6="Square Grid", M694=1), M694*N694*$K$5, (INT((N694+1)/2)*M694 + INT(N694/2)*IF(($G$6-M694*H694)&gt;=0.5*H694, M694, M694-1))*$K$5))</f>
        <v/>
      </c>
      <c r="P694" s="84">
        <f>IF(L694&lt;=0, 0, INT($G$8/L694))</f>
        <v/>
      </c>
      <c r="Q694" s="95">
        <f>MIN(O694, P694)</f>
        <v/>
      </c>
      <c r="R694" s="96">
        <f>ROUND((Q694*L694)/1000, 2)</f>
        <v/>
      </c>
      <c r="S694" s="85">
        <f>IF($C$8&gt;0, R694/$C$8, 0)</f>
        <v/>
      </c>
      <c r="T694" s="85">
        <f>IF(O694&gt;0, Q694/O694, 0)</f>
        <v/>
      </c>
      <c r="U694" s="18">
        <f>IF(Q694=0, "Exceeds Limit", IF(P694&lt;=O694, "Weight Limited", "Volume Limited"))</f>
        <v/>
      </c>
      <c r="V694" s="100">
        <f>B694&amp;"|"&amp;D694&amp;"|"&amp;F694</f>
        <v/>
      </c>
    </row>
    <row r="695" ht="19" customHeight="1">
      <c r="A695" s="93" t="n">
        <v>685</v>
      </c>
      <c r="B695" s="101" t="inlineStr">
        <is>
          <t>Stainless Steel 304</t>
        </is>
      </c>
      <c r="C695" s="13" t="inlineStr">
        <is>
          <t>ASME B36.19M / B36.10M</t>
        </is>
      </c>
      <c r="D695" s="12" t="inlineStr">
        <is>
          <t>20''</t>
        </is>
      </c>
      <c r="E695" s="93" t="n">
        <v>500</v>
      </c>
      <c r="F695" s="12" t="inlineStr">
        <is>
          <t>10</t>
        </is>
      </c>
      <c r="G695" s="14" t="n">
        <v>20</v>
      </c>
      <c r="H695" s="78" t="n">
        <v>508</v>
      </c>
      <c r="I695" s="14" t="n">
        <v>0.25</v>
      </c>
      <c r="J695" s="78" t="n">
        <v>6.35</v>
      </c>
      <c r="K695" s="14">
        <f>ROUND((H695-J695)*J695*IF(B695="Carbon Steel",$K$7,IF(B695="Stainless Steel 304",$K$8,$L$8)), 3)</f>
        <v/>
      </c>
      <c r="L695" s="78">
        <f>ROUND(K695*$G$5, 2)</f>
        <v/>
      </c>
      <c r="M695" s="93">
        <f>INT($G$6/H695)</f>
        <v/>
      </c>
      <c r="N695" s="93">
        <f>IF(M695=0, 0, IF(OR($K$6="Square Grid", M695=1), INT($G$7/H695), IF($G$7&lt;H695, 0, 1+INT(($G$7-H695)/(0.8660254*H695)))))</f>
        <v/>
      </c>
      <c r="O695" s="59">
        <f>IF(OR(M695=0,N695=0), 0, IF(OR($K$6="Square Grid", M695=1), M695*N695*$K$5, (INT((N695+1)/2)*M695 + INT(N695/2)*IF(($G$6-M695*H695)&gt;=0.5*H695, M695, M695-1))*$K$5))</f>
        <v/>
      </c>
      <c r="P695" s="59">
        <f>IF(L695&lt;=0, 0, INT($G$8/L695))</f>
        <v/>
      </c>
      <c r="Q695" s="95">
        <f>MIN(O695, P695)</f>
        <v/>
      </c>
      <c r="R695" s="96">
        <f>ROUND((Q695*L695)/1000, 2)</f>
        <v/>
      </c>
      <c r="S695" s="79">
        <f>IF($C$8&gt;0, R695/$C$8, 0)</f>
        <v/>
      </c>
      <c r="T695" s="79">
        <f>IF(O695&gt;0, Q695/O695, 0)</f>
        <v/>
      </c>
      <c r="U695" s="12">
        <f>IF(Q695=0, "Exceeds Limit", IF(P695&lt;=O695, "Weight Limited", "Volume Limited"))</f>
        <v/>
      </c>
      <c r="V695" s="97">
        <f>B695&amp;"|"&amp;D695&amp;"|"&amp;F695</f>
        <v/>
      </c>
    </row>
    <row r="696" ht="19" customHeight="1">
      <c r="A696" s="98" t="n">
        <v>686</v>
      </c>
      <c r="B696" s="102" t="inlineStr">
        <is>
          <t>Stainless Steel 304</t>
        </is>
      </c>
      <c r="C696" s="19" t="inlineStr">
        <is>
          <t>ASME B36.19M / B36.10M</t>
        </is>
      </c>
      <c r="D696" s="18" t="inlineStr">
        <is>
          <t>20''</t>
        </is>
      </c>
      <c r="E696" s="98" t="n">
        <v>500</v>
      </c>
      <c r="F696" s="18" t="inlineStr">
        <is>
          <t>20</t>
        </is>
      </c>
      <c r="G696" s="20" t="n">
        <v>20</v>
      </c>
      <c r="H696" s="82" t="n">
        <v>508</v>
      </c>
      <c r="I696" s="20" t="n">
        <v>0.375</v>
      </c>
      <c r="J696" s="82" t="n">
        <v>9.52</v>
      </c>
      <c r="K696" s="20">
        <f>ROUND((H696-J696)*J696*IF(B696="Carbon Steel",$K$7,IF(B696="Stainless Steel 304",$K$8,$L$8)), 3)</f>
        <v/>
      </c>
      <c r="L696" s="82">
        <f>ROUND(K696*$G$5, 2)</f>
        <v/>
      </c>
      <c r="M696" s="98">
        <f>INT($G$6/H696)</f>
        <v/>
      </c>
      <c r="N696" s="98">
        <f>IF(M696=0, 0, IF(OR($K$6="Square Grid", M696=1), INT($G$7/H696), IF($G$7&lt;H696, 0, 1+INT(($G$7-H696)/(0.8660254*H696)))))</f>
        <v/>
      </c>
      <c r="O696" s="84">
        <f>IF(OR(M696=0,N696=0), 0, IF(OR($K$6="Square Grid", M696=1), M696*N696*$K$5, (INT((N696+1)/2)*M696 + INT(N696/2)*IF(($G$6-M696*H696)&gt;=0.5*H696, M696, M696-1))*$K$5))</f>
        <v/>
      </c>
      <c r="P696" s="84">
        <f>IF(L696&lt;=0, 0, INT($G$8/L696))</f>
        <v/>
      </c>
      <c r="Q696" s="95">
        <f>MIN(O696, P696)</f>
        <v/>
      </c>
      <c r="R696" s="96">
        <f>ROUND((Q696*L696)/1000, 2)</f>
        <v/>
      </c>
      <c r="S696" s="85">
        <f>IF($C$8&gt;0, R696/$C$8, 0)</f>
        <v/>
      </c>
      <c r="T696" s="85">
        <f>IF(O696&gt;0, Q696/O696, 0)</f>
        <v/>
      </c>
      <c r="U696" s="18">
        <f>IF(Q696=0, "Exceeds Limit", IF(P696&lt;=O696, "Weight Limited", "Volume Limited"))</f>
        <v/>
      </c>
      <c r="V696" s="100">
        <f>B696&amp;"|"&amp;D696&amp;"|"&amp;F696</f>
        <v/>
      </c>
    </row>
    <row r="697" ht="19" customHeight="1">
      <c r="A697" s="93" t="n">
        <v>687</v>
      </c>
      <c r="B697" s="101" t="inlineStr">
        <is>
          <t>Stainless Steel 304</t>
        </is>
      </c>
      <c r="C697" s="13" t="inlineStr">
        <is>
          <t>ASME B36.19M / B36.10M</t>
        </is>
      </c>
      <c r="D697" s="12" t="inlineStr">
        <is>
          <t>20''</t>
        </is>
      </c>
      <c r="E697" s="93" t="n">
        <v>500</v>
      </c>
      <c r="F697" s="12" t="inlineStr">
        <is>
          <t>30</t>
        </is>
      </c>
      <c r="G697" s="14" t="n">
        <v>20</v>
      </c>
      <c r="H697" s="78" t="n">
        <v>508</v>
      </c>
      <c r="I697" s="14" t="n">
        <v>0.5</v>
      </c>
      <c r="J697" s="78" t="n">
        <v>12.7</v>
      </c>
      <c r="K697" s="14">
        <f>ROUND((H697-J697)*J697*IF(B697="Carbon Steel",$K$7,IF(B697="Stainless Steel 304",$K$8,$L$8)), 3)</f>
        <v/>
      </c>
      <c r="L697" s="78">
        <f>ROUND(K697*$G$5, 2)</f>
        <v/>
      </c>
      <c r="M697" s="93">
        <f>INT($G$6/H697)</f>
        <v/>
      </c>
      <c r="N697" s="93">
        <f>IF(M697=0, 0, IF(OR($K$6="Square Grid", M697=1), INT($G$7/H697), IF($G$7&lt;H697, 0, 1+INT(($G$7-H697)/(0.8660254*H697)))))</f>
        <v/>
      </c>
      <c r="O697" s="59">
        <f>IF(OR(M697=0,N697=0), 0, IF(OR($K$6="Square Grid", M697=1), M697*N697*$K$5, (INT((N697+1)/2)*M697 + INT(N697/2)*IF(($G$6-M697*H697)&gt;=0.5*H697, M697, M697-1))*$K$5))</f>
        <v/>
      </c>
      <c r="P697" s="59">
        <f>IF(L697&lt;=0, 0, INT($G$8/L697))</f>
        <v/>
      </c>
      <c r="Q697" s="95">
        <f>MIN(O697, P697)</f>
        <v/>
      </c>
      <c r="R697" s="96">
        <f>ROUND((Q697*L697)/1000, 2)</f>
        <v/>
      </c>
      <c r="S697" s="79">
        <f>IF($C$8&gt;0, R697/$C$8, 0)</f>
        <v/>
      </c>
      <c r="T697" s="79">
        <f>IF(O697&gt;0, Q697/O697, 0)</f>
        <v/>
      </c>
      <c r="U697" s="12">
        <f>IF(Q697=0, "Exceeds Limit", IF(P697&lt;=O697, "Weight Limited", "Volume Limited"))</f>
        <v/>
      </c>
      <c r="V697" s="97">
        <f>B697&amp;"|"&amp;D697&amp;"|"&amp;F697</f>
        <v/>
      </c>
    </row>
    <row r="698" ht="19" customHeight="1">
      <c r="A698" s="98" t="n">
        <v>688</v>
      </c>
      <c r="B698" s="102" t="inlineStr">
        <is>
          <t>Stainless Steel 304</t>
        </is>
      </c>
      <c r="C698" s="19" t="inlineStr">
        <is>
          <t>ASME B36.19M / B36.10M</t>
        </is>
      </c>
      <c r="D698" s="18" t="inlineStr">
        <is>
          <t>20''</t>
        </is>
      </c>
      <c r="E698" s="98" t="n">
        <v>500</v>
      </c>
      <c r="F698" s="18" t="inlineStr">
        <is>
          <t>40S</t>
        </is>
      </c>
      <c r="G698" s="20" t="n">
        <v>20</v>
      </c>
      <c r="H698" s="82" t="n">
        <v>508</v>
      </c>
      <c r="I698" s="20" t="n">
        <v>0.375</v>
      </c>
      <c r="J698" s="82" t="n">
        <v>9.52</v>
      </c>
      <c r="K698" s="20">
        <f>ROUND((H698-J698)*J698*IF(B698="Carbon Steel",$K$7,IF(B698="Stainless Steel 304",$K$8,$L$8)), 3)</f>
        <v/>
      </c>
      <c r="L698" s="82">
        <f>ROUND(K698*$G$5, 2)</f>
        <v/>
      </c>
      <c r="M698" s="98">
        <f>INT($G$6/H698)</f>
        <v/>
      </c>
      <c r="N698" s="98">
        <f>IF(M698=0, 0, IF(OR($K$6="Square Grid", M698=1), INT($G$7/H698), IF($G$7&lt;H698, 0, 1+INT(($G$7-H698)/(0.8660254*H698)))))</f>
        <v/>
      </c>
      <c r="O698" s="84">
        <f>IF(OR(M698=0,N698=0), 0, IF(OR($K$6="Square Grid", M698=1), M698*N698*$K$5, (INT((N698+1)/2)*M698 + INT(N698/2)*IF(($G$6-M698*H698)&gt;=0.5*H698, M698, M698-1))*$K$5))</f>
        <v/>
      </c>
      <c r="P698" s="84">
        <f>IF(L698&lt;=0, 0, INT($G$8/L698))</f>
        <v/>
      </c>
      <c r="Q698" s="95">
        <f>MIN(O698, P698)</f>
        <v/>
      </c>
      <c r="R698" s="96">
        <f>ROUND((Q698*L698)/1000, 2)</f>
        <v/>
      </c>
      <c r="S698" s="85">
        <f>IF($C$8&gt;0, R698/$C$8, 0)</f>
        <v/>
      </c>
      <c r="T698" s="85">
        <f>IF(O698&gt;0, Q698/O698, 0)</f>
        <v/>
      </c>
      <c r="U698" s="18">
        <f>IF(Q698=0, "Exceeds Limit", IF(P698&lt;=O698, "Weight Limited", "Volume Limited"))</f>
        <v/>
      </c>
      <c r="V698" s="100">
        <f>B698&amp;"|"&amp;D698&amp;"|"&amp;F698</f>
        <v/>
      </c>
    </row>
    <row r="699" ht="19" customHeight="1">
      <c r="A699" s="93" t="n">
        <v>689</v>
      </c>
      <c r="B699" s="101" t="inlineStr">
        <is>
          <t>Stainless Steel 304</t>
        </is>
      </c>
      <c r="C699" s="13" t="inlineStr">
        <is>
          <t>ASME B36.19M / B36.10M</t>
        </is>
      </c>
      <c r="D699" s="12" t="inlineStr">
        <is>
          <t>20''</t>
        </is>
      </c>
      <c r="E699" s="93" t="n">
        <v>500</v>
      </c>
      <c r="F699" s="12" t="inlineStr">
        <is>
          <t>STD</t>
        </is>
      </c>
      <c r="G699" s="14" t="n">
        <v>20</v>
      </c>
      <c r="H699" s="78" t="n">
        <v>508</v>
      </c>
      <c r="I699" s="14" t="n">
        <v>0.375</v>
      </c>
      <c r="J699" s="78" t="n">
        <v>9.52</v>
      </c>
      <c r="K699" s="14">
        <f>ROUND((H699-J699)*J699*IF(B699="Carbon Steel",$K$7,IF(B699="Stainless Steel 304",$K$8,$L$8)), 3)</f>
        <v/>
      </c>
      <c r="L699" s="78">
        <f>ROUND(K699*$G$5, 2)</f>
        <v/>
      </c>
      <c r="M699" s="93">
        <f>INT($G$6/H699)</f>
        <v/>
      </c>
      <c r="N699" s="93">
        <f>IF(M699=0, 0, IF(OR($K$6="Square Grid", M699=1), INT($G$7/H699), IF($G$7&lt;H699, 0, 1+INT(($G$7-H699)/(0.8660254*H699)))))</f>
        <v/>
      </c>
      <c r="O699" s="59">
        <f>IF(OR(M699=0,N699=0), 0, IF(OR($K$6="Square Grid", M699=1), M699*N699*$K$5, (INT((N699+1)/2)*M699 + INT(N699/2)*IF(($G$6-M699*H699)&gt;=0.5*H699, M699, M699-1))*$K$5))</f>
        <v/>
      </c>
      <c r="P699" s="59">
        <f>IF(L699&lt;=0, 0, INT($G$8/L699))</f>
        <v/>
      </c>
      <c r="Q699" s="95">
        <f>MIN(O699, P699)</f>
        <v/>
      </c>
      <c r="R699" s="96">
        <f>ROUND((Q699*L699)/1000, 2)</f>
        <v/>
      </c>
      <c r="S699" s="79">
        <f>IF($C$8&gt;0, R699/$C$8, 0)</f>
        <v/>
      </c>
      <c r="T699" s="79">
        <f>IF(O699&gt;0, Q699/O699, 0)</f>
        <v/>
      </c>
      <c r="U699" s="12">
        <f>IF(Q699=0, "Exceeds Limit", IF(P699&lt;=O699, "Weight Limited", "Volume Limited"))</f>
        <v/>
      </c>
      <c r="V699" s="97">
        <f>B699&amp;"|"&amp;D699&amp;"|"&amp;F699</f>
        <v/>
      </c>
    </row>
    <row r="700" ht="19" customHeight="1">
      <c r="A700" s="98" t="n">
        <v>690</v>
      </c>
      <c r="B700" s="102" t="inlineStr">
        <is>
          <t>Stainless Steel 304</t>
        </is>
      </c>
      <c r="C700" s="19" t="inlineStr">
        <is>
          <t>ASME B36.19M / B36.10M</t>
        </is>
      </c>
      <c r="D700" s="18" t="inlineStr">
        <is>
          <t>20''</t>
        </is>
      </c>
      <c r="E700" s="98" t="n">
        <v>500</v>
      </c>
      <c r="F700" s="18" t="inlineStr">
        <is>
          <t>40</t>
        </is>
      </c>
      <c r="G700" s="20" t="n">
        <v>20</v>
      </c>
      <c r="H700" s="82" t="n">
        <v>508</v>
      </c>
      <c r="I700" s="20" t="n">
        <v>0.594</v>
      </c>
      <c r="J700" s="82" t="n">
        <v>15.09</v>
      </c>
      <c r="K700" s="20">
        <f>ROUND((H700-J700)*J700*IF(B700="Carbon Steel",$K$7,IF(B700="Stainless Steel 304",$K$8,$L$8)), 3)</f>
        <v/>
      </c>
      <c r="L700" s="82">
        <f>ROUND(K700*$G$5, 2)</f>
        <v/>
      </c>
      <c r="M700" s="98">
        <f>INT($G$6/H700)</f>
        <v/>
      </c>
      <c r="N700" s="98">
        <f>IF(M700=0, 0, IF(OR($K$6="Square Grid", M700=1), INT($G$7/H700), IF($G$7&lt;H700, 0, 1+INT(($G$7-H700)/(0.8660254*H700)))))</f>
        <v/>
      </c>
      <c r="O700" s="84">
        <f>IF(OR(M700=0,N700=0), 0, IF(OR($K$6="Square Grid", M700=1), M700*N700*$K$5, (INT((N700+1)/2)*M700 + INT(N700/2)*IF(($G$6-M700*H700)&gt;=0.5*H700, M700, M700-1))*$K$5))</f>
        <v/>
      </c>
      <c r="P700" s="84">
        <f>IF(L700&lt;=0, 0, INT($G$8/L700))</f>
        <v/>
      </c>
      <c r="Q700" s="95">
        <f>MIN(O700, P700)</f>
        <v/>
      </c>
      <c r="R700" s="96">
        <f>ROUND((Q700*L700)/1000, 2)</f>
        <v/>
      </c>
      <c r="S700" s="85">
        <f>IF($C$8&gt;0, R700/$C$8, 0)</f>
        <v/>
      </c>
      <c r="T700" s="85">
        <f>IF(O700&gt;0, Q700/O700, 0)</f>
        <v/>
      </c>
      <c r="U700" s="18">
        <f>IF(Q700=0, "Exceeds Limit", IF(P700&lt;=O700, "Weight Limited", "Volume Limited"))</f>
        <v/>
      </c>
      <c r="V700" s="100">
        <f>B700&amp;"|"&amp;D700&amp;"|"&amp;F700</f>
        <v/>
      </c>
    </row>
    <row r="701" ht="19" customHeight="1">
      <c r="A701" s="93" t="n">
        <v>691</v>
      </c>
      <c r="B701" s="101" t="inlineStr">
        <is>
          <t>Stainless Steel 304</t>
        </is>
      </c>
      <c r="C701" s="13" t="inlineStr">
        <is>
          <t>ASME B36.19M / B36.10M</t>
        </is>
      </c>
      <c r="D701" s="12" t="inlineStr">
        <is>
          <t>20''</t>
        </is>
      </c>
      <c r="E701" s="93" t="n">
        <v>500</v>
      </c>
      <c r="F701" s="12" t="inlineStr">
        <is>
          <t>60</t>
        </is>
      </c>
      <c r="G701" s="14" t="n">
        <v>20</v>
      </c>
      <c r="H701" s="78" t="n">
        <v>508</v>
      </c>
      <c r="I701" s="14" t="n">
        <v>0.8120000000000001</v>
      </c>
      <c r="J701" s="78" t="n">
        <v>20.62</v>
      </c>
      <c r="K701" s="14">
        <f>ROUND((H701-J701)*J701*IF(B701="Carbon Steel",$K$7,IF(B701="Stainless Steel 304",$K$8,$L$8)), 3)</f>
        <v/>
      </c>
      <c r="L701" s="78">
        <f>ROUND(K701*$G$5, 2)</f>
        <v/>
      </c>
      <c r="M701" s="93">
        <f>INT($G$6/H701)</f>
        <v/>
      </c>
      <c r="N701" s="93">
        <f>IF(M701=0, 0, IF(OR($K$6="Square Grid", M701=1), INT($G$7/H701), IF($G$7&lt;H701, 0, 1+INT(($G$7-H701)/(0.8660254*H701)))))</f>
        <v/>
      </c>
      <c r="O701" s="59">
        <f>IF(OR(M701=0,N701=0), 0, IF(OR($K$6="Square Grid", M701=1), M701*N701*$K$5, (INT((N701+1)/2)*M701 + INT(N701/2)*IF(($G$6-M701*H701)&gt;=0.5*H701, M701, M701-1))*$K$5))</f>
        <v/>
      </c>
      <c r="P701" s="59">
        <f>IF(L701&lt;=0, 0, INT($G$8/L701))</f>
        <v/>
      </c>
      <c r="Q701" s="95">
        <f>MIN(O701, P701)</f>
        <v/>
      </c>
      <c r="R701" s="96">
        <f>ROUND((Q701*L701)/1000, 2)</f>
        <v/>
      </c>
      <c r="S701" s="79">
        <f>IF($C$8&gt;0, R701/$C$8, 0)</f>
        <v/>
      </c>
      <c r="T701" s="79">
        <f>IF(O701&gt;0, Q701/O701, 0)</f>
        <v/>
      </c>
      <c r="U701" s="12">
        <f>IF(Q701=0, "Exceeds Limit", IF(P701&lt;=O701, "Weight Limited", "Volume Limited"))</f>
        <v/>
      </c>
      <c r="V701" s="97">
        <f>B701&amp;"|"&amp;D701&amp;"|"&amp;F701</f>
        <v/>
      </c>
    </row>
    <row r="702" ht="19" customHeight="1">
      <c r="A702" s="98" t="n">
        <v>692</v>
      </c>
      <c r="B702" s="102" t="inlineStr">
        <is>
          <t>Stainless Steel 304</t>
        </is>
      </c>
      <c r="C702" s="19" t="inlineStr">
        <is>
          <t>ASME B36.19M / B36.10M</t>
        </is>
      </c>
      <c r="D702" s="18" t="inlineStr">
        <is>
          <t>20''</t>
        </is>
      </c>
      <c r="E702" s="98" t="n">
        <v>500</v>
      </c>
      <c r="F702" s="18" t="inlineStr">
        <is>
          <t>80S</t>
        </is>
      </c>
      <c r="G702" s="20" t="n">
        <v>20</v>
      </c>
      <c r="H702" s="82" t="n">
        <v>508</v>
      </c>
      <c r="I702" s="20" t="n">
        <v>0.5</v>
      </c>
      <c r="J702" s="82" t="n">
        <v>12.7</v>
      </c>
      <c r="K702" s="20">
        <f>ROUND((H702-J702)*J702*IF(B702="Carbon Steel",$K$7,IF(B702="Stainless Steel 304",$K$8,$L$8)), 3)</f>
        <v/>
      </c>
      <c r="L702" s="82">
        <f>ROUND(K702*$G$5, 2)</f>
        <v/>
      </c>
      <c r="M702" s="98">
        <f>INT($G$6/H702)</f>
        <v/>
      </c>
      <c r="N702" s="98">
        <f>IF(M702=0, 0, IF(OR($K$6="Square Grid", M702=1), INT($G$7/H702), IF($G$7&lt;H702, 0, 1+INT(($G$7-H702)/(0.8660254*H702)))))</f>
        <v/>
      </c>
      <c r="O702" s="84">
        <f>IF(OR(M702=0,N702=0), 0, IF(OR($K$6="Square Grid", M702=1), M702*N702*$K$5, (INT((N702+1)/2)*M702 + INT(N702/2)*IF(($G$6-M702*H702)&gt;=0.5*H702, M702, M702-1))*$K$5))</f>
        <v/>
      </c>
      <c r="P702" s="84">
        <f>IF(L702&lt;=0, 0, INT($G$8/L702))</f>
        <v/>
      </c>
      <c r="Q702" s="95">
        <f>MIN(O702, P702)</f>
        <v/>
      </c>
      <c r="R702" s="96">
        <f>ROUND((Q702*L702)/1000, 2)</f>
        <v/>
      </c>
      <c r="S702" s="85">
        <f>IF($C$8&gt;0, R702/$C$8, 0)</f>
        <v/>
      </c>
      <c r="T702" s="85">
        <f>IF(O702&gt;0, Q702/O702, 0)</f>
        <v/>
      </c>
      <c r="U702" s="18">
        <f>IF(Q702=0, "Exceeds Limit", IF(P702&lt;=O702, "Weight Limited", "Volume Limited"))</f>
        <v/>
      </c>
      <c r="V702" s="100">
        <f>B702&amp;"|"&amp;D702&amp;"|"&amp;F702</f>
        <v/>
      </c>
    </row>
    <row r="703" ht="19" customHeight="1">
      <c r="A703" s="93" t="n">
        <v>693</v>
      </c>
      <c r="B703" s="101" t="inlineStr">
        <is>
          <t>Stainless Steel 304</t>
        </is>
      </c>
      <c r="C703" s="13" t="inlineStr">
        <is>
          <t>ASME B36.19M / B36.10M</t>
        </is>
      </c>
      <c r="D703" s="12" t="inlineStr">
        <is>
          <t>20''</t>
        </is>
      </c>
      <c r="E703" s="93" t="n">
        <v>500</v>
      </c>
      <c r="F703" s="12" t="inlineStr">
        <is>
          <t>XS</t>
        </is>
      </c>
      <c r="G703" s="14" t="n">
        <v>20</v>
      </c>
      <c r="H703" s="78" t="n">
        <v>508</v>
      </c>
      <c r="I703" s="14" t="n">
        <v>0.5</v>
      </c>
      <c r="J703" s="78" t="n">
        <v>12.7</v>
      </c>
      <c r="K703" s="14">
        <f>ROUND((H703-J703)*J703*IF(B703="Carbon Steel",$K$7,IF(B703="Stainless Steel 304",$K$8,$L$8)), 3)</f>
        <v/>
      </c>
      <c r="L703" s="78">
        <f>ROUND(K703*$G$5, 2)</f>
        <v/>
      </c>
      <c r="M703" s="93">
        <f>INT($G$6/H703)</f>
        <v/>
      </c>
      <c r="N703" s="93">
        <f>IF(M703=0, 0, IF(OR($K$6="Square Grid", M703=1), INT($G$7/H703), IF($G$7&lt;H703, 0, 1+INT(($G$7-H703)/(0.8660254*H703)))))</f>
        <v/>
      </c>
      <c r="O703" s="59">
        <f>IF(OR(M703=0,N703=0), 0, IF(OR($K$6="Square Grid", M703=1), M703*N703*$K$5, (INT((N703+1)/2)*M703 + INT(N703/2)*IF(($G$6-M703*H703)&gt;=0.5*H703, M703, M703-1))*$K$5))</f>
        <v/>
      </c>
      <c r="P703" s="59">
        <f>IF(L703&lt;=0, 0, INT($G$8/L703))</f>
        <v/>
      </c>
      <c r="Q703" s="95">
        <f>MIN(O703, P703)</f>
        <v/>
      </c>
      <c r="R703" s="96">
        <f>ROUND((Q703*L703)/1000, 2)</f>
        <v/>
      </c>
      <c r="S703" s="79">
        <f>IF($C$8&gt;0, R703/$C$8, 0)</f>
        <v/>
      </c>
      <c r="T703" s="79">
        <f>IF(O703&gt;0, Q703/O703, 0)</f>
        <v/>
      </c>
      <c r="U703" s="12">
        <f>IF(Q703=0, "Exceeds Limit", IF(P703&lt;=O703, "Weight Limited", "Volume Limited"))</f>
        <v/>
      </c>
      <c r="V703" s="97">
        <f>B703&amp;"|"&amp;D703&amp;"|"&amp;F703</f>
        <v/>
      </c>
    </row>
    <row r="704" ht="19" customHeight="1">
      <c r="A704" s="98" t="n">
        <v>694</v>
      </c>
      <c r="B704" s="102" t="inlineStr">
        <is>
          <t>Stainless Steel 304</t>
        </is>
      </c>
      <c r="C704" s="19" t="inlineStr">
        <is>
          <t>ASME B36.19M / B36.10M</t>
        </is>
      </c>
      <c r="D704" s="18" t="inlineStr">
        <is>
          <t>20''</t>
        </is>
      </c>
      <c r="E704" s="98" t="n">
        <v>500</v>
      </c>
      <c r="F704" s="18" t="inlineStr">
        <is>
          <t>80</t>
        </is>
      </c>
      <c r="G704" s="20" t="n">
        <v>20</v>
      </c>
      <c r="H704" s="82" t="n">
        <v>508</v>
      </c>
      <c r="I704" s="20" t="n">
        <v>1.031</v>
      </c>
      <c r="J704" s="82" t="n">
        <v>26.19</v>
      </c>
      <c r="K704" s="20">
        <f>ROUND((H704-J704)*J704*IF(B704="Carbon Steel",$K$7,IF(B704="Stainless Steel 304",$K$8,$L$8)), 3)</f>
        <v/>
      </c>
      <c r="L704" s="82">
        <f>ROUND(K704*$G$5, 2)</f>
        <v/>
      </c>
      <c r="M704" s="98">
        <f>INT($G$6/H704)</f>
        <v/>
      </c>
      <c r="N704" s="98">
        <f>IF(M704=0, 0, IF(OR($K$6="Square Grid", M704=1), INT($G$7/H704), IF($G$7&lt;H704, 0, 1+INT(($G$7-H704)/(0.8660254*H704)))))</f>
        <v/>
      </c>
      <c r="O704" s="84">
        <f>IF(OR(M704=0,N704=0), 0, IF(OR($K$6="Square Grid", M704=1), M704*N704*$K$5, (INT((N704+1)/2)*M704 + INT(N704/2)*IF(($G$6-M704*H704)&gt;=0.5*H704, M704, M704-1))*$K$5))</f>
        <v/>
      </c>
      <c r="P704" s="84">
        <f>IF(L704&lt;=0, 0, INT($G$8/L704))</f>
        <v/>
      </c>
      <c r="Q704" s="95">
        <f>MIN(O704, P704)</f>
        <v/>
      </c>
      <c r="R704" s="96">
        <f>ROUND((Q704*L704)/1000, 2)</f>
        <v/>
      </c>
      <c r="S704" s="85">
        <f>IF($C$8&gt;0, R704/$C$8, 0)</f>
        <v/>
      </c>
      <c r="T704" s="85">
        <f>IF(O704&gt;0, Q704/O704, 0)</f>
        <v/>
      </c>
      <c r="U704" s="18">
        <f>IF(Q704=0, "Exceeds Limit", IF(P704&lt;=O704, "Weight Limited", "Volume Limited"))</f>
        <v/>
      </c>
      <c r="V704" s="100">
        <f>B704&amp;"|"&amp;D704&amp;"|"&amp;F704</f>
        <v/>
      </c>
    </row>
    <row r="705" ht="19" customHeight="1">
      <c r="A705" s="93" t="n">
        <v>695</v>
      </c>
      <c r="B705" s="101" t="inlineStr">
        <is>
          <t>Stainless Steel 304</t>
        </is>
      </c>
      <c r="C705" s="13" t="inlineStr">
        <is>
          <t>ASME B36.19M / B36.10M</t>
        </is>
      </c>
      <c r="D705" s="12" t="inlineStr">
        <is>
          <t>20''</t>
        </is>
      </c>
      <c r="E705" s="93" t="n">
        <v>500</v>
      </c>
      <c r="F705" s="12" t="inlineStr">
        <is>
          <t>100</t>
        </is>
      </c>
      <c r="G705" s="14" t="n">
        <v>20</v>
      </c>
      <c r="H705" s="78" t="n">
        <v>508</v>
      </c>
      <c r="I705" s="14" t="n">
        <v>1.281</v>
      </c>
      <c r="J705" s="78" t="n">
        <v>32.54</v>
      </c>
      <c r="K705" s="14">
        <f>ROUND((H705-J705)*J705*IF(B705="Carbon Steel",$K$7,IF(B705="Stainless Steel 304",$K$8,$L$8)), 3)</f>
        <v/>
      </c>
      <c r="L705" s="78">
        <f>ROUND(K705*$G$5, 2)</f>
        <v/>
      </c>
      <c r="M705" s="93">
        <f>INT($G$6/H705)</f>
        <v/>
      </c>
      <c r="N705" s="93">
        <f>IF(M705=0, 0, IF(OR($K$6="Square Grid", M705=1), INT($G$7/H705), IF($G$7&lt;H705, 0, 1+INT(($G$7-H705)/(0.8660254*H705)))))</f>
        <v/>
      </c>
      <c r="O705" s="59">
        <f>IF(OR(M705=0,N705=0), 0, IF(OR($K$6="Square Grid", M705=1), M705*N705*$K$5, (INT((N705+1)/2)*M705 + INT(N705/2)*IF(($G$6-M705*H705)&gt;=0.5*H705, M705, M705-1))*$K$5))</f>
        <v/>
      </c>
      <c r="P705" s="59">
        <f>IF(L705&lt;=0, 0, INT($G$8/L705))</f>
        <v/>
      </c>
      <c r="Q705" s="95">
        <f>MIN(O705, P705)</f>
        <v/>
      </c>
      <c r="R705" s="96">
        <f>ROUND((Q705*L705)/1000, 2)</f>
        <v/>
      </c>
      <c r="S705" s="79">
        <f>IF($C$8&gt;0, R705/$C$8, 0)</f>
        <v/>
      </c>
      <c r="T705" s="79">
        <f>IF(O705&gt;0, Q705/O705, 0)</f>
        <v/>
      </c>
      <c r="U705" s="12">
        <f>IF(Q705=0, "Exceeds Limit", IF(P705&lt;=O705, "Weight Limited", "Volume Limited"))</f>
        <v/>
      </c>
      <c r="V705" s="97">
        <f>B705&amp;"|"&amp;D705&amp;"|"&amp;F705</f>
        <v/>
      </c>
    </row>
    <row r="706" ht="19" customHeight="1">
      <c r="A706" s="98" t="n">
        <v>696</v>
      </c>
      <c r="B706" s="102" t="inlineStr">
        <is>
          <t>Stainless Steel 304</t>
        </is>
      </c>
      <c r="C706" s="19" t="inlineStr">
        <is>
          <t>ASME B36.19M / B36.10M</t>
        </is>
      </c>
      <c r="D706" s="18" t="inlineStr">
        <is>
          <t>20''</t>
        </is>
      </c>
      <c r="E706" s="98" t="n">
        <v>500</v>
      </c>
      <c r="F706" s="18" t="inlineStr">
        <is>
          <t>120</t>
        </is>
      </c>
      <c r="G706" s="20" t="n">
        <v>20</v>
      </c>
      <c r="H706" s="82" t="n">
        <v>508</v>
      </c>
      <c r="I706" s="20" t="n">
        <v>1.5</v>
      </c>
      <c r="J706" s="82" t="n">
        <v>38.1</v>
      </c>
      <c r="K706" s="20">
        <f>ROUND((H706-J706)*J706*IF(B706="Carbon Steel",$K$7,IF(B706="Stainless Steel 304",$K$8,$L$8)), 3)</f>
        <v/>
      </c>
      <c r="L706" s="82">
        <f>ROUND(K706*$G$5, 2)</f>
        <v/>
      </c>
      <c r="M706" s="98">
        <f>INT($G$6/H706)</f>
        <v/>
      </c>
      <c r="N706" s="98">
        <f>IF(M706=0, 0, IF(OR($K$6="Square Grid", M706=1), INT($G$7/H706), IF($G$7&lt;H706, 0, 1+INT(($G$7-H706)/(0.8660254*H706)))))</f>
        <v/>
      </c>
      <c r="O706" s="84">
        <f>IF(OR(M706=0,N706=0), 0, IF(OR($K$6="Square Grid", M706=1), M706*N706*$K$5, (INT((N706+1)/2)*M706 + INT(N706/2)*IF(($G$6-M706*H706)&gt;=0.5*H706, M706, M706-1))*$K$5))</f>
        <v/>
      </c>
      <c r="P706" s="84">
        <f>IF(L706&lt;=0, 0, INT($G$8/L706))</f>
        <v/>
      </c>
      <c r="Q706" s="95">
        <f>MIN(O706, P706)</f>
        <v/>
      </c>
      <c r="R706" s="96">
        <f>ROUND((Q706*L706)/1000, 2)</f>
        <v/>
      </c>
      <c r="S706" s="85">
        <f>IF($C$8&gt;0, R706/$C$8, 0)</f>
        <v/>
      </c>
      <c r="T706" s="85">
        <f>IF(O706&gt;0, Q706/O706, 0)</f>
        <v/>
      </c>
      <c r="U706" s="18">
        <f>IF(Q706=0, "Exceeds Limit", IF(P706&lt;=O706, "Weight Limited", "Volume Limited"))</f>
        <v/>
      </c>
      <c r="V706" s="100">
        <f>B706&amp;"|"&amp;D706&amp;"|"&amp;F706</f>
        <v/>
      </c>
    </row>
    <row r="707" ht="19" customHeight="1">
      <c r="A707" s="93" t="n">
        <v>697</v>
      </c>
      <c r="B707" s="101" t="inlineStr">
        <is>
          <t>Stainless Steel 304</t>
        </is>
      </c>
      <c r="C707" s="13" t="inlineStr">
        <is>
          <t>ASME B36.19M / B36.10M</t>
        </is>
      </c>
      <c r="D707" s="12" t="inlineStr">
        <is>
          <t>20''</t>
        </is>
      </c>
      <c r="E707" s="93" t="n">
        <v>500</v>
      </c>
      <c r="F707" s="12" t="inlineStr">
        <is>
          <t>140</t>
        </is>
      </c>
      <c r="G707" s="14" t="n">
        <v>20</v>
      </c>
      <c r="H707" s="78" t="n">
        <v>508</v>
      </c>
      <c r="I707" s="14" t="n">
        <v>1.75</v>
      </c>
      <c r="J707" s="78" t="n">
        <v>44.45</v>
      </c>
      <c r="K707" s="14">
        <f>ROUND((H707-J707)*J707*IF(B707="Carbon Steel",$K$7,IF(B707="Stainless Steel 304",$K$8,$L$8)), 3)</f>
        <v/>
      </c>
      <c r="L707" s="78">
        <f>ROUND(K707*$G$5, 2)</f>
        <v/>
      </c>
      <c r="M707" s="93">
        <f>INT($G$6/H707)</f>
        <v/>
      </c>
      <c r="N707" s="93">
        <f>IF(M707=0, 0, IF(OR($K$6="Square Grid", M707=1), INT($G$7/H707), IF($G$7&lt;H707, 0, 1+INT(($G$7-H707)/(0.8660254*H707)))))</f>
        <v/>
      </c>
      <c r="O707" s="59">
        <f>IF(OR(M707=0,N707=0), 0, IF(OR($K$6="Square Grid", M707=1), M707*N707*$K$5, (INT((N707+1)/2)*M707 + INT(N707/2)*IF(($G$6-M707*H707)&gt;=0.5*H707, M707, M707-1))*$K$5))</f>
        <v/>
      </c>
      <c r="P707" s="59">
        <f>IF(L707&lt;=0, 0, INT($G$8/L707))</f>
        <v/>
      </c>
      <c r="Q707" s="95">
        <f>MIN(O707, P707)</f>
        <v/>
      </c>
      <c r="R707" s="96">
        <f>ROUND((Q707*L707)/1000, 2)</f>
        <v/>
      </c>
      <c r="S707" s="79">
        <f>IF($C$8&gt;0, R707/$C$8, 0)</f>
        <v/>
      </c>
      <c r="T707" s="79">
        <f>IF(O707&gt;0, Q707/O707, 0)</f>
        <v/>
      </c>
      <c r="U707" s="12">
        <f>IF(Q707=0, "Exceeds Limit", IF(P707&lt;=O707, "Weight Limited", "Volume Limited"))</f>
        <v/>
      </c>
      <c r="V707" s="97">
        <f>B707&amp;"|"&amp;D707&amp;"|"&amp;F707</f>
        <v/>
      </c>
    </row>
    <row r="708" ht="19" customHeight="1">
      <c r="A708" s="98" t="n">
        <v>698</v>
      </c>
      <c r="B708" s="102" t="inlineStr">
        <is>
          <t>Stainless Steel 304</t>
        </is>
      </c>
      <c r="C708" s="19" t="inlineStr">
        <is>
          <t>ASME B36.19M / B36.10M</t>
        </is>
      </c>
      <c r="D708" s="18" t="inlineStr">
        <is>
          <t>20''</t>
        </is>
      </c>
      <c r="E708" s="98" t="n">
        <v>500</v>
      </c>
      <c r="F708" s="18" t="inlineStr">
        <is>
          <t>160</t>
        </is>
      </c>
      <c r="G708" s="20" t="n">
        <v>20</v>
      </c>
      <c r="H708" s="82" t="n">
        <v>508</v>
      </c>
      <c r="I708" s="20" t="n">
        <v>1.969</v>
      </c>
      <c r="J708" s="82" t="n">
        <v>50.01</v>
      </c>
      <c r="K708" s="20">
        <f>ROUND((H708-J708)*J708*IF(B708="Carbon Steel",$K$7,IF(B708="Stainless Steel 304",$K$8,$L$8)), 3)</f>
        <v/>
      </c>
      <c r="L708" s="82">
        <f>ROUND(K708*$G$5, 2)</f>
        <v/>
      </c>
      <c r="M708" s="98">
        <f>INT($G$6/H708)</f>
        <v/>
      </c>
      <c r="N708" s="98">
        <f>IF(M708=0, 0, IF(OR($K$6="Square Grid", M708=1), INT($G$7/H708), IF($G$7&lt;H708, 0, 1+INT(($G$7-H708)/(0.8660254*H708)))))</f>
        <v/>
      </c>
      <c r="O708" s="84">
        <f>IF(OR(M708=0,N708=0), 0, IF(OR($K$6="Square Grid", M708=1), M708*N708*$K$5, (INT((N708+1)/2)*M708 + INT(N708/2)*IF(($G$6-M708*H708)&gt;=0.5*H708, M708, M708-1))*$K$5))</f>
        <v/>
      </c>
      <c r="P708" s="84">
        <f>IF(L708&lt;=0, 0, INT($G$8/L708))</f>
        <v/>
      </c>
      <c r="Q708" s="95">
        <f>MIN(O708, P708)</f>
        <v/>
      </c>
      <c r="R708" s="96">
        <f>ROUND((Q708*L708)/1000, 2)</f>
        <v/>
      </c>
      <c r="S708" s="85">
        <f>IF($C$8&gt;0, R708/$C$8, 0)</f>
        <v/>
      </c>
      <c r="T708" s="85">
        <f>IF(O708&gt;0, Q708/O708, 0)</f>
        <v/>
      </c>
      <c r="U708" s="18">
        <f>IF(Q708=0, "Exceeds Limit", IF(P708&lt;=O708, "Weight Limited", "Volume Limited"))</f>
        <v/>
      </c>
      <c r="V708" s="100">
        <f>B708&amp;"|"&amp;D708&amp;"|"&amp;F708</f>
        <v/>
      </c>
    </row>
    <row r="709" ht="19" customHeight="1">
      <c r="A709" s="93" t="n">
        <v>699</v>
      </c>
      <c r="B709" s="101" t="inlineStr">
        <is>
          <t>Stainless Steel 304</t>
        </is>
      </c>
      <c r="C709" s="13" t="inlineStr">
        <is>
          <t>ASME B36.19M / B36.10M</t>
        </is>
      </c>
      <c r="D709" s="12" t="inlineStr">
        <is>
          <t>22''</t>
        </is>
      </c>
      <c r="E709" s="93" t="n">
        <v>550</v>
      </c>
      <c r="F709" s="12" t="inlineStr">
        <is>
          <t>5S</t>
        </is>
      </c>
      <c r="G709" s="14" t="n">
        <v>22</v>
      </c>
      <c r="H709" s="78" t="n">
        <v>558.8</v>
      </c>
      <c r="I709" s="14" t="n">
        <v>0.188</v>
      </c>
      <c r="J709" s="78" t="n">
        <v>4.78</v>
      </c>
      <c r="K709" s="14">
        <f>ROUND((H709-J709)*J709*IF(B709="Carbon Steel",$K$7,IF(B709="Stainless Steel 304",$K$8,$L$8)), 3)</f>
        <v/>
      </c>
      <c r="L709" s="78">
        <f>ROUND(K709*$G$5, 2)</f>
        <v/>
      </c>
      <c r="M709" s="93">
        <f>INT($G$6/H709)</f>
        <v/>
      </c>
      <c r="N709" s="93">
        <f>IF(M709=0, 0, IF(OR($K$6="Square Grid", M709=1), INT($G$7/H709), IF($G$7&lt;H709, 0, 1+INT(($G$7-H709)/(0.8660254*H709)))))</f>
        <v/>
      </c>
      <c r="O709" s="59">
        <f>IF(OR(M709=0,N709=0), 0, IF(OR($K$6="Square Grid", M709=1), M709*N709*$K$5, (INT((N709+1)/2)*M709 + INT(N709/2)*IF(($G$6-M709*H709)&gt;=0.5*H709, M709, M709-1))*$K$5))</f>
        <v/>
      </c>
      <c r="P709" s="59">
        <f>IF(L709&lt;=0, 0, INT($G$8/L709))</f>
        <v/>
      </c>
      <c r="Q709" s="95">
        <f>MIN(O709, P709)</f>
        <v/>
      </c>
      <c r="R709" s="96">
        <f>ROUND((Q709*L709)/1000, 2)</f>
        <v/>
      </c>
      <c r="S709" s="79">
        <f>IF($C$8&gt;0, R709/$C$8, 0)</f>
        <v/>
      </c>
      <c r="T709" s="79">
        <f>IF(O709&gt;0, Q709/O709, 0)</f>
        <v/>
      </c>
      <c r="U709" s="12">
        <f>IF(Q709=0, "Exceeds Limit", IF(P709&lt;=O709, "Weight Limited", "Volume Limited"))</f>
        <v/>
      </c>
      <c r="V709" s="97">
        <f>B709&amp;"|"&amp;D709&amp;"|"&amp;F709</f>
        <v/>
      </c>
    </row>
    <row r="710" ht="19" customHeight="1">
      <c r="A710" s="98" t="n">
        <v>700</v>
      </c>
      <c r="B710" s="102" t="inlineStr">
        <is>
          <t>Stainless Steel 304</t>
        </is>
      </c>
      <c r="C710" s="19" t="inlineStr">
        <is>
          <t>ASME B36.19M / B36.10M</t>
        </is>
      </c>
      <c r="D710" s="18" t="inlineStr">
        <is>
          <t>22''</t>
        </is>
      </c>
      <c r="E710" s="98" t="n">
        <v>550</v>
      </c>
      <c r="F710" s="18" t="inlineStr">
        <is>
          <t>5</t>
        </is>
      </c>
      <c r="G710" s="20" t="n">
        <v>22</v>
      </c>
      <c r="H710" s="82" t="n">
        <v>558.8</v>
      </c>
      <c r="I710" s="20" t="n">
        <v>0.188</v>
      </c>
      <c r="J710" s="82" t="n">
        <v>4.78</v>
      </c>
      <c r="K710" s="20">
        <f>ROUND((H710-J710)*J710*IF(B710="Carbon Steel",$K$7,IF(B710="Stainless Steel 304",$K$8,$L$8)), 3)</f>
        <v/>
      </c>
      <c r="L710" s="82">
        <f>ROUND(K710*$G$5, 2)</f>
        <v/>
      </c>
      <c r="M710" s="98">
        <f>INT($G$6/H710)</f>
        <v/>
      </c>
      <c r="N710" s="98">
        <f>IF(M710=0, 0, IF(OR($K$6="Square Grid", M710=1), INT($G$7/H710), IF($G$7&lt;H710, 0, 1+INT(($G$7-H710)/(0.8660254*H710)))))</f>
        <v/>
      </c>
      <c r="O710" s="84">
        <f>IF(OR(M710=0,N710=0), 0, IF(OR($K$6="Square Grid", M710=1), M710*N710*$K$5, (INT((N710+1)/2)*M710 + INT(N710/2)*IF(($G$6-M710*H710)&gt;=0.5*H710, M710, M710-1))*$K$5))</f>
        <v/>
      </c>
      <c r="P710" s="84">
        <f>IF(L710&lt;=0, 0, INT($G$8/L710))</f>
        <v/>
      </c>
      <c r="Q710" s="95">
        <f>MIN(O710, P710)</f>
        <v/>
      </c>
      <c r="R710" s="96">
        <f>ROUND((Q710*L710)/1000, 2)</f>
        <v/>
      </c>
      <c r="S710" s="85">
        <f>IF($C$8&gt;0, R710/$C$8, 0)</f>
        <v/>
      </c>
      <c r="T710" s="85">
        <f>IF(O710&gt;0, Q710/O710, 0)</f>
        <v/>
      </c>
      <c r="U710" s="18">
        <f>IF(Q710=0, "Exceeds Limit", IF(P710&lt;=O710, "Weight Limited", "Volume Limited"))</f>
        <v/>
      </c>
      <c r="V710" s="100">
        <f>B710&amp;"|"&amp;D710&amp;"|"&amp;F710</f>
        <v/>
      </c>
    </row>
    <row r="711" ht="19" customHeight="1">
      <c r="A711" s="93" t="n">
        <v>701</v>
      </c>
      <c r="B711" s="101" t="inlineStr">
        <is>
          <t>Stainless Steel 304</t>
        </is>
      </c>
      <c r="C711" s="13" t="inlineStr">
        <is>
          <t>ASME B36.19M / B36.10M</t>
        </is>
      </c>
      <c r="D711" s="12" t="inlineStr">
        <is>
          <t>22''</t>
        </is>
      </c>
      <c r="E711" s="93" t="n">
        <v>550</v>
      </c>
      <c r="F711" s="12" t="inlineStr">
        <is>
          <t>10S</t>
        </is>
      </c>
      <c r="G711" s="14" t="n">
        <v>22</v>
      </c>
      <c r="H711" s="78" t="n">
        <v>558.8</v>
      </c>
      <c r="I711" s="14" t="n">
        <v>0.218</v>
      </c>
      <c r="J711" s="78" t="n">
        <v>5.54</v>
      </c>
      <c r="K711" s="14">
        <f>ROUND((H711-J711)*J711*IF(B711="Carbon Steel",$K$7,IF(B711="Stainless Steel 304",$K$8,$L$8)), 3)</f>
        <v/>
      </c>
      <c r="L711" s="78">
        <f>ROUND(K711*$G$5, 2)</f>
        <v/>
      </c>
      <c r="M711" s="93">
        <f>INT($G$6/H711)</f>
        <v/>
      </c>
      <c r="N711" s="93">
        <f>IF(M711=0, 0, IF(OR($K$6="Square Grid", M711=1), INT($G$7/H711), IF($G$7&lt;H711, 0, 1+INT(($G$7-H711)/(0.8660254*H711)))))</f>
        <v/>
      </c>
      <c r="O711" s="59">
        <f>IF(OR(M711=0,N711=0), 0, IF(OR($K$6="Square Grid", M711=1), M711*N711*$K$5, (INT((N711+1)/2)*M711 + INT(N711/2)*IF(($G$6-M711*H711)&gt;=0.5*H711, M711, M711-1))*$K$5))</f>
        <v/>
      </c>
      <c r="P711" s="59">
        <f>IF(L711&lt;=0, 0, INT($G$8/L711))</f>
        <v/>
      </c>
      <c r="Q711" s="95">
        <f>MIN(O711, P711)</f>
        <v/>
      </c>
      <c r="R711" s="96">
        <f>ROUND((Q711*L711)/1000, 2)</f>
        <v/>
      </c>
      <c r="S711" s="79">
        <f>IF($C$8&gt;0, R711/$C$8, 0)</f>
        <v/>
      </c>
      <c r="T711" s="79">
        <f>IF(O711&gt;0, Q711/O711, 0)</f>
        <v/>
      </c>
      <c r="U711" s="12">
        <f>IF(Q711=0, "Exceeds Limit", IF(P711&lt;=O711, "Weight Limited", "Volume Limited"))</f>
        <v/>
      </c>
      <c r="V711" s="97">
        <f>B711&amp;"|"&amp;D711&amp;"|"&amp;F711</f>
        <v/>
      </c>
    </row>
    <row r="712" ht="19" customHeight="1">
      <c r="A712" s="98" t="n">
        <v>702</v>
      </c>
      <c r="B712" s="102" t="inlineStr">
        <is>
          <t>Stainless Steel 304</t>
        </is>
      </c>
      <c r="C712" s="19" t="inlineStr">
        <is>
          <t>ASME B36.19M / B36.10M</t>
        </is>
      </c>
      <c r="D712" s="18" t="inlineStr">
        <is>
          <t>22''</t>
        </is>
      </c>
      <c r="E712" s="98" t="n">
        <v>550</v>
      </c>
      <c r="F712" s="18" t="inlineStr">
        <is>
          <t>10</t>
        </is>
      </c>
      <c r="G712" s="20" t="n">
        <v>22</v>
      </c>
      <c r="H712" s="82" t="n">
        <v>558.8</v>
      </c>
      <c r="I712" s="20" t="n">
        <v>0.25</v>
      </c>
      <c r="J712" s="82" t="n">
        <v>6.35</v>
      </c>
      <c r="K712" s="20">
        <f>ROUND((H712-J712)*J712*IF(B712="Carbon Steel",$K$7,IF(B712="Stainless Steel 304",$K$8,$L$8)), 3)</f>
        <v/>
      </c>
      <c r="L712" s="82">
        <f>ROUND(K712*$G$5, 2)</f>
        <v/>
      </c>
      <c r="M712" s="98">
        <f>INT($G$6/H712)</f>
        <v/>
      </c>
      <c r="N712" s="98">
        <f>IF(M712=0, 0, IF(OR($K$6="Square Grid", M712=1), INT($G$7/H712), IF($G$7&lt;H712, 0, 1+INT(($G$7-H712)/(0.8660254*H712)))))</f>
        <v/>
      </c>
      <c r="O712" s="84">
        <f>IF(OR(M712=0,N712=0), 0, IF(OR($K$6="Square Grid", M712=1), M712*N712*$K$5, (INT((N712+1)/2)*M712 + INT(N712/2)*IF(($G$6-M712*H712)&gt;=0.5*H712, M712, M712-1))*$K$5))</f>
        <v/>
      </c>
      <c r="P712" s="84">
        <f>IF(L712&lt;=0, 0, INT($G$8/L712))</f>
        <v/>
      </c>
      <c r="Q712" s="95">
        <f>MIN(O712, P712)</f>
        <v/>
      </c>
      <c r="R712" s="96">
        <f>ROUND((Q712*L712)/1000, 2)</f>
        <v/>
      </c>
      <c r="S712" s="85">
        <f>IF($C$8&gt;0, R712/$C$8, 0)</f>
        <v/>
      </c>
      <c r="T712" s="85">
        <f>IF(O712&gt;0, Q712/O712, 0)</f>
        <v/>
      </c>
      <c r="U712" s="18">
        <f>IF(Q712=0, "Exceeds Limit", IF(P712&lt;=O712, "Weight Limited", "Volume Limited"))</f>
        <v/>
      </c>
      <c r="V712" s="100">
        <f>B712&amp;"|"&amp;D712&amp;"|"&amp;F712</f>
        <v/>
      </c>
    </row>
    <row r="713" ht="19" customHeight="1">
      <c r="A713" s="93" t="n">
        <v>703</v>
      </c>
      <c r="B713" s="101" t="inlineStr">
        <is>
          <t>Stainless Steel 304</t>
        </is>
      </c>
      <c r="C713" s="13" t="inlineStr">
        <is>
          <t>ASME B36.19M / B36.10M</t>
        </is>
      </c>
      <c r="D713" s="12" t="inlineStr">
        <is>
          <t>22''</t>
        </is>
      </c>
      <c r="E713" s="93" t="n">
        <v>550</v>
      </c>
      <c r="F713" s="12" t="inlineStr">
        <is>
          <t>20</t>
        </is>
      </c>
      <c r="G713" s="14" t="n">
        <v>22</v>
      </c>
      <c r="H713" s="78" t="n">
        <v>558.8</v>
      </c>
      <c r="I713" s="14" t="n">
        <v>0.375</v>
      </c>
      <c r="J713" s="78" t="n">
        <v>9.52</v>
      </c>
      <c r="K713" s="14">
        <f>ROUND((H713-J713)*J713*IF(B713="Carbon Steel",$K$7,IF(B713="Stainless Steel 304",$K$8,$L$8)), 3)</f>
        <v/>
      </c>
      <c r="L713" s="78">
        <f>ROUND(K713*$G$5, 2)</f>
        <v/>
      </c>
      <c r="M713" s="93">
        <f>INT($G$6/H713)</f>
        <v/>
      </c>
      <c r="N713" s="93">
        <f>IF(M713=0, 0, IF(OR($K$6="Square Grid", M713=1), INT($G$7/H713), IF($G$7&lt;H713, 0, 1+INT(($G$7-H713)/(0.8660254*H713)))))</f>
        <v/>
      </c>
      <c r="O713" s="59">
        <f>IF(OR(M713=0,N713=0), 0, IF(OR($K$6="Square Grid", M713=1), M713*N713*$K$5, (INT((N713+1)/2)*M713 + INT(N713/2)*IF(($G$6-M713*H713)&gt;=0.5*H713, M713, M713-1))*$K$5))</f>
        <v/>
      </c>
      <c r="P713" s="59">
        <f>IF(L713&lt;=0, 0, INT($G$8/L713))</f>
        <v/>
      </c>
      <c r="Q713" s="95">
        <f>MIN(O713, P713)</f>
        <v/>
      </c>
      <c r="R713" s="96">
        <f>ROUND((Q713*L713)/1000, 2)</f>
        <v/>
      </c>
      <c r="S713" s="79">
        <f>IF($C$8&gt;0, R713/$C$8, 0)</f>
        <v/>
      </c>
      <c r="T713" s="79">
        <f>IF(O713&gt;0, Q713/O713, 0)</f>
        <v/>
      </c>
      <c r="U713" s="12">
        <f>IF(Q713=0, "Exceeds Limit", IF(P713&lt;=O713, "Weight Limited", "Volume Limited"))</f>
        <v/>
      </c>
      <c r="V713" s="97">
        <f>B713&amp;"|"&amp;D713&amp;"|"&amp;F713</f>
        <v/>
      </c>
    </row>
    <row r="714" ht="19" customHeight="1">
      <c r="A714" s="98" t="n">
        <v>704</v>
      </c>
      <c r="B714" s="102" t="inlineStr">
        <is>
          <t>Stainless Steel 304</t>
        </is>
      </c>
      <c r="C714" s="19" t="inlineStr">
        <is>
          <t>ASME B36.19M / B36.10M</t>
        </is>
      </c>
      <c r="D714" s="18" t="inlineStr">
        <is>
          <t>22''</t>
        </is>
      </c>
      <c r="E714" s="98" t="n">
        <v>550</v>
      </c>
      <c r="F714" s="18" t="inlineStr">
        <is>
          <t>30</t>
        </is>
      </c>
      <c r="G714" s="20" t="n">
        <v>22</v>
      </c>
      <c r="H714" s="82" t="n">
        <v>558.8</v>
      </c>
      <c r="I714" s="20" t="n">
        <v>0.5</v>
      </c>
      <c r="J714" s="82" t="n">
        <v>12.7</v>
      </c>
      <c r="K714" s="20">
        <f>ROUND((H714-J714)*J714*IF(B714="Carbon Steel",$K$7,IF(B714="Stainless Steel 304",$K$8,$L$8)), 3)</f>
        <v/>
      </c>
      <c r="L714" s="82">
        <f>ROUND(K714*$G$5, 2)</f>
        <v/>
      </c>
      <c r="M714" s="98">
        <f>INT($G$6/H714)</f>
        <v/>
      </c>
      <c r="N714" s="98">
        <f>IF(M714=0, 0, IF(OR($K$6="Square Grid", M714=1), INT($G$7/H714), IF($G$7&lt;H714, 0, 1+INT(($G$7-H714)/(0.8660254*H714)))))</f>
        <v/>
      </c>
      <c r="O714" s="84">
        <f>IF(OR(M714=0,N714=0), 0, IF(OR($K$6="Square Grid", M714=1), M714*N714*$K$5, (INT((N714+1)/2)*M714 + INT(N714/2)*IF(($G$6-M714*H714)&gt;=0.5*H714, M714, M714-1))*$K$5))</f>
        <v/>
      </c>
      <c r="P714" s="84">
        <f>IF(L714&lt;=0, 0, INT($G$8/L714))</f>
        <v/>
      </c>
      <c r="Q714" s="95">
        <f>MIN(O714, P714)</f>
        <v/>
      </c>
      <c r="R714" s="96">
        <f>ROUND((Q714*L714)/1000, 2)</f>
        <v/>
      </c>
      <c r="S714" s="85">
        <f>IF($C$8&gt;0, R714/$C$8, 0)</f>
        <v/>
      </c>
      <c r="T714" s="85">
        <f>IF(O714&gt;0, Q714/O714, 0)</f>
        <v/>
      </c>
      <c r="U714" s="18">
        <f>IF(Q714=0, "Exceeds Limit", IF(P714&lt;=O714, "Weight Limited", "Volume Limited"))</f>
        <v/>
      </c>
      <c r="V714" s="100">
        <f>B714&amp;"|"&amp;D714&amp;"|"&amp;F714</f>
        <v/>
      </c>
    </row>
    <row r="715" ht="19" customHeight="1">
      <c r="A715" s="93" t="n">
        <v>705</v>
      </c>
      <c r="B715" s="101" t="inlineStr">
        <is>
          <t>Stainless Steel 304</t>
        </is>
      </c>
      <c r="C715" s="13" t="inlineStr">
        <is>
          <t>ASME B36.19M / B36.10M</t>
        </is>
      </c>
      <c r="D715" s="12" t="inlineStr">
        <is>
          <t>22''</t>
        </is>
      </c>
      <c r="E715" s="93" t="n">
        <v>550</v>
      </c>
      <c r="F715" s="12" t="inlineStr">
        <is>
          <t>40S</t>
        </is>
      </c>
      <c r="G715" s="14" t="n">
        <v>22</v>
      </c>
      <c r="H715" s="78" t="n">
        <v>558.8</v>
      </c>
      <c r="I715" s="14" t="n">
        <v>0.375</v>
      </c>
      <c r="J715" s="78" t="n">
        <v>9.52</v>
      </c>
      <c r="K715" s="14">
        <f>ROUND((H715-J715)*J715*IF(B715="Carbon Steel",$K$7,IF(B715="Stainless Steel 304",$K$8,$L$8)), 3)</f>
        <v/>
      </c>
      <c r="L715" s="78">
        <f>ROUND(K715*$G$5, 2)</f>
        <v/>
      </c>
      <c r="M715" s="93">
        <f>INT($G$6/H715)</f>
        <v/>
      </c>
      <c r="N715" s="93">
        <f>IF(M715=0, 0, IF(OR($K$6="Square Grid", M715=1), INT($G$7/H715), IF($G$7&lt;H715, 0, 1+INT(($G$7-H715)/(0.8660254*H715)))))</f>
        <v/>
      </c>
      <c r="O715" s="59">
        <f>IF(OR(M715=0,N715=0), 0, IF(OR($K$6="Square Grid", M715=1), M715*N715*$K$5, (INT((N715+1)/2)*M715 + INT(N715/2)*IF(($G$6-M715*H715)&gt;=0.5*H715, M715, M715-1))*$K$5))</f>
        <v/>
      </c>
      <c r="P715" s="59">
        <f>IF(L715&lt;=0, 0, INT($G$8/L715))</f>
        <v/>
      </c>
      <c r="Q715" s="95">
        <f>MIN(O715, P715)</f>
        <v/>
      </c>
      <c r="R715" s="96">
        <f>ROUND((Q715*L715)/1000, 2)</f>
        <v/>
      </c>
      <c r="S715" s="79">
        <f>IF($C$8&gt;0, R715/$C$8, 0)</f>
        <v/>
      </c>
      <c r="T715" s="79">
        <f>IF(O715&gt;0, Q715/O715, 0)</f>
        <v/>
      </c>
      <c r="U715" s="12">
        <f>IF(Q715=0, "Exceeds Limit", IF(P715&lt;=O715, "Weight Limited", "Volume Limited"))</f>
        <v/>
      </c>
      <c r="V715" s="97">
        <f>B715&amp;"|"&amp;D715&amp;"|"&amp;F715</f>
        <v/>
      </c>
    </row>
    <row r="716" ht="19" customHeight="1">
      <c r="A716" s="98" t="n">
        <v>706</v>
      </c>
      <c r="B716" s="102" t="inlineStr">
        <is>
          <t>Stainless Steel 304</t>
        </is>
      </c>
      <c r="C716" s="19" t="inlineStr">
        <is>
          <t>ASME B36.19M / B36.10M</t>
        </is>
      </c>
      <c r="D716" s="18" t="inlineStr">
        <is>
          <t>22''</t>
        </is>
      </c>
      <c r="E716" s="98" t="n">
        <v>550</v>
      </c>
      <c r="F716" s="18" t="inlineStr">
        <is>
          <t>STD</t>
        </is>
      </c>
      <c r="G716" s="20" t="n">
        <v>22</v>
      </c>
      <c r="H716" s="82" t="n">
        <v>558.8</v>
      </c>
      <c r="I716" s="20" t="n">
        <v>0.375</v>
      </c>
      <c r="J716" s="82" t="n">
        <v>9.52</v>
      </c>
      <c r="K716" s="20">
        <f>ROUND((H716-J716)*J716*IF(B716="Carbon Steel",$K$7,IF(B716="Stainless Steel 304",$K$8,$L$8)), 3)</f>
        <v/>
      </c>
      <c r="L716" s="82">
        <f>ROUND(K716*$G$5, 2)</f>
        <v/>
      </c>
      <c r="M716" s="98">
        <f>INT($G$6/H716)</f>
        <v/>
      </c>
      <c r="N716" s="98">
        <f>IF(M716=0, 0, IF(OR($K$6="Square Grid", M716=1), INT($G$7/H716), IF($G$7&lt;H716, 0, 1+INT(($G$7-H716)/(0.8660254*H716)))))</f>
        <v/>
      </c>
      <c r="O716" s="84">
        <f>IF(OR(M716=0,N716=0), 0, IF(OR($K$6="Square Grid", M716=1), M716*N716*$K$5, (INT((N716+1)/2)*M716 + INT(N716/2)*IF(($G$6-M716*H716)&gt;=0.5*H716, M716, M716-1))*$K$5))</f>
        <v/>
      </c>
      <c r="P716" s="84">
        <f>IF(L716&lt;=0, 0, INT($G$8/L716))</f>
        <v/>
      </c>
      <c r="Q716" s="95">
        <f>MIN(O716, P716)</f>
        <v/>
      </c>
      <c r="R716" s="96">
        <f>ROUND((Q716*L716)/1000, 2)</f>
        <v/>
      </c>
      <c r="S716" s="85">
        <f>IF($C$8&gt;0, R716/$C$8, 0)</f>
        <v/>
      </c>
      <c r="T716" s="85">
        <f>IF(O716&gt;0, Q716/O716, 0)</f>
        <v/>
      </c>
      <c r="U716" s="18">
        <f>IF(Q716=0, "Exceeds Limit", IF(P716&lt;=O716, "Weight Limited", "Volume Limited"))</f>
        <v/>
      </c>
      <c r="V716" s="100">
        <f>B716&amp;"|"&amp;D716&amp;"|"&amp;F716</f>
        <v/>
      </c>
    </row>
    <row r="717" ht="19" customHeight="1">
      <c r="A717" s="93" t="n">
        <v>707</v>
      </c>
      <c r="B717" s="101" t="inlineStr">
        <is>
          <t>Stainless Steel 304</t>
        </is>
      </c>
      <c r="C717" s="13" t="inlineStr">
        <is>
          <t>ASME B36.19M / B36.10M</t>
        </is>
      </c>
      <c r="D717" s="12" t="inlineStr">
        <is>
          <t>22''</t>
        </is>
      </c>
      <c r="E717" s="93" t="n">
        <v>550</v>
      </c>
      <c r="F717" s="12" t="inlineStr">
        <is>
          <t>60</t>
        </is>
      </c>
      <c r="G717" s="14" t="n">
        <v>22</v>
      </c>
      <c r="H717" s="78" t="n">
        <v>558.8</v>
      </c>
      <c r="I717" s="14" t="n">
        <v>0.875</v>
      </c>
      <c r="J717" s="78" t="n">
        <v>22.22</v>
      </c>
      <c r="K717" s="14">
        <f>ROUND((H717-J717)*J717*IF(B717="Carbon Steel",$K$7,IF(B717="Stainless Steel 304",$K$8,$L$8)), 3)</f>
        <v/>
      </c>
      <c r="L717" s="78">
        <f>ROUND(K717*$G$5, 2)</f>
        <v/>
      </c>
      <c r="M717" s="93">
        <f>INT($G$6/H717)</f>
        <v/>
      </c>
      <c r="N717" s="93">
        <f>IF(M717=0, 0, IF(OR($K$6="Square Grid", M717=1), INT($G$7/H717), IF($G$7&lt;H717, 0, 1+INT(($G$7-H717)/(0.8660254*H717)))))</f>
        <v/>
      </c>
      <c r="O717" s="59">
        <f>IF(OR(M717=0,N717=0), 0, IF(OR($K$6="Square Grid", M717=1), M717*N717*$K$5, (INT((N717+1)/2)*M717 + INT(N717/2)*IF(($G$6-M717*H717)&gt;=0.5*H717, M717, M717-1))*$K$5))</f>
        <v/>
      </c>
      <c r="P717" s="59">
        <f>IF(L717&lt;=0, 0, INT($G$8/L717))</f>
        <v/>
      </c>
      <c r="Q717" s="95">
        <f>MIN(O717, P717)</f>
        <v/>
      </c>
      <c r="R717" s="96">
        <f>ROUND((Q717*L717)/1000, 2)</f>
        <v/>
      </c>
      <c r="S717" s="79">
        <f>IF($C$8&gt;0, R717/$C$8, 0)</f>
        <v/>
      </c>
      <c r="T717" s="79">
        <f>IF(O717&gt;0, Q717/O717, 0)</f>
        <v/>
      </c>
      <c r="U717" s="12">
        <f>IF(Q717=0, "Exceeds Limit", IF(P717&lt;=O717, "Weight Limited", "Volume Limited"))</f>
        <v/>
      </c>
      <c r="V717" s="97">
        <f>B717&amp;"|"&amp;D717&amp;"|"&amp;F717</f>
        <v/>
      </c>
    </row>
    <row r="718" ht="19" customHeight="1">
      <c r="A718" s="98" t="n">
        <v>708</v>
      </c>
      <c r="B718" s="102" t="inlineStr">
        <is>
          <t>Stainless Steel 304</t>
        </is>
      </c>
      <c r="C718" s="19" t="inlineStr">
        <is>
          <t>ASME B36.19M / B36.10M</t>
        </is>
      </c>
      <c r="D718" s="18" t="inlineStr">
        <is>
          <t>22''</t>
        </is>
      </c>
      <c r="E718" s="98" t="n">
        <v>550</v>
      </c>
      <c r="F718" s="18" t="inlineStr">
        <is>
          <t>80S</t>
        </is>
      </c>
      <c r="G718" s="20" t="n">
        <v>22</v>
      </c>
      <c r="H718" s="82" t="n">
        <v>558.8</v>
      </c>
      <c r="I718" s="20" t="n">
        <v>0.5</v>
      </c>
      <c r="J718" s="82" t="n">
        <v>12.7</v>
      </c>
      <c r="K718" s="20">
        <f>ROUND((H718-J718)*J718*IF(B718="Carbon Steel",$K$7,IF(B718="Stainless Steel 304",$K$8,$L$8)), 3)</f>
        <v/>
      </c>
      <c r="L718" s="82">
        <f>ROUND(K718*$G$5, 2)</f>
        <v/>
      </c>
      <c r="M718" s="98">
        <f>INT($G$6/H718)</f>
        <v/>
      </c>
      <c r="N718" s="98">
        <f>IF(M718=0, 0, IF(OR($K$6="Square Grid", M718=1), INT($G$7/H718), IF($G$7&lt;H718, 0, 1+INT(($G$7-H718)/(0.8660254*H718)))))</f>
        <v/>
      </c>
      <c r="O718" s="84">
        <f>IF(OR(M718=0,N718=0), 0, IF(OR($K$6="Square Grid", M718=1), M718*N718*$K$5, (INT((N718+1)/2)*M718 + INT(N718/2)*IF(($G$6-M718*H718)&gt;=0.5*H718, M718, M718-1))*$K$5))</f>
        <v/>
      </c>
      <c r="P718" s="84">
        <f>IF(L718&lt;=0, 0, INT($G$8/L718))</f>
        <v/>
      </c>
      <c r="Q718" s="95">
        <f>MIN(O718, P718)</f>
        <v/>
      </c>
      <c r="R718" s="96">
        <f>ROUND((Q718*L718)/1000, 2)</f>
        <v/>
      </c>
      <c r="S718" s="85">
        <f>IF($C$8&gt;0, R718/$C$8, 0)</f>
        <v/>
      </c>
      <c r="T718" s="85">
        <f>IF(O718&gt;0, Q718/O718, 0)</f>
        <v/>
      </c>
      <c r="U718" s="18">
        <f>IF(Q718=0, "Exceeds Limit", IF(P718&lt;=O718, "Weight Limited", "Volume Limited"))</f>
        <v/>
      </c>
      <c r="V718" s="100">
        <f>B718&amp;"|"&amp;D718&amp;"|"&amp;F718</f>
        <v/>
      </c>
    </row>
    <row r="719" ht="19" customHeight="1">
      <c r="A719" s="93" t="n">
        <v>709</v>
      </c>
      <c r="B719" s="101" t="inlineStr">
        <is>
          <t>Stainless Steel 304</t>
        </is>
      </c>
      <c r="C719" s="13" t="inlineStr">
        <is>
          <t>ASME B36.19M / B36.10M</t>
        </is>
      </c>
      <c r="D719" s="12" t="inlineStr">
        <is>
          <t>22''</t>
        </is>
      </c>
      <c r="E719" s="93" t="n">
        <v>550</v>
      </c>
      <c r="F719" s="12" t="inlineStr">
        <is>
          <t>XS</t>
        </is>
      </c>
      <c r="G719" s="14" t="n">
        <v>22</v>
      </c>
      <c r="H719" s="78" t="n">
        <v>558.8</v>
      </c>
      <c r="I719" s="14" t="n">
        <v>0.5</v>
      </c>
      <c r="J719" s="78" t="n">
        <v>12.7</v>
      </c>
      <c r="K719" s="14">
        <f>ROUND((H719-J719)*J719*IF(B719="Carbon Steel",$K$7,IF(B719="Stainless Steel 304",$K$8,$L$8)), 3)</f>
        <v/>
      </c>
      <c r="L719" s="78">
        <f>ROUND(K719*$G$5, 2)</f>
        <v/>
      </c>
      <c r="M719" s="93">
        <f>INT($G$6/H719)</f>
        <v/>
      </c>
      <c r="N719" s="93">
        <f>IF(M719=0, 0, IF(OR($K$6="Square Grid", M719=1), INT($G$7/H719), IF($G$7&lt;H719, 0, 1+INT(($G$7-H719)/(0.8660254*H719)))))</f>
        <v/>
      </c>
      <c r="O719" s="59">
        <f>IF(OR(M719=0,N719=0), 0, IF(OR($K$6="Square Grid", M719=1), M719*N719*$K$5, (INT((N719+1)/2)*M719 + INT(N719/2)*IF(($G$6-M719*H719)&gt;=0.5*H719, M719, M719-1))*$K$5))</f>
        <v/>
      </c>
      <c r="P719" s="59">
        <f>IF(L719&lt;=0, 0, INT($G$8/L719))</f>
        <v/>
      </c>
      <c r="Q719" s="95">
        <f>MIN(O719, P719)</f>
        <v/>
      </c>
      <c r="R719" s="96">
        <f>ROUND((Q719*L719)/1000, 2)</f>
        <v/>
      </c>
      <c r="S719" s="79">
        <f>IF($C$8&gt;0, R719/$C$8, 0)</f>
        <v/>
      </c>
      <c r="T719" s="79">
        <f>IF(O719&gt;0, Q719/O719, 0)</f>
        <v/>
      </c>
      <c r="U719" s="12">
        <f>IF(Q719=0, "Exceeds Limit", IF(P719&lt;=O719, "Weight Limited", "Volume Limited"))</f>
        <v/>
      </c>
      <c r="V719" s="97">
        <f>B719&amp;"|"&amp;D719&amp;"|"&amp;F719</f>
        <v/>
      </c>
    </row>
    <row r="720" ht="19" customHeight="1">
      <c r="A720" s="98" t="n">
        <v>710</v>
      </c>
      <c r="B720" s="102" t="inlineStr">
        <is>
          <t>Stainless Steel 304</t>
        </is>
      </c>
      <c r="C720" s="19" t="inlineStr">
        <is>
          <t>ASME B36.19M / B36.10M</t>
        </is>
      </c>
      <c r="D720" s="18" t="inlineStr">
        <is>
          <t>22''</t>
        </is>
      </c>
      <c r="E720" s="98" t="n">
        <v>550</v>
      </c>
      <c r="F720" s="18" t="inlineStr">
        <is>
          <t>80</t>
        </is>
      </c>
      <c r="G720" s="20" t="n">
        <v>22</v>
      </c>
      <c r="H720" s="82" t="n">
        <v>558.8</v>
      </c>
      <c r="I720" s="20" t="n">
        <v>1.125</v>
      </c>
      <c r="J720" s="82" t="n">
        <v>28.57</v>
      </c>
      <c r="K720" s="20">
        <f>ROUND((H720-J720)*J720*IF(B720="Carbon Steel",$K$7,IF(B720="Stainless Steel 304",$K$8,$L$8)), 3)</f>
        <v/>
      </c>
      <c r="L720" s="82">
        <f>ROUND(K720*$G$5, 2)</f>
        <v/>
      </c>
      <c r="M720" s="98">
        <f>INT($G$6/H720)</f>
        <v/>
      </c>
      <c r="N720" s="98">
        <f>IF(M720=0, 0, IF(OR($K$6="Square Grid", M720=1), INT($G$7/H720), IF($G$7&lt;H720, 0, 1+INT(($G$7-H720)/(0.8660254*H720)))))</f>
        <v/>
      </c>
      <c r="O720" s="84">
        <f>IF(OR(M720=0,N720=0), 0, IF(OR($K$6="Square Grid", M720=1), M720*N720*$K$5, (INT((N720+1)/2)*M720 + INT(N720/2)*IF(($G$6-M720*H720)&gt;=0.5*H720, M720, M720-1))*$K$5))</f>
        <v/>
      </c>
      <c r="P720" s="84">
        <f>IF(L720&lt;=0, 0, INT($G$8/L720))</f>
        <v/>
      </c>
      <c r="Q720" s="95">
        <f>MIN(O720, P720)</f>
        <v/>
      </c>
      <c r="R720" s="96">
        <f>ROUND((Q720*L720)/1000, 2)</f>
        <v/>
      </c>
      <c r="S720" s="85">
        <f>IF($C$8&gt;0, R720/$C$8, 0)</f>
        <v/>
      </c>
      <c r="T720" s="85">
        <f>IF(O720&gt;0, Q720/O720, 0)</f>
        <v/>
      </c>
      <c r="U720" s="18">
        <f>IF(Q720=0, "Exceeds Limit", IF(P720&lt;=O720, "Weight Limited", "Volume Limited"))</f>
        <v/>
      </c>
      <c r="V720" s="100">
        <f>B720&amp;"|"&amp;D720&amp;"|"&amp;F720</f>
        <v/>
      </c>
    </row>
    <row r="721" ht="19" customHeight="1">
      <c r="A721" s="93" t="n">
        <v>711</v>
      </c>
      <c r="B721" s="101" t="inlineStr">
        <is>
          <t>Stainless Steel 304</t>
        </is>
      </c>
      <c r="C721" s="13" t="inlineStr">
        <is>
          <t>ASME B36.19M / B36.10M</t>
        </is>
      </c>
      <c r="D721" s="12" t="inlineStr">
        <is>
          <t>22''</t>
        </is>
      </c>
      <c r="E721" s="93" t="n">
        <v>550</v>
      </c>
      <c r="F721" s="12" t="inlineStr">
        <is>
          <t>100</t>
        </is>
      </c>
      <c r="G721" s="14" t="n">
        <v>22</v>
      </c>
      <c r="H721" s="78" t="n">
        <v>558.8</v>
      </c>
      <c r="I721" s="14" t="n">
        <v>1.375</v>
      </c>
      <c r="J721" s="78" t="n">
        <v>34.92</v>
      </c>
      <c r="K721" s="14">
        <f>ROUND((H721-J721)*J721*IF(B721="Carbon Steel",$K$7,IF(B721="Stainless Steel 304",$K$8,$L$8)), 3)</f>
        <v/>
      </c>
      <c r="L721" s="78">
        <f>ROUND(K721*$G$5, 2)</f>
        <v/>
      </c>
      <c r="M721" s="93">
        <f>INT($G$6/H721)</f>
        <v/>
      </c>
      <c r="N721" s="93">
        <f>IF(M721=0, 0, IF(OR($K$6="Square Grid", M721=1), INT($G$7/H721), IF($G$7&lt;H721, 0, 1+INT(($G$7-H721)/(0.8660254*H721)))))</f>
        <v/>
      </c>
      <c r="O721" s="59">
        <f>IF(OR(M721=0,N721=0), 0, IF(OR($K$6="Square Grid", M721=1), M721*N721*$K$5, (INT((N721+1)/2)*M721 + INT(N721/2)*IF(($G$6-M721*H721)&gt;=0.5*H721, M721, M721-1))*$K$5))</f>
        <v/>
      </c>
      <c r="P721" s="59">
        <f>IF(L721&lt;=0, 0, INT($G$8/L721))</f>
        <v/>
      </c>
      <c r="Q721" s="95">
        <f>MIN(O721, P721)</f>
        <v/>
      </c>
      <c r="R721" s="96">
        <f>ROUND((Q721*L721)/1000, 2)</f>
        <v/>
      </c>
      <c r="S721" s="79">
        <f>IF($C$8&gt;0, R721/$C$8, 0)</f>
        <v/>
      </c>
      <c r="T721" s="79">
        <f>IF(O721&gt;0, Q721/O721, 0)</f>
        <v/>
      </c>
      <c r="U721" s="12">
        <f>IF(Q721=0, "Exceeds Limit", IF(P721&lt;=O721, "Weight Limited", "Volume Limited"))</f>
        <v/>
      </c>
      <c r="V721" s="97">
        <f>B721&amp;"|"&amp;D721&amp;"|"&amp;F721</f>
        <v/>
      </c>
    </row>
    <row r="722" ht="19" customHeight="1">
      <c r="A722" s="98" t="n">
        <v>712</v>
      </c>
      <c r="B722" s="102" t="inlineStr">
        <is>
          <t>Stainless Steel 304</t>
        </is>
      </c>
      <c r="C722" s="19" t="inlineStr">
        <is>
          <t>ASME B36.19M / B36.10M</t>
        </is>
      </c>
      <c r="D722" s="18" t="inlineStr">
        <is>
          <t>22''</t>
        </is>
      </c>
      <c r="E722" s="98" t="n">
        <v>550</v>
      </c>
      <c r="F722" s="18" t="inlineStr">
        <is>
          <t>120</t>
        </is>
      </c>
      <c r="G722" s="20" t="n">
        <v>22</v>
      </c>
      <c r="H722" s="82" t="n">
        <v>558.8</v>
      </c>
      <c r="I722" s="20" t="n">
        <v>1.625</v>
      </c>
      <c r="J722" s="82" t="n">
        <v>41.27</v>
      </c>
      <c r="K722" s="20">
        <f>ROUND((H722-J722)*J722*IF(B722="Carbon Steel",$K$7,IF(B722="Stainless Steel 304",$K$8,$L$8)), 3)</f>
        <v/>
      </c>
      <c r="L722" s="82">
        <f>ROUND(K722*$G$5, 2)</f>
        <v/>
      </c>
      <c r="M722" s="98">
        <f>INT($G$6/H722)</f>
        <v/>
      </c>
      <c r="N722" s="98">
        <f>IF(M722=0, 0, IF(OR($K$6="Square Grid", M722=1), INT($G$7/H722), IF($G$7&lt;H722, 0, 1+INT(($G$7-H722)/(0.8660254*H722)))))</f>
        <v/>
      </c>
      <c r="O722" s="84">
        <f>IF(OR(M722=0,N722=0), 0, IF(OR($K$6="Square Grid", M722=1), M722*N722*$K$5, (INT((N722+1)/2)*M722 + INT(N722/2)*IF(($G$6-M722*H722)&gt;=0.5*H722, M722, M722-1))*$K$5))</f>
        <v/>
      </c>
      <c r="P722" s="84">
        <f>IF(L722&lt;=0, 0, INT($G$8/L722))</f>
        <v/>
      </c>
      <c r="Q722" s="95">
        <f>MIN(O722, P722)</f>
        <v/>
      </c>
      <c r="R722" s="96">
        <f>ROUND((Q722*L722)/1000, 2)</f>
        <v/>
      </c>
      <c r="S722" s="85">
        <f>IF($C$8&gt;0, R722/$C$8, 0)</f>
        <v/>
      </c>
      <c r="T722" s="85">
        <f>IF(O722&gt;0, Q722/O722, 0)</f>
        <v/>
      </c>
      <c r="U722" s="18">
        <f>IF(Q722=0, "Exceeds Limit", IF(P722&lt;=O722, "Weight Limited", "Volume Limited"))</f>
        <v/>
      </c>
      <c r="V722" s="100">
        <f>B722&amp;"|"&amp;D722&amp;"|"&amp;F722</f>
        <v/>
      </c>
    </row>
    <row r="723" ht="19" customHeight="1">
      <c r="A723" s="93" t="n">
        <v>713</v>
      </c>
      <c r="B723" s="101" t="inlineStr">
        <is>
          <t>Stainless Steel 304</t>
        </is>
      </c>
      <c r="C723" s="13" t="inlineStr">
        <is>
          <t>ASME B36.19M / B36.10M</t>
        </is>
      </c>
      <c r="D723" s="12" t="inlineStr">
        <is>
          <t>22''</t>
        </is>
      </c>
      <c r="E723" s="93" t="n">
        <v>550</v>
      </c>
      <c r="F723" s="12" t="inlineStr">
        <is>
          <t>140</t>
        </is>
      </c>
      <c r="G723" s="14" t="n">
        <v>22</v>
      </c>
      <c r="H723" s="78" t="n">
        <v>558.8</v>
      </c>
      <c r="I723" s="14" t="n">
        <v>1.875</v>
      </c>
      <c r="J723" s="78" t="n">
        <v>47.62</v>
      </c>
      <c r="K723" s="14">
        <f>ROUND((H723-J723)*J723*IF(B723="Carbon Steel",$K$7,IF(B723="Stainless Steel 304",$K$8,$L$8)), 3)</f>
        <v/>
      </c>
      <c r="L723" s="78">
        <f>ROUND(K723*$G$5, 2)</f>
        <v/>
      </c>
      <c r="M723" s="93">
        <f>INT($G$6/H723)</f>
        <v/>
      </c>
      <c r="N723" s="93">
        <f>IF(M723=0, 0, IF(OR($K$6="Square Grid", M723=1), INT($G$7/H723), IF($G$7&lt;H723, 0, 1+INT(($G$7-H723)/(0.8660254*H723)))))</f>
        <v/>
      </c>
      <c r="O723" s="59">
        <f>IF(OR(M723=0,N723=0), 0, IF(OR($K$6="Square Grid", M723=1), M723*N723*$K$5, (INT((N723+1)/2)*M723 + INT(N723/2)*IF(($G$6-M723*H723)&gt;=0.5*H723, M723, M723-1))*$K$5))</f>
        <v/>
      </c>
      <c r="P723" s="59">
        <f>IF(L723&lt;=0, 0, INT($G$8/L723))</f>
        <v/>
      </c>
      <c r="Q723" s="95">
        <f>MIN(O723, P723)</f>
        <v/>
      </c>
      <c r="R723" s="96">
        <f>ROUND((Q723*L723)/1000, 2)</f>
        <v/>
      </c>
      <c r="S723" s="79">
        <f>IF($C$8&gt;0, R723/$C$8, 0)</f>
        <v/>
      </c>
      <c r="T723" s="79">
        <f>IF(O723&gt;0, Q723/O723, 0)</f>
        <v/>
      </c>
      <c r="U723" s="12">
        <f>IF(Q723=0, "Exceeds Limit", IF(P723&lt;=O723, "Weight Limited", "Volume Limited"))</f>
        <v/>
      </c>
      <c r="V723" s="97">
        <f>B723&amp;"|"&amp;D723&amp;"|"&amp;F723</f>
        <v/>
      </c>
    </row>
    <row r="724" ht="19" customHeight="1">
      <c r="A724" s="98" t="n">
        <v>714</v>
      </c>
      <c r="B724" s="102" t="inlineStr">
        <is>
          <t>Stainless Steel 304</t>
        </is>
      </c>
      <c r="C724" s="19" t="inlineStr">
        <is>
          <t>ASME B36.19M / B36.10M</t>
        </is>
      </c>
      <c r="D724" s="18" t="inlineStr">
        <is>
          <t>22''</t>
        </is>
      </c>
      <c r="E724" s="98" t="n">
        <v>550</v>
      </c>
      <c r="F724" s="18" t="inlineStr">
        <is>
          <t>160</t>
        </is>
      </c>
      <c r="G724" s="20" t="n">
        <v>22</v>
      </c>
      <c r="H724" s="82" t="n">
        <v>558.8</v>
      </c>
      <c r="I724" s="20" t="n">
        <v>2.125</v>
      </c>
      <c r="J724" s="82" t="n">
        <v>53.97</v>
      </c>
      <c r="K724" s="20">
        <f>ROUND((H724-J724)*J724*IF(B724="Carbon Steel",$K$7,IF(B724="Stainless Steel 304",$K$8,$L$8)), 3)</f>
        <v/>
      </c>
      <c r="L724" s="82">
        <f>ROUND(K724*$G$5, 2)</f>
        <v/>
      </c>
      <c r="M724" s="98">
        <f>INT($G$6/H724)</f>
        <v/>
      </c>
      <c r="N724" s="98">
        <f>IF(M724=0, 0, IF(OR($K$6="Square Grid", M724=1), INT($G$7/H724), IF($G$7&lt;H724, 0, 1+INT(($G$7-H724)/(0.8660254*H724)))))</f>
        <v/>
      </c>
      <c r="O724" s="84">
        <f>IF(OR(M724=0,N724=0), 0, IF(OR($K$6="Square Grid", M724=1), M724*N724*$K$5, (INT((N724+1)/2)*M724 + INT(N724/2)*IF(($G$6-M724*H724)&gt;=0.5*H724, M724, M724-1))*$K$5))</f>
        <v/>
      </c>
      <c r="P724" s="84">
        <f>IF(L724&lt;=0, 0, INT($G$8/L724))</f>
        <v/>
      </c>
      <c r="Q724" s="95">
        <f>MIN(O724, P724)</f>
        <v/>
      </c>
      <c r="R724" s="96">
        <f>ROUND((Q724*L724)/1000, 2)</f>
        <v/>
      </c>
      <c r="S724" s="85">
        <f>IF($C$8&gt;0, R724/$C$8, 0)</f>
        <v/>
      </c>
      <c r="T724" s="85">
        <f>IF(O724&gt;0, Q724/O724, 0)</f>
        <v/>
      </c>
      <c r="U724" s="18">
        <f>IF(Q724=0, "Exceeds Limit", IF(P724&lt;=O724, "Weight Limited", "Volume Limited"))</f>
        <v/>
      </c>
      <c r="V724" s="100">
        <f>B724&amp;"|"&amp;D724&amp;"|"&amp;F724</f>
        <v/>
      </c>
    </row>
    <row r="725" ht="19" customHeight="1">
      <c r="A725" s="93" t="n">
        <v>715</v>
      </c>
      <c r="B725" s="101" t="inlineStr">
        <is>
          <t>Stainless Steel 304</t>
        </is>
      </c>
      <c r="C725" s="13" t="inlineStr">
        <is>
          <t>ASME B36.19M / B36.10M</t>
        </is>
      </c>
      <c r="D725" s="12" t="inlineStr">
        <is>
          <t>24''</t>
        </is>
      </c>
      <c r="E725" s="93" t="n">
        <v>600</v>
      </c>
      <c r="F725" s="12" t="inlineStr">
        <is>
          <t>5S</t>
        </is>
      </c>
      <c r="G725" s="14" t="n">
        <v>24</v>
      </c>
      <c r="H725" s="78" t="n">
        <v>609.6</v>
      </c>
      <c r="I725" s="14" t="n">
        <v>0.218</v>
      </c>
      <c r="J725" s="78" t="n">
        <v>5.54</v>
      </c>
      <c r="K725" s="14">
        <f>ROUND((H725-J725)*J725*IF(B725="Carbon Steel",$K$7,IF(B725="Stainless Steel 304",$K$8,$L$8)), 3)</f>
        <v/>
      </c>
      <c r="L725" s="78">
        <f>ROUND(K725*$G$5, 2)</f>
        <v/>
      </c>
      <c r="M725" s="93">
        <f>INT($G$6/H725)</f>
        <v/>
      </c>
      <c r="N725" s="93">
        <f>IF(M725=0, 0, IF(OR($K$6="Square Grid", M725=1), INT($G$7/H725), IF($G$7&lt;H725, 0, 1+INT(($G$7-H725)/(0.8660254*H725)))))</f>
        <v/>
      </c>
      <c r="O725" s="59">
        <f>IF(OR(M725=0,N725=0), 0, IF(OR($K$6="Square Grid", M725=1), M725*N725*$K$5, (INT((N725+1)/2)*M725 + INT(N725/2)*IF(($G$6-M725*H725)&gt;=0.5*H725, M725, M725-1))*$K$5))</f>
        <v/>
      </c>
      <c r="P725" s="59">
        <f>IF(L725&lt;=0, 0, INT($G$8/L725))</f>
        <v/>
      </c>
      <c r="Q725" s="95">
        <f>MIN(O725, P725)</f>
        <v/>
      </c>
      <c r="R725" s="96">
        <f>ROUND((Q725*L725)/1000, 2)</f>
        <v/>
      </c>
      <c r="S725" s="79">
        <f>IF($C$8&gt;0, R725/$C$8, 0)</f>
        <v/>
      </c>
      <c r="T725" s="79">
        <f>IF(O725&gt;0, Q725/O725, 0)</f>
        <v/>
      </c>
      <c r="U725" s="12">
        <f>IF(Q725=0, "Exceeds Limit", IF(P725&lt;=O725, "Weight Limited", "Volume Limited"))</f>
        <v/>
      </c>
      <c r="V725" s="97">
        <f>B725&amp;"|"&amp;D725&amp;"|"&amp;F725</f>
        <v/>
      </c>
    </row>
    <row r="726" ht="19" customHeight="1">
      <c r="A726" s="98" t="n">
        <v>716</v>
      </c>
      <c r="B726" s="102" t="inlineStr">
        <is>
          <t>Stainless Steel 304</t>
        </is>
      </c>
      <c r="C726" s="19" t="inlineStr">
        <is>
          <t>ASME B36.19M / B36.10M</t>
        </is>
      </c>
      <c r="D726" s="18" t="inlineStr">
        <is>
          <t>24''</t>
        </is>
      </c>
      <c r="E726" s="98" t="n">
        <v>600</v>
      </c>
      <c r="F726" s="18" t="inlineStr">
        <is>
          <t>5</t>
        </is>
      </c>
      <c r="G726" s="20" t="n">
        <v>24</v>
      </c>
      <c r="H726" s="82" t="n">
        <v>609.6</v>
      </c>
      <c r="I726" s="20" t="n">
        <v>0.218</v>
      </c>
      <c r="J726" s="82" t="n">
        <v>5.54</v>
      </c>
      <c r="K726" s="20">
        <f>ROUND((H726-J726)*J726*IF(B726="Carbon Steel",$K$7,IF(B726="Stainless Steel 304",$K$8,$L$8)), 3)</f>
        <v/>
      </c>
      <c r="L726" s="82">
        <f>ROUND(K726*$G$5, 2)</f>
        <v/>
      </c>
      <c r="M726" s="98">
        <f>INT($G$6/H726)</f>
        <v/>
      </c>
      <c r="N726" s="98">
        <f>IF(M726=0, 0, IF(OR($K$6="Square Grid", M726=1), INT($G$7/H726), IF($G$7&lt;H726, 0, 1+INT(($G$7-H726)/(0.8660254*H726)))))</f>
        <v/>
      </c>
      <c r="O726" s="84">
        <f>IF(OR(M726=0,N726=0), 0, IF(OR($K$6="Square Grid", M726=1), M726*N726*$K$5, (INT((N726+1)/2)*M726 + INT(N726/2)*IF(($G$6-M726*H726)&gt;=0.5*H726, M726, M726-1))*$K$5))</f>
        <v/>
      </c>
      <c r="P726" s="84">
        <f>IF(L726&lt;=0, 0, INT($G$8/L726))</f>
        <v/>
      </c>
      <c r="Q726" s="95">
        <f>MIN(O726, P726)</f>
        <v/>
      </c>
      <c r="R726" s="96">
        <f>ROUND((Q726*L726)/1000, 2)</f>
        <v/>
      </c>
      <c r="S726" s="85">
        <f>IF($C$8&gt;0, R726/$C$8, 0)</f>
        <v/>
      </c>
      <c r="T726" s="85">
        <f>IF(O726&gt;0, Q726/O726, 0)</f>
        <v/>
      </c>
      <c r="U726" s="18">
        <f>IF(Q726=0, "Exceeds Limit", IF(P726&lt;=O726, "Weight Limited", "Volume Limited"))</f>
        <v/>
      </c>
      <c r="V726" s="100">
        <f>B726&amp;"|"&amp;D726&amp;"|"&amp;F726</f>
        <v/>
      </c>
    </row>
    <row r="727" ht="19" customHeight="1">
      <c r="A727" s="93" t="n">
        <v>717</v>
      </c>
      <c r="B727" s="101" t="inlineStr">
        <is>
          <t>Stainless Steel 304</t>
        </is>
      </c>
      <c r="C727" s="13" t="inlineStr">
        <is>
          <t>ASME B36.19M / B36.10M</t>
        </is>
      </c>
      <c r="D727" s="12" t="inlineStr">
        <is>
          <t>24''</t>
        </is>
      </c>
      <c r="E727" s="93" t="n">
        <v>600</v>
      </c>
      <c r="F727" s="12" t="inlineStr">
        <is>
          <t>10S</t>
        </is>
      </c>
      <c r="G727" s="14" t="n">
        <v>24</v>
      </c>
      <c r="H727" s="78" t="n">
        <v>609.6</v>
      </c>
      <c r="I727" s="14" t="n">
        <v>0.25</v>
      </c>
      <c r="J727" s="78" t="n">
        <v>6.35</v>
      </c>
      <c r="K727" s="14">
        <f>ROUND((H727-J727)*J727*IF(B727="Carbon Steel",$K$7,IF(B727="Stainless Steel 304",$K$8,$L$8)), 3)</f>
        <v/>
      </c>
      <c r="L727" s="78">
        <f>ROUND(K727*$G$5, 2)</f>
        <v/>
      </c>
      <c r="M727" s="93">
        <f>INT($G$6/H727)</f>
        <v/>
      </c>
      <c r="N727" s="93">
        <f>IF(M727=0, 0, IF(OR($K$6="Square Grid", M727=1), INT($G$7/H727), IF($G$7&lt;H727, 0, 1+INT(($G$7-H727)/(0.8660254*H727)))))</f>
        <v/>
      </c>
      <c r="O727" s="59">
        <f>IF(OR(M727=0,N727=0), 0, IF(OR($K$6="Square Grid", M727=1), M727*N727*$K$5, (INT((N727+1)/2)*M727 + INT(N727/2)*IF(($G$6-M727*H727)&gt;=0.5*H727, M727, M727-1))*$K$5))</f>
        <v/>
      </c>
      <c r="P727" s="59">
        <f>IF(L727&lt;=0, 0, INT($G$8/L727))</f>
        <v/>
      </c>
      <c r="Q727" s="95">
        <f>MIN(O727, P727)</f>
        <v/>
      </c>
      <c r="R727" s="96">
        <f>ROUND((Q727*L727)/1000, 2)</f>
        <v/>
      </c>
      <c r="S727" s="79">
        <f>IF($C$8&gt;0, R727/$C$8, 0)</f>
        <v/>
      </c>
      <c r="T727" s="79">
        <f>IF(O727&gt;0, Q727/O727, 0)</f>
        <v/>
      </c>
      <c r="U727" s="12">
        <f>IF(Q727=0, "Exceeds Limit", IF(P727&lt;=O727, "Weight Limited", "Volume Limited"))</f>
        <v/>
      </c>
      <c r="V727" s="97">
        <f>B727&amp;"|"&amp;D727&amp;"|"&amp;F727</f>
        <v/>
      </c>
    </row>
    <row r="728" ht="19" customHeight="1">
      <c r="A728" s="98" t="n">
        <v>718</v>
      </c>
      <c r="B728" s="102" t="inlineStr">
        <is>
          <t>Stainless Steel 304</t>
        </is>
      </c>
      <c r="C728" s="19" t="inlineStr">
        <is>
          <t>ASME B36.19M / B36.10M</t>
        </is>
      </c>
      <c r="D728" s="18" t="inlineStr">
        <is>
          <t>24''</t>
        </is>
      </c>
      <c r="E728" s="98" t="n">
        <v>600</v>
      </c>
      <c r="F728" s="18" t="inlineStr">
        <is>
          <t>10</t>
        </is>
      </c>
      <c r="G728" s="20" t="n">
        <v>24</v>
      </c>
      <c r="H728" s="82" t="n">
        <v>609.6</v>
      </c>
      <c r="I728" s="20" t="n">
        <v>0.25</v>
      </c>
      <c r="J728" s="82" t="n">
        <v>6.35</v>
      </c>
      <c r="K728" s="20">
        <f>ROUND((H728-J728)*J728*IF(B728="Carbon Steel",$K$7,IF(B728="Stainless Steel 304",$K$8,$L$8)), 3)</f>
        <v/>
      </c>
      <c r="L728" s="82">
        <f>ROUND(K728*$G$5, 2)</f>
        <v/>
      </c>
      <c r="M728" s="98">
        <f>INT($G$6/H728)</f>
        <v/>
      </c>
      <c r="N728" s="98">
        <f>IF(M728=0, 0, IF(OR($K$6="Square Grid", M728=1), INT($G$7/H728), IF($G$7&lt;H728, 0, 1+INT(($G$7-H728)/(0.8660254*H728)))))</f>
        <v/>
      </c>
      <c r="O728" s="84">
        <f>IF(OR(M728=0,N728=0), 0, IF(OR($K$6="Square Grid", M728=1), M728*N728*$K$5, (INT((N728+1)/2)*M728 + INT(N728/2)*IF(($G$6-M728*H728)&gt;=0.5*H728, M728, M728-1))*$K$5))</f>
        <v/>
      </c>
      <c r="P728" s="84">
        <f>IF(L728&lt;=0, 0, INT($G$8/L728))</f>
        <v/>
      </c>
      <c r="Q728" s="95">
        <f>MIN(O728, P728)</f>
        <v/>
      </c>
      <c r="R728" s="96">
        <f>ROUND((Q728*L728)/1000, 2)</f>
        <v/>
      </c>
      <c r="S728" s="85">
        <f>IF($C$8&gt;0, R728/$C$8, 0)</f>
        <v/>
      </c>
      <c r="T728" s="85">
        <f>IF(O728&gt;0, Q728/O728, 0)</f>
        <v/>
      </c>
      <c r="U728" s="18">
        <f>IF(Q728=0, "Exceeds Limit", IF(P728&lt;=O728, "Weight Limited", "Volume Limited"))</f>
        <v/>
      </c>
      <c r="V728" s="100">
        <f>B728&amp;"|"&amp;D728&amp;"|"&amp;F728</f>
        <v/>
      </c>
    </row>
    <row r="729" ht="19" customHeight="1">
      <c r="A729" s="93" t="n">
        <v>719</v>
      </c>
      <c r="B729" s="101" t="inlineStr">
        <is>
          <t>Stainless Steel 304</t>
        </is>
      </c>
      <c r="C729" s="13" t="inlineStr">
        <is>
          <t>ASME B36.19M / B36.10M</t>
        </is>
      </c>
      <c r="D729" s="12" t="inlineStr">
        <is>
          <t>24''</t>
        </is>
      </c>
      <c r="E729" s="93" t="n">
        <v>600</v>
      </c>
      <c r="F729" s="12" t="inlineStr">
        <is>
          <t>20</t>
        </is>
      </c>
      <c r="G729" s="14" t="n">
        <v>24</v>
      </c>
      <c r="H729" s="78" t="n">
        <v>609.6</v>
      </c>
      <c r="I729" s="14" t="n">
        <v>0.375</v>
      </c>
      <c r="J729" s="78" t="n">
        <v>9.52</v>
      </c>
      <c r="K729" s="14">
        <f>ROUND((H729-J729)*J729*IF(B729="Carbon Steel",$K$7,IF(B729="Stainless Steel 304",$K$8,$L$8)), 3)</f>
        <v/>
      </c>
      <c r="L729" s="78">
        <f>ROUND(K729*$G$5, 2)</f>
        <v/>
      </c>
      <c r="M729" s="93">
        <f>INT($G$6/H729)</f>
        <v/>
      </c>
      <c r="N729" s="93">
        <f>IF(M729=0, 0, IF(OR($K$6="Square Grid", M729=1), INT($G$7/H729), IF($G$7&lt;H729, 0, 1+INT(($G$7-H729)/(0.8660254*H729)))))</f>
        <v/>
      </c>
      <c r="O729" s="59">
        <f>IF(OR(M729=0,N729=0), 0, IF(OR($K$6="Square Grid", M729=1), M729*N729*$K$5, (INT((N729+1)/2)*M729 + INT(N729/2)*IF(($G$6-M729*H729)&gt;=0.5*H729, M729, M729-1))*$K$5))</f>
        <v/>
      </c>
      <c r="P729" s="59">
        <f>IF(L729&lt;=0, 0, INT($G$8/L729))</f>
        <v/>
      </c>
      <c r="Q729" s="95">
        <f>MIN(O729, P729)</f>
        <v/>
      </c>
      <c r="R729" s="96">
        <f>ROUND((Q729*L729)/1000, 2)</f>
        <v/>
      </c>
      <c r="S729" s="79">
        <f>IF($C$8&gt;0, R729/$C$8, 0)</f>
        <v/>
      </c>
      <c r="T729" s="79">
        <f>IF(O729&gt;0, Q729/O729, 0)</f>
        <v/>
      </c>
      <c r="U729" s="12">
        <f>IF(Q729=0, "Exceeds Limit", IF(P729&lt;=O729, "Weight Limited", "Volume Limited"))</f>
        <v/>
      </c>
      <c r="V729" s="97">
        <f>B729&amp;"|"&amp;D729&amp;"|"&amp;F729</f>
        <v/>
      </c>
    </row>
    <row r="730" ht="19" customHeight="1">
      <c r="A730" s="98" t="n">
        <v>720</v>
      </c>
      <c r="B730" s="102" t="inlineStr">
        <is>
          <t>Stainless Steel 304</t>
        </is>
      </c>
      <c r="C730" s="19" t="inlineStr">
        <is>
          <t>ASME B36.19M / B36.10M</t>
        </is>
      </c>
      <c r="D730" s="18" t="inlineStr">
        <is>
          <t>24''</t>
        </is>
      </c>
      <c r="E730" s="98" t="n">
        <v>600</v>
      </c>
      <c r="F730" s="18" t="inlineStr">
        <is>
          <t>30</t>
        </is>
      </c>
      <c r="G730" s="20" t="n">
        <v>24</v>
      </c>
      <c r="H730" s="82" t="n">
        <v>609.6</v>
      </c>
      <c r="I730" s="20" t="n">
        <v>0.5620000000000001</v>
      </c>
      <c r="J730" s="82" t="n">
        <v>14.27</v>
      </c>
      <c r="K730" s="20">
        <f>ROUND((H730-J730)*J730*IF(B730="Carbon Steel",$K$7,IF(B730="Stainless Steel 304",$K$8,$L$8)), 3)</f>
        <v/>
      </c>
      <c r="L730" s="82">
        <f>ROUND(K730*$G$5, 2)</f>
        <v/>
      </c>
      <c r="M730" s="98">
        <f>INT($G$6/H730)</f>
        <v/>
      </c>
      <c r="N730" s="98">
        <f>IF(M730=0, 0, IF(OR($K$6="Square Grid", M730=1), INT($G$7/H730), IF($G$7&lt;H730, 0, 1+INT(($G$7-H730)/(0.8660254*H730)))))</f>
        <v/>
      </c>
      <c r="O730" s="84">
        <f>IF(OR(M730=0,N730=0), 0, IF(OR($K$6="Square Grid", M730=1), M730*N730*$K$5, (INT((N730+1)/2)*M730 + INT(N730/2)*IF(($G$6-M730*H730)&gt;=0.5*H730, M730, M730-1))*$K$5))</f>
        <v/>
      </c>
      <c r="P730" s="84">
        <f>IF(L730&lt;=0, 0, INT($G$8/L730))</f>
        <v/>
      </c>
      <c r="Q730" s="95">
        <f>MIN(O730, P730)</f>
        <v/>
      </c>
      <c r="R730" s="96">
        <f>ROUND((Q730*L730)/1000, 2)</f>
        <v/>
      </c>
      <c r="S730" s="85">
        <f>IF($C$8&gt;0, R730/$C$8, 0)</f>
        <v/>
      </c>
      <c r="T730" s="85">
        <f>IF(O730&gt;0, Q730/O730, 0)</f>
        <v/>
      </c>
      <c r="U730" s="18">
        <f>IF(Q730=0, "Exceeds Limit", IF(P730&lt;=O730, "Weight Limited", "Volume Limited"))</f>
        <v/>
      </c>
      <c r="V730" s="100">
        <f>B730&amp;"|"&amp;D730&amp;"|"&amp;F730</f>
        <v/>
      </c>
    </row>
    <row r="731" ht="19" customHeight="1">
      <c r="A731" s="93" t="n">
        <v>721</v>
      </c>
      <c r="B731" s="101" t="inlineStr">
        <is>
          <t>Stainless Steel 304</t>
        </is>
      </c>
      <c r="C731" s="13" t="inlineStr">
        <is>
          <t>ASME B36.19M / B36.10M</t>
        </is>
      </c>
      <c r="D731" s="12" t="inlineStr">
        <is>
          <t>24''</t>
        </is>
      </c>
      <c r="E731" s="93" t="n">
        <v>600</v>
      </c>
      <c r="F731" s="12" t="inlineStr">
        <is>
          <t>40S</t>
        </is>
      </c>
      <c r="G731" s="14" t="n">
        <v>24</v>
      </c>
      <c r="H731" s="78" t="n">
        <v>609.6</v>
      </c>
      <c r="I731" s="14" t="n">
        <v>0.375</v>
      </c>
      <c r="J731" s="78" t="n">
        <v>9.52</v>
      </c>
      <c r="K731" s="14">
        <f>ROUND((H731-J731)*J731*IF(B731="Carbon Steel",$K$7,IF(B731="Stainless Steel 304",$K$8,$L$8)), 3)</f>
        <v/>
      </c>
      <c r="L731" s="78">
        <f>ROUND(K731*$G$5, 2)</f>
        <v/>
      </c>
      <c r="M731" s="93">
        <f>INT($G$6/H731)</f>
        <v/>
      </c>
      <c r="N731" s="93">
        <f>IF(M731=0, 0, IF(OR($K$6="Square Grid", M731=1), INT($G$7/H731), IF($G$7&lt;H731, 0, 1+INT(($G$7-H731)/(0.8660254*H731)))))</f>
        <v/>
      </c>
      <c r="O731" s="59">
        <f>IF(OR(M731=0,N731=0), 0, IF(OR($K$6="Square Grid", M731=1), M731*N731*$K$5, (INT((N731+1)/2)*M731 + INT(N731/2)*IF(($G$6-M731*H731)&gt;=0.5*H731, M731, M731-1))*$K$5))</f>
        <v/>
      </c>
      <c r="P731" s="59">
        <f>IF(L731&lt;=0, 0, INT($G$8/L731))</f>
        <v/>
      </c>
      <c r="Q731" s="95">
        <f>MIN(O731, P731)</f>
        <v/>
      </c>
      <c r="R731" s="96">
        <f>ROUND((Q731*L731)/1000, 2)</f>
        <v/>
      </c>
      <c r="S731" s="79">
        <f>IF($C$8&gt;0, R731/$C$8, 0)</f>
        <v/>
      </c>
      <c r="T731" s="79">
        <f>IF(O731&gt;0, Q731/O731, 0)</f>
        <v/>
      </c>
      <c r="U731" s="12">
        <f>IF(Q731=0, "Exceeds Limit", IF(P731&lt;=O731, "Weight Limited", "Volume Limited"))</f>
        <v/>
      </c>
      <c r="V731" s="97">
        <f>B731&amp;"|"&amp;D731&amp;"|"&amp;F731</f>
        <v/>
      </c>
    </row>
    <row r="732" ht="19" customHeight="1">
      <c r="A732" s="98" t="n">
        <v>722</v>
      </c>
      <c r="B732" s="102" t="inlineStr">
        <is>
          <t>Stainless Steel 304</t>
        </is>
      </c>
      <c r="C732" s="19" t="inlineStr">
        <is>
          <t>ASME B36.19M / B36.10M</t>
        </is>
      </c>
      <c r="D732" s="18" t="inlineStr">
        <is>
          <t>24''</t>
        </is>
      </c>
      <c r="E732" s="98" t="n">
        <v>600</v>
      </c>
      <c r="F732" s="18" t="inlineStr">
        <is>
          <t>STD</t>
        </is>
      </c>
      <c r="G732" s="20" t="n">
        <v>24</v>
      </c>
      <c r="H732" s="82" t="n">
        <v>609.6</v>
      </c>
      <c r="I732" s="20" t="n">
        <v>0.375</v>
      </c>
      <c r="J732" s="82" t="n">
        <v>9.52</v>
      </c>
      <c r="K732" s="20">
        <f>ROUND((H732-J732)*J732*IF(B732="Carbon Steel",$K$7,IF(B732="Stainless Steel 304",$K$8,$L$8)), 3)</f>
        <v/>
      </c>
      <c r="L732" s="82">
        <f>ROUND(K732*$G$5, 2)</f>
        <v/>
      </c>
      <c r="M732" s="98">
        <f>INT($G$6/H732)</f>
        <v/>
      </c>
      <c r="N732" s="98">
        <f>IF(M732=0, 0, IF(OR($K$6="Square Grid", M732=1), INT($G$7/H732), IF($G$7&lt;H732, 0, 1+INT(($G$7-H732)/(0.8660254*H732)))))</f>
        <v/>
      </c>
      <c r="O732" s="84">
        <f>IF(OR(M732=0,N732=0), 0, IF(OR($K$6="Square Grid", M732=1), M732*N732*$K$5, (INT((N732+1)/2)*M732 + INT(N732/2)*IF(($G$6-M732*H732)&gt;=0.5*H732, M732, M732-1))*$K$5))</f>
        <v/>
      </c>
      <c r="P732" s="84">
        <f>IF(L732&lt;=0, 0, INT($G$8/L732))</f>
        <v/>
      </c>
      <c r="Q732" s="95">
        <f>MIN(O732, P732)</f>
        <v/>
      </c>
      <c r="R732" s="96">
        <f>ROUND((Q732*L732)/1000, 2)</f>
        <v/>
      </c>
      <c r="S732" s="85">
        <f>IF($C$8&gt;0, R732/$C$8, 0)</f>
        <v/>
      </c>
      <c r="T732" s="85">
        <f>IF(O732&gt;0, Q732/O732, 0)</f>
        <v/>
      </c>
      <c r="U732" s="18">
        <f>IF(Q732=0, "Exceeds Limit", IF(P732&lt;=O732, "Weight Limited", "Volume Limited"))</f>
        <v/>
      </c>
      <c r="V732" s="100">
        <f>B732&amp;"|"&amp;D732&amp;"|"&amp;F732</f>
        <v/>
      </c>
    </row>
    <row r="733" ht="19" customHeight="1">
      <c r="A733" s="93" t="n">
        <v>723</v>
      </c>
      <c r="B733" s="101" t="inlineStr">
        <is>
          <t>Stainless Steel 304</t>
        </is>
      </c>
      <c r="C733" s="13" t="inlineStr">
        <is>
          <t>ASME B36.19M / B36.10M</t>
        </is>
      </c>
      <c r="D733" s="12" t="inlineStr">
        <is>
          <t>24''</t>
        </is>
      </c>
      <c r="E733" s="93" t="n">
        <v>600</v>
      </c>
      <c r="F733" s="12" t="inlineStr">
        <is>
          <t>40</t>
        </is>
      </c>
      <c r="G733" s="14" t="n">
        <v>24</v>
      </c>
      <c r="H733" s="78" t="n">
        <v>609.6</v>
      </c>
      <c r="I733" s="14" t="n">
        <v>0.6879999999999999</v>
      </c>
      <c r="J733" s="78" t="n">
        <v>17.48</v>
      </c>
      <c r="K733" s="14">
        <f>ROUND((H733-J733)*J733*IF(B733="Carbon Steel",$K$7,IF(B733="Stainless Steel 304",$K$8,$L$8)), 3)</f>
        <v/>
      </c>
      <c r="L733" s="78">
        <f>ROUND(K733*$G$5, 2)</f>
        <v/>
      </c>
      <c r="M733" s="93">
        <f>INT($G$6/H733)</f>
        <v/>
      </c>
      <c r="N733" s="93">
        <f>IF(M733=0, 0, IF(OR($K$6="Square Grid", M733=1), INT($G$7/H733), IF($G$7&lt;H733, 0, 1+INT(($G$7-H733)/(0.8660254*H733)))))</f>
        <v/>
      </c>
      <c r="O733" s="59">
        <f>IF(OR(M733=0,N733=0), 0, IF(OR($K$6="Square Grid", M733=1), M733*N733*$K$5, (INT((N733+1)/2)*M733 + INT(N733/2)*IF(($G$6-M733*H733)&gt;=0.5*H733, M733, M733-1))*$K$5))</f>
        <v/>
      </c>
      <c r="P733" s="59">
        <f>IF(L733&lt;=0, 0, INT($G$8/L733))</f>
        <v/>
      </c>
      <c r="Q733" s="95">
        <f>MIN(O733, P733)</f>
        <v/>
      </c>
      <c r="R733" s="96">
        <f>ROUND((Q733*L733)/1000, 2)</f>
        <v/>
      </c>
      <c r="S733" s="79">
        <f>IF($C$8&gt;0, R733/$C$8, 0)</f>
        <v/>
      </c>
      <c r="T733" s="79">
        <f>IF(O733&gt;0, Q733/O733, 0)</f>
        <v/>
      </c>
      <c r="U733" s="12">
        <f>IF(Q733=0, "Exceeds Limit", IF(P733&lt;=O733, "Weight Limited", "Volume Limited"))</f>
        <v/>
      </c>
      <c r="V733" s="97">
        <f>B733&amp;"|"&amp;D733&amp;"|"&amp;F733</f>
        <v/>
      </c>
    </row>
    <row r="734" ht="19" customHeight="1">
      <c r="A734" s="98" t="n">
        <v>724</v>
      </c>
      <c r="B734" s="102" t="inlineStr">
        <is>
          <t>Stainless Steel 304</t>
        </is>
      </c>
      <c r="C734" s="19" t="inlineStr">
        <is>
          <t>ASME B36.19M / B36.10M</t>
        </is>
      </c>
      <c r="D734" s="18" t="inlineStr">
        <is>
          <t>24''</t>
        </is>
      </c>
      <c r="E734" s="98" t="n">
        <v>600</v>
      </c>
      <c r="F734" s="18" t="inlineStr">
        <is>
          <t>60</t>
        </is>
      </c>
      <c r="G734" s="20" t="n">
        <v>24</v>
      </c>
      <c r="H734" s="82" t="n">
        <v>609.6</v>
      </c>
      <c r="I734" s="20" t="n">
        <v>0.969</v>
      </c>
      <c r="J734" s="82" t="n">
        <v>24.61</v>
      </c>
      <c r="K734" s="20">
        <f>ROUND((H734-J734)*J734*IF(B734="Carbon Steel",$K$7,IF(B734="Stainless Steel 304",$K$8,$L$8)), 3)</f>
        <v/>
      </c>
      <c r="L734" s="82">
        <f>ROUND(K734*$G$5, 2)</f>
        <v/>
      </c>
      <c r="M734" s="98">
        <f>INT($G$6/H734)</f>
        <v/>
      </c>
      <c r="N734" s="98">
        <f>IF(M734=0, 0, IF(OR($K$6="Square Grid", M734=1), INT($G$7/H734), IF($G$7&lt;H734, 0, 1+INT(($G$7-H734)/(0.8660254*H734)))))</f>
        <v/>
      </c>
      <c r="O734" s="84">
        <f>IF(OR(M734=0,N734=0), 0, IF(OR($K$6="Square Grid", M734=1), M734*N734*$K$5, (INT((N734+1)/2)*M734 + INT(N734/2)*IF(($G$6-M734*H734)&gt;=0.5*H734, M734, M734-1))*$K$5))</f>
        <v/>
      </c>
      <c r="P734" s="84">
        <f>IF(L734&lt;=0, 0, INT($G$8/L734))</f>
        <v/>
      </c>
      <c r="Q734" s="95">
        <f>MIN(O734, P734)</f>
        <v/>
      </c>
      <c r="R734" s="96">
        <f>ROUND((Q734*L734)/1000, 2)</f>
        <v/>
      </c>
      <c r="S734" s="85">
        <f>IF($C$8&gt;0, R734/$C$8, 0)</f>
        <v/>
      </c>
      <c r="T734" s="85">
        <f>IF(O734&gt;0, Q734/O734, 0)</f>
        <v/>
      </c>
      <c r="U734" s="18">
        <f>IF(Q734=0, "Exceeds Limit", IF(P734&lt;=O734, "Weight Limited", "Volume Limited"))</f>
        <v/>
      </c>
      <c r="V734" s="100">
        <f>B734&amp;"|"&amp;D734&amp;"|"&amp;F734</f>
        <v/>
      </c>
    </row>
    <row r="735" ht="19" customHeight="1">
      <c r="A735" s="93" t="n">
        <v>725</v>
      </c>
      <c r="B735" s="101" t="inlineStr">
        <is>
          <t>Stainless Steel 304</t>
        </is>
      </c>
      <c r="C735" s="13" t="inlineStr">
        <is>
          <t>ASME B36.19M / B36.10M</t>
        </is>
      </c>
      <c r="D735" s="12" t="inlineStr">
        <is>
          <t>24''</t>
        </is>
      </c>
      <c r="E735" s="93" t="n">
        <v>600</v>
      </c>
      <c r="F735" s="12" t="inlineStr">
        <is>
          <t>80S</t>
        </is>
      </c>
      <c r="G735" s="14" t="n">
        <v>24</v>
      </c>
      <c r="H735" s="78" t="n">
        <v>609.6</v>
      </c>
      <c r="I735" s="14" t="n">
        <v>0.5</v>
      </c>
      <c r="J735" s="78" t="n">
        <v>12.7</v>
      </c>
      <c r="K735" s="14">
        <f>ROUND((H735-J735)*J735*IF(B735="Carbon Steel",$K$7,IF(B735="Stainless Steel 304",$K$8,$L$8)), 3)</f>
        <v/>
      </c>
      <c r="L735" s="78">
        <f>ROUND(K735*$G$5, 2)</f>
        <v/>
      </c>
      <c r="M735" s="93">
        <f>INT($G$6/H735)</f>
        <v/>
      </c>
      <c r="N735" s="93">
        <f>IF(M735=0, 0, IF(OR($K$6="Square Grid", M735=1), INT($G$7/H735), IF($G$7&lt;H735, 0, 1+INT(($G$7-H735)/(0.8660254*H735)))))</f>
        <v/>
      </c>
      <c r="O735" s="59">
        <f>IF(OR(M735=0,N735=0), 0, IF(OR($K$6="Square Grid", M735=1), M735*N735*$K$5, (INT((N735+1)/2)*M735 + INT(N735/2)*IF(($G$6-M735*H735)&gt;=0.5*H735, M735, M735-1))*$K$5))</f>
        <v/>
      </c>
      <c r="P735" s="59">
        <f>IF(L735&lt;=0, 0, INT($G$8/L735))</f>
        <v/>
      </c>
      <c r="Q735" s="95">
        <f>MIN(O735, P735)</f>
        <v/>
      </c>
      <c r="R735" s="96">
        <f>ROUND((Q735*L735)/1000, 2)</f>
        <v/>
      </c>
      <c r="S735" s="79">
        <f>IF($C$8&gt;0, R735/$C$8, 0)</f>
        <v/>
      </c>
      <c r="T735" s="79">
        <f>IF(O735&gt;0, Q735/O735, 0)</f>
        <v/>
      </c>
      <c r="U735" s="12">
        <f>IF(Q735=0, "Exceeds Limit", IF(P735&lt;=O735, "Weight Limited", "Volume Limited"))</f>
        <v/>
      </c>
      <c r="V735" s="97">
        <f>B735&amp;"|"&amp;D735&amp;"|"&amp;F735</f>
        <v/>
      </c>
    </row>
    <row r="736" ht="19" customHeight="1">
      <c r="A736" s="98" t="n">
        <v>726</v>
      </c>
      <c r="B736" s="102" t="inlineStr">
        <is>
          <t>Stainless Steel 304</t>
        </is>
      </c>
      <c r="C736" s="19" t="inlineStr">
        <is>
          <t>ASME B36.19M / B36.10M</t>
        </is>
      </c>
      <c r="D736" s="18" t="inlineStr">
        <is>
          <t>24''</t>
        </is>
      </c>
      <c r="E736" s="98" t="n">
        <v>600</v>
      </c>
      <c r="F736" s="18" t="inlineStr">
        <is>
          <t>XS</t>
        </is>
      </c>
      <c r="G736" s="20" t="n">
        <v>24</v>
      </c>
      <c r="H736" s="82" t="n">
        <v>609.6</v>
      </c>
      <c r="I736" s="20" t="n">
        <v>0.5</v>
      </c>
      <c r="J736" s="82" t="n">
        <v>12.7</v>
      </c>
      <c r="K736" s="20">
        <f>ROUND((H736-J736)*J736*IF(B736="Carbon Steel",$K$7,IF(B736="Stainless Steel 304",$K$8,$L$8)), 3)</f>
        <v/>
      </c>
      <c r="L736" s="82">
        <f>ROUND(K736*$G$5, 2)</f>
        <v/>
      </c>
      <c r="M736" s="98">
        <f>INT($G$6/H736)</f>
        <v/>
      </c>
      <c r="N736" s="98">
        <f>IF(M736=0, 0, IF(OR($K$6="Square Grid", M736=1), INT($G$7/H736), IF($G$7&lt;H736, 0, 1+INT(($G$7-H736)/(0.8660254*H736)))))</f>
        <v/>
      </c>
      <c r="O736" s="84">
        <f>IF(OR(M736=0,N736=0), 0, IF(OR($K$6="Square Grid", M736=1), M736*N736*$K$5, (INT((N736+1)/2)*M736 + INT(N736/2)*IF(($G$6-M736*H736)&gt;=0.5*H736, M736, M736-1))*$K$5))</f>
        <v/>
      </c>
      <c r="P736" s="84">
        <f>IF(L736&lt;=0, 0, INT($G$8/L736))</f>
        <v/>
      </c>
      <c r="Q736" s="95">
        <f>MIN(O736, P736)</f>
        <v/>
      </c>
      <c r="R736" s="96">
        <f>ROUND((Q736*L736)/1000, 2)</f>
        <v/>
      </c>
      <c r="S736" s="85">
        <f>IF($C$8&gt;0, R736/$C$8, 0)</f>
        <v/>
      </c>
      <c r="T736" s="85">
        <f>IF(O736&gt;0, Q736/O736, 0)</f>
        <v/>
      </c>
      <c r="U736" s="18">
        <f>IF(Q736=0, "Exceeds Limit", IF(P736&lt;=O736, "Weight Limited", "Volume Limited"))</f>
        <v/>
      </c>
      <c r="V736" s="100">
        <f>B736&amp;"|"&amp;D736&amp;"|"&amp;F736</f>
        <v/>
      </c>
    </row>
    <row r="737" ht="19" customHeight="1">
      <c r="A737" s="93" t="n">
        <v>727</v>
      </c>
      <c r="B737" s="101" t="inlineStr">
        <is>
          <t>Stainless Steel 304</t>
        </is>
      </c>
      <c r="C737" s="13" t="inlineStr">
        <is>
          <t>ASME B36.19M / B36.10M</t>
        </is>
      </c>
      <c r="D737" s="12" t="inlineStr">
        <is>
          <t>24''</t>
        </is>
      </c>
      <c r="E737" s="93" t="n">
        <v>600</v>
      </c>
      <c r="F737" s="12" t="inlineStr">
        <is>
          <t>80</t>
        </is>
      </c>
      <c r="G737" s="14" t="n">
        <v>24</v>
      </c>
      <c r="H737" s="78" t="n">
        <v>609.6</v>
      </c>
      <c r="I737" s="14" t="n">
        <v>1.219</v>
      </c>
      <c r="J737" s="78" t="n">
        <v>30.96</v>
      </c>
      <c r="K737" s="14">
        <f>ROUND((H737-J737)*J737*IF(B737="Carbon Steel",$K$7,IF(B737="Stainless Steel 304",$K$8,$L$8)), 3)</f>
        <v/>
      </c>
      <c r="L737" s="78">
        <f>ROUND(K737*$G$5, 2)</f>
        <v/>
      </c>
      <c r="M737" s="93">
        <f>INT($G$6/H737)</f>
        <v/>
      </c>
      <c r="N737" s="93">
        <f>IF(M737=0, 0, IF(OR($K$6="Square Grid", M737=1), INT($G$7/H737), IF($G$7&lt;H737, 0, 1+INT(($G$7-H737)/(0.8660254*H737)))))</f>
        <v/>
      </c>
      <c r="O737" s="59">
        <f>IF(OR(M737=0,N737=0), 0, IF(OR($K$6="Square Grid", M737=1), M737*N737*$K$5, (INT((N737+1)/2)*M737 + INT(N737/2)*IF(($G$6-M737*H737)&gt;=0.5*H737, M737, M737-1))*$K$5))</f>
        <v/>
      </c>
      <c r="P737" s="59">
        <f>IF(L737&lt;=0, 0, INT($G$8/L737))</f>
        <v/>
      </c>
      <c r="Q737" s="95">
        <f>MIN(O737, P737)</f>
        <v/>
      </c>
      <c r="R737" s="96">
        <f>ROUND((Q737*L737)/1000, 2)</f>
        <v/>
      </c>
      <c r="S737" s="79">
        <f>IF($C$8&gt;0, R737/$C$8, 0)</f>
        <v/>
      </c>
      <c r="T737" s="79">
        <f>IF(O737&gt;0, Q737/O737, 0)</f>
        <v/>
      </c>
      <c r="U737" s="12">
        <f>IF(Q737=0, "Exceeds Limit", IF(P737&lt;=O737, "Weight Limited", "Volume Limited"))</f>
        <v/>
      </c>
      <c r="V737" s="97">
        <f>B737&amp;"|"&amp;D737&amp;"|"&amp;F737</f>
        <v/>
      </c>
    </row>
    <row r="738" ht="19" customHeight="1">
      <c r="A738" s="98" t="n">
        <v>728</v>
      </c>
      <c r="B738" s="102" t="inlineStr">
        <is>
          <t>Stainless Steel 304</t>
        </is>
      </c>
      <c r="C738" s="19" t="inlineStr">
        <is>
          <t>ASME B36.19M / B36.10M</t>
        </is>
      </c>
      <c r="D738" s="18" t="inlineStr">
        <is>
          <t>24''</t>
        </is>
      </c>
      <c r="E738" s="98" t="n">
        <v>600</v>
      </c>
      <c r="F738" s="18" t="inlineStr">
        <is>
          <t>100</t>
        </is>
      </c>
      <c r="G738" s="20" t="n">
        <v>24</v>
      </c>
      <c r="H738" s="82" t="n">
        <v>609.6</v>
      </c>
      <c r="I738" s="20" t="n">
        <v>1.531</v>
      </c>
      <c r="J738" s="82" t="n">
        <v>38.89</v>
      </c>
      <c r="K738" s="20">
        <f>ROUND((H738-J738)*J738*IF(B738="Carbon Steel",$K$7,IF(B738="Stainless Steel 304",$K$8,$L$8)), 3)</f>
        <v/>
      </c>
      <c r="L738" s="82">
        <f>ROUND(K738*$G$5, 2)</f>
        <v/>
      </c>
      <c r="M738" s="98">
        <f>INT($G$6/H738)</f>
        <v/>
      </c>
      <c r="N738" s="98">
        <f>IF(M738=0, 0, IF(OR($K$6="Square Grid", M738=1), INT($G$7/H738), IF($G$7&lt;H738, 0, 1+INT(($G$7-H738)/(0.8660254*H738)))))</f>
        <v/>
      </c>
      <c r="O738" s="84">
        <f>IF(OR(M738=0,N738=0), 0, IF(OR($K$6="Square Grid", M738=1), M738*N738*$K$5, (INT((N738+1)/2)*M738 + INT(N738/2)*IF(($G$6-M738*H738)&gt;=0.5*H738, M738, M738-1))*$K$5))</f>
        <v/>
      </c>
      <c r="P738" s="84">
        <f>IF(L738&lt;=0, 0, INT($G$8/L738))</f>
        <v/>
      </c>
      <c r="Q738" s="95">
        <f>MIN(O738, P738)</f>
        <v/>
      </c>
      <c r="R738" s="96">
        <f>ROUND((Q738*L738)/1000, 2)</f>
        <v/>
      </c>
      <c r="S738" s="85">
        <f>IF($C$8&gt;0, R738/$C$8, 0)</f>
        <v/>
      </c>
      <c r="T738" s="85">
        <f>IF(O738&gt;0, Q738/O738, 0)</f>
        <v/>
      </c>
      <c r="U738" s="18">
        <f>IF(Q738=0, "Exceeds Limit", IF(P738&lt;=O738, "Weight Limited", "Volume Limited"))</f>
        <v/>
      </c>
      <c r="V738" s="100">
        <f>B738&amp;"|"&amp;D738&amp;"|"&amp;F738</f>
        <v/>
      </c>
    </row>
    <row r="739" ht="19" customHeight="1">
      <c r="A739" s="93" t="n">
        <v>729</v>
      </c>
      <c r="B739" s="101" t="inlineStr">
        <is>
          <t>Stainless Steel 304</t>
        </is>
      </c>
      <c r="C739" s="13" t="inlineStr">
        <is>
          <t>ASME B36.19M / B36.10M</t>
        </is>
      </c>
      <c r="D739" s="12" t="inlineStr">
        <is>
          <t>24''</t>
        </is>
      </c>
      <c r="E739" s="93" t="n">
        <v>600</v>
      </c>
      <c r="F739" s="12" t="inlineStr">
        <is>
          <t>120</t>
        </is>
      </c>
      <c r="G739" s="14" t="n">
        <v>24</v>
      </c>
      <c r="H739" s="78" t="n">
        <v>609.6</v>
      </c>
      <c r="I739" s="14" t="n">
        <v>1.812</v>
      </c>
      <c r="J739" s="78" t="n">
        <v>46.02</v>
      </c>
      <c r="K739" s="14">
        <f>ROUND((H739-J739)*J739*IF(B739="Carbon Steel",$K$7,IF(B739="Stainless Steel 304",$K$8,$L$8)), 3)</f>
        <v/>
      </c>
      <c r="L739" s="78">
        <f>ROUND(K739*$G$5, 2)</f>
        <v/>
      </c>
      <c r="M739" s="93">
        <f>INT($G$6/H739)</f>
        <v/>
      </c>
      <c r="N739" s="93">
        <f>IF(M739=0, 0, IF(OR($K$6="Square Grid", M739=1), INT($G$7/H739), IF($G$7&lt;H739, 0, 1+INT(($G$7-H739)/(0.8660254*H739)))))</f>
        <v/>
      </c>
      <c r="O739" s="59">
        <f>IF(OR(M739=0,N739=0), 0, IF(OR($K$6="Square Grid", M739=1), M739*N739*$K$5, (INT((N739+1)/2)*M739 + INT(N739/2)*IF(($G$6-M739*H739)&gt;=0.5*H739, M739, M739-1))*$K$5))</f>
        <v/>
      </c>
      <c r="P739" s="59">
        <f>IF(L739&lt;=0, 0, INT($G$8/L739))</f>
        <v/>
      </c>
      <c r="Q739" s="95">
        <f>MIN(O739, P739)</f>
        <v/>
      </c>
      <c r="R739" s="96">
        <f>ROUND((Q739*L739)/1000, 2)</f>
        <v/>
      </c>
      <c r="S739" s="79">
        <f>IF($C$8&gt;0, R739/$C$8, 0)</f>
        <v/>
      </c>
      <c r="T739" s="79">
        <f>IF(O739&gt;0, Q739/O739, 0)</f>
        <v/>
      </c>
      <c r="U739" s="12">
        <f>IF(Q739=0, "Exceeds Limit", IF(P739&lt;=O739, "Weight Limited", "Volume Limited"))</f>
        <v/>
      </c>
      <c r="V739" s="97">
        <f>B739&amp;"|"&amp;D739&amp;"|"&amp;F739</f>
        <v/>
      </c>
    </row>
    <row r="740" ht="19" customHeight="1">
      <c r="A740" s="98" t="n">
        <v>730</v>
      </c>
      <c r="B740" s="102" t="inlineStr">
        <is>
          <t>Stainless Steel 304</t>
        </is>
      </c>
      <c r="C740" s="19" t="inlineStr">
        <is>
          <t>ASME B36.19M / B36.10M</t>
        </is>
      </c>
      <c r="D740" s="18" t="inlineStr">
        <is>
          <t>24''</t>
        </is>
      </c>
      <c r="E740" s="98" t="n">
        <v>600</v>
      </c>
      <c r="F740" s="18" t="inlineStr">
        <is>
          <t>140</t>
        </is>
      </c>
      <c r="G740" s="20" t="n">
        <v>24</v>
      </c>
      <c r="H740" s="82" t="n">
        <v>609.6</v>
      </c>
      <c r="I740" s="20" t="n">
        <v>2.062</v>
      </c>
      <c r="J740" s="82" t="n">
        <v>52.37</v>
      </c>
      <c r="K740" s="20">
        <f>ROUND((H740-J740)*J740*IF(B740="Carbon Steel",$K$7,IF(B740="Stainless Steel 304",$K$8,$L$8)), 3)</f>
        <v/>
      </c>
      <c r="L740" s="82">
        <f>ROUND(K740*$G$5, 2)</f>
        <v/>
      </c>
      <c r="M740" s="98">
        <f>INT($G$6/H740)</f>
        <v/>
      </c>
      <c r="N740" s="98">
        <f>IF(M740=0, 0, IF(OR($K$6="Square Grid", M740=1), INT($G$7/H740), IF($G$7&lt;H740, 0, 1+INT(($G$7-H740)/(0.8660254*H740)))))</f>
        <v/>
      </c>
      <c r="O740" s="84">
        <f>IF(OR(M740=0,N740=0), 0, IF(OR($K$6="Square Grid", M740=1), M740*N740*$K$5, (INT((N740+1)/2)*M740 + INT(N740/2)*IF(($G$6-M740*H740)&gt;=0.5*H740, M740, M740-1))*$K$5))</f>
        <v/>
      </c>
      <c r="P740" s="84">
        <f>IF(L740&lt;=0, 0, INT($G$8/L740))</f>
        <v/>
      </c>
      <c r="Q740" s="95">
        <f>MIN(O740, P740)</f>
        <v/>
      </c>
      <c r="R740" s="96">
        <f>ROUND((Q740*L740)/1000, 2)</f>
        <v/>
      </c>
      <c r="S740" s="85">
        <f>IF($C$8&gt;0, R740/$C$8, 0)</f>
        <v/>
      </c>
      <c r="T740" s="85">
        <f>IF(O740&gt;0, Q740/O740, 0)</f>
        <v/>
      </c>
      <c r="U740" s="18">
        <f>IF(Q740=0, "Exceeds Limit", IF(P740&lt;=O740, "Weight Limited", "Volume Limited"))</f>
        <v/>
      </c>
      <c r="V740" s="100">
        <f>B740&amp;"|"&amp;D740&amp;"|"&amp;F740</f>
        <v/>
      </c>
    </row>
    <row r="741" ht="19" customHeight="1">
      <c r="A741" s="93" t="n">
        <v>731</v>
      </c>
      <c r="B741" s="101" t="inlineStr">
        <is>
          <t>Stainless Steel 304</t>
        </is>
      </c>
      <c r="C741" s="13" t="inlineStr">
        <is>
          <t>ASME B36.19M / B36.10M</t>
        </is>
      </c>
      <c r="D741" s="12" t="inlineStr">
        <is>
          <t>24''</t>
        </is>
      </c>
      <c r="E741" s="93" t="n">
        <v>600</v>
      </c>
      <c r="F741" s="12" t="inlineStr">
        <is>
          <t>160</t>
        </is>
      </c>
      <c r="G741" s="14" t="n">
        <v>24</v>
      </c>
      <c r="H741" s="78" t="n">
        <v>609.6</v>
      </c>
      <c r="I741" s="14" t="n">
        <v>2.344</v>
      </c>
      <c r="J741" s="78" t="n">
        <v>59.54</v>
      </c>
      <c r="K741" s="14">
        <f>ROUND((H741-J741)*J741*IF(B741="Carbon Steel",$K$7,IF(B741="Stainless Steel 304",$K$8,$L$8)), 3)</f>
        <v/>
      </c>
      <c r="L741" s="78">
        <f>ROUND(K741*$G$5, 2)</f>
        <v/>
      </c>
      <c r="M741" s="93">
        <f>INT($G$6/H741)</f>
        <v/>
      </c>
      <c r="N741" s="93">
        <f>IF(M741=0, 0, IF(OR($K$6="Square Grid", M741=1), INT($G$7/H741), IF($G$7&lt;H741, 0, 1+INT(($G$7-H741)/(0.8660254*H741)))))</f>
        <v/>
      </c>
      <c r="O741" s="59">
        <f>IF(OR(M741=0,N741=0), 0, IF(OR($K$6="Square Grid", M741=1), M741*N741*$K$5, (INT((N741+1)/2)*M741 + INT(N741/2)*IF(($G$6-M741*H741)&gt;=0.5*H741, M741, M741-1))*$K$5))</f>
        <v/>
      </c>
      <c r="P741" s="59">
        <f>IF(L741&lt;=0, 0, INT($G$8/L741))</f>
        <v/>
      </c>
      <c r="Q741" s="95">
        <f>MIN(O741, P741)</f>
        <v/>
      </c>
      <c r="R741" s="96">
        <f>ROUND((Q741*L741)/1000, 2)</f>
        <v/>
      </c>
      <c r="S741" s="79">
        <f>IF($C$8&gt;0, R741/$C$8, 0)</f>
        <v/>
      </c>
      <c r="T741" s="79">
        <f>IF(O741&gt;0, Q741/O741, 0)</f>
        <v/>
      </c>
      <c r="U741" s="12">
        <f>IF(Q741=0, "Exceeds Limit", IF(P741&lt;=O741, "Weight Limited", "Volume Limited"))</f>
        <v/>
      </c>
      <c r="V741" s="97">
        <f>B741&amp;"|"&amp;D741&amp;"|"&amp;F741</f>
        <v/>
      </c>
    </row>
    <row r="742" ht="19" customHeight="1">
      <c r="A742" s="98" t="n">
        <v>732</v>
      </c>
      <c r="B742" s="102" t="inlineStr">
        <is>
          <t>Stainless Steel 304</t>
        </is>
      </c>
      <c r="C742" s="19" t="inlineStr">
        <is>
          <t>ASME B36.19M / B36.10M</t>
        </is>
      </c>
      <c r="D742" s="18" t="inlineStr">
        <is>
          <t>26''</t>
        </is>
      </c>
      <c r="E742" s="98" t="n">
        <v>650</v>
      </c>
      <c r="F742" s="18" t="inlineStr">
        <is>
          <t>10</t>
        </is>
      </c>
      <c r="G742" s="20" t="n">
        <v>26</v>
      </c>
      <c r="H742" s="82" t="n">
        <v>660.4</v>
      </c>
      <c r="I742" s="20" t="n">
        <v>0.312</v>
      </c>
      <c r="J742" s="82" t="n">
        <v>7.92</v>
      </c>
      <c r="K742" s="20">
        <f>ROUND((H742-J742)*J742*IF(B742="Carbon Steel",$K$7,IF(B742="Stainless Steel 304",$K$8,$L$8)), 3)</f>
        <v/>
      </c>
      <c r="L742" s="82">
        <f>ROUND(K742*$G$5, 2)</f>
        <v/>
      </c>
      <c r="M742" s="98">
        <f>INT($G$6/H742)</f>
        <v/>
      </c>
      <c r="N742" s="98">
        <f>IF(M742=0, 0, IF(OR($K$6="Square Grid", M742=1), INT($G$7/H742), IF($G$7&lt;H742, 0, 1+INT(($G$7-H742)/(0.8660254*H742)))))</f>
        <v/>
      </c>
      <c r="O742" s="84">
        <f>IF(OR(M742=0,N742=0), 0, IF(OR($K$6="Square Grid", M742=1), M742*N742*$K$5, (INT((N742+1)/2)*M742 + INT(N742/2)*IF(($G$6-M742*H742)&gt;=0.5*H742, M742, M742-1))*$K$5))</f>
        <v/>
      </c>
      <c r="P742" s="84">
        <f>IF(L742&lt;=0, 0, INT($G$8/L742))</f>
        <v/>
      </c>
      <c r="Q742" s="95">
        <f>MIN(O742, P742)</f>
        <v/>
      </c>
      <c r="R742" s="96">
        <f>ROUND((Q742*L742)/1000, 2)</f>
        <v/>
      </c>
      <c r="S742" s="85">
        <f>IF($C$8&gt;0, R742/$C$8, 0)</f>
        <v/>
      </c>
      <c r="T742" s="85">
        <f>IF(O742&gt;0, Q742/O742, 0)</f>
        <v/>
      </c>
      <c r="U742" s="18">
        <f>IF(Q742=0, "Exceeds Limit", IF(P742&lt;=O742, "Weight Limited", "Volume Limited"))</f>
        <v/>
      </c>
      <c r="V742" s="100">
        <f>B742&amp;"|"&amp;D742&amp;"|"&amp;F742</f>
        <v/>
      </c>
    </row>
    <row r="743" ht="19" customHeight="1">
      <c r="A743" s="93" t="n">
        <v>733</v>
      </c>
      <c r="B743" s="101" t="inlineStr">
        <is>
          <t>Stainless Steel 304</t>
        </is>
      </c>
      <c r="C743" s="13" t="inlineStr">
        <is>
          <t>ASME B36.19M / B36.10M</t>
        </is>
      </c>
      <c r="D743" s="12" t="inlineStr">
        <is>
          <t>26''</t>
        </is>
      </c>
      <c r="E743" s="93" t="n">
        <v>650</v>
      </c>
      <c r="F743" s="12" t="inlineStr">
        <is>
          <t>20</t>
        </is>
      </c>
      <c r="G743" s="14" t="n">
        <v>26</v>
      </c>
      <c r="H743" s="78" t="n">
        <v>660.4</v>
      </c>
      <c r="I743" s="14" t="n">
        <v>0.5</v>
      </c>
      <c r="J743" s="78" t="n">
        <v>12.7</v>
      </c>
      <c r="K743" s="14">
        <f>ROUND((H743-J743)*J743*IF(B743="Carbon Steel",$K$7,IF(B743="Stainless Steel 304",$K$8,$L$8)), 3)</f>
        <v/>
      </c>
      <c r="L743" s="78">
        <f>ROUND(K743*$G$5, 2)</f>
        <v/>
      </c>
      <c r="M743" s="93">
        <f>INT($G$6/H743)</f>
        <v/>
      </c>
      <c r="N743" s="93">
        <f>IF(M743=0, 0, IF(OR($K$6="Square Grid", M743=1), INT($G$7/H743), IF($G$7&lt;H743, 0, 1+INT(($G$7-H743)/(0.8660254*H743)))))</f>
        <v/>
      </c>
      <c r="O743" s="59">
        <f>IF(OR(M743=0,N743=0), 0, IF(OR($K$6="Square Grid", M743=1), M743*N743*$K$5, (INT((N743+1)/2)*M743 + INT(N743/2)*IF(($G$6-M743*H743)&gt;=0.5*H743, M743, M743-1))*$K$5))</f>
        <v/>
      </c>
      <c r="P743" s="59">
        <f>IF(L743&lt;=0, 0, INT($G$8/L743))</f>
        <v/>
      </c>
      <c r="Q743" s="95">
        <f>MIN(O743, P743)</f>
        <v/>
      </c>
      <c r="R743" s="96">
        <f>ROUND((Q743*L743)/1000, 2)</f>
        <v/>
      </c>
      <c r="S743" s="79">
        <f>IF($C$8&gt;0, R743/$C$8, 0)</f>
        <v/>
      </c>
      <c r="T743" s="79">
        <f>IF(O743&gt;0, Q743/O743, 0)</f>
        <v/>
      </c>
      <c r="U743" s="12">
        <f>IF(Q743=0, "Exceeds Limit", IF(P743&lt;=O743, "Weight Limited", "Volume Limited"))</f>
        <v/>
      </c>
      <c r="V743" s="97">
        <f>B743&amp;"|"&amp;D743&amp;"|"&amp;F743</f>
        <v/>
      </c>
    </row>
    <row r="744" ht="19" customHeight="1">
      <c r="A744" s="98" t="n">
        <v>734</v>
      </c>
      <c r="B744" s="102" t="inlineStr">
        <is>
          <t>Stainless Steel 304</t>
        </is>
      </c>
      <c r="C744" s="19" t="inlineStr">
        <is>
          <t>ASME B36.19M / B36.10M</t>
        </is>
      </c>
      <c r="D744" s="18" t="inlineStr">
        <is>
          <t>26''</t>
        </is>
      </c>
      <c r="E744" s="98" t="n">
        <v>650</v>
      </c>
      <c r="F744" s="18" t="inlineStr">
        <is>
          <t>STD</t>
        </is>
      </c>
      <c r="G744" s="20" t="n">
        <v>26</v>
      </c>
      <c r="H744" s="82" t="n">
        <v>660.4</v>
      </c>
      <c r="I744" s="20" t="n">
        <v>0.375</v>
      </c>
      <c r="J744" s="82" t="n">
        <v>9.52</v>
      </c>
      <c r="K744" s="20">
        <f>ROUND((H744-J744)*J744*IF(B744="Carbon Steel",$K$7,IF(B744="Stainless Steel 304",$K$8,$L$8)), 3)</f>
        <v/>
      </c>
      <c r="L744" s="82">
        <f>ROUND(K744*$G$5, 2)</f>
        <v/>
      </c>
      <c r="M744" s="98">
        <f>INT($G$6/H744)</f>
        <v/>
      </c>
      <c r="N744" s="98">
        <f>IF(M744=0, 0, IF(OR($K$6="Square Grid", M744=1), INT($G$7/H744), IF($G$7&lt;H744, 0, 1+INT(($G$7-H744)/(0.8660254*H744)))))</f>
        <v/>
      </c>
      <c r="O744" s="84">
        <f>IF(OR(M744=0,N744=0), 0, IF(OR($K$6="Square Grid", M744=1), M744*N744*$K$5, (INT((N744+1)/2)*M744 + INT(N744/2)*IF(($G$6-M744*H744)&gt;=0.5*H744, M744, M744-1))*$K$5))</f>
        <v/>
      </c>
      <c r="P744" s="84">
        <f>IF(L744&lt;=0, 0, INT($G$8/L744))</f>
        <v/>
      </c>
      <c r="Q744" s="95">
        <f>MIN(O744, P744)</f>
        <v/>
      </c>
      <c r="R744" s="96">
        <f>ROUND((Q744*L744)/1000, 2)</f>
        <v/>
      </c>
      <c r="S744" s="85">
        <f>IF($C$8&gt;0, R744/$C$8, 0)</f>
        <v/>
      </c>
      <c r="T744" s="85">
        <f>IF(O744&gt;0, Q744/O744, 0)</f>
        <v/>
      </c>
      <c r="U744" s="18">
        <f>IF(Q744=0, "Exceeds Limit", IF(P744&lt;=O744, "Weight Limited", "Volume Limited"))</f>
        <v/>
      </c>
      <c r="V744" s="100">
        <f>B744&amp;"|"&amp;D744&amp;"|"&amp;F744</f>
        <v/>
      </c>
    </row>
    <row r="745" ht="19" customHeight="1">
      <c r="A745" s="93" t="n">
        <v>735</v>
      </c>
      <c r="B745" s="101" t="inlineStr">
        <is>
          <t>Stainless Steel 304</t>
        </is>
      </c>
      <c r="C745" s="13" t="inlineStr">
        <is>
          <t>ASME B36.19M / B36.10M</t>
        </is>
      </c>
      <c r="D745" s="12" t="inlineStr">
        <is>
          <t>26''</t>
        </is>
      </c>
      <c r="E745" s="93" t="n">
        <v>650</v>
      </c>
      <c r="F745" s="12" t="inlineStr">
        <is>
          <t>XS</t>
        </is>
      </c>
      <c r="G745" s="14" t="n">
        <v>26</v>
      </c>
      <c r="H745" s="78" t="n">
        <v>660.4</v>
      </c>
      <c r="I745" s="14" t="n">
        <v>0.5</v>
      </c>
      <c r="J745" s="78" t="n">
        <v>12.7</v>
      </c>
      <c r="K745" s="14">
        <f>ROUND((H745-J745)*J745*IF(B745="Carbon Steel",$K$7,IF(B745="Stainless Steel 304",$K$8,$L$8)), 3)</f>
        <v/>
      </c>
      <c r="L745" s="78">
        <f>ROUND(K745*$G$5, 2)</f>
        <v/>
      </c>
      <c r="M745" s="93">
        <f>INT($G$6/H745)</f>
        <v/>
      </c>
      <c r="N745" s="93">
        <f>IF(M745=0, 0, IF(OR($K$6="Square Grid", M745=1), INT($G$7/H745), IF($G$7&lt;H745, 0, 1+INT(($G$7-H745)/(0.8660254*H745)))))</f>
        <v/>
      </c>
      <c r="O745" s="59">
        <f>IF(OR(M745=0,N745=0), 0, IF(OR($K$6="Square Grid", M745=1), M745*N745*$K$5, (INT((N745+1)/2)*M745 + INT(N745/2)*IF(($G$6-M745*H745)&gt;=0.5*H745, M745, M745-1))*$K$5))</f>
        <v/>
      </c>
      <c r="P745" s="59">
        <f>IF(L745&lt;=0, 0, INT($G$8/L745))</f>
        <v/>
      </c>
      <c r="Q745" s="95">
        <f>MIN(O745, P745)</f>
        <v/>
      </c>
      <c r="R745" s="96">
        <f>ROUND((Q745*L745)/1000, 2)</f>
        <v/>
      </c>
      <c r="S745" s="79">
        <f>IF($C$8&gt;0, R745/$C$8, 0)</f>
        <v/>
      </c>
      <c r="T745" s="79">
        <f>IF(O745&gt;0, Q745/O745, 0)</f>
        <v/>
      </c>
      <c r="U745" s="12">
        <f>IF(Q745=0, "Exceeds Limit", IF(P745&lt;=O745, "Weight Limited", "Volume Limited"))</f>
        <v/>
      </c>
      <c r="V745" s="97">
        <f>B745&amp;"|"&amp;D745&amp;"|"&amp;F745</f>
        <v/>
      </c>
    </row>
    <row r="746" ht="19" customHeight="1">
      <c r="A746" s="98" t="n">
        <v>736</v>
      </c>
      <c r="B746" s="102" t="inlineStr">
        <is>
          <t>Stainless Steel 304</t>
        </is>
      </c>
      <c r="C746" s="19" t="inlineStr">
        <is>
          <t>ASME B36.19M / B36.10M</t>
        </is>
      </c>
      <c r="D746" s="18" t="inlineStr">
        <is>
          <t>28''</t>
        </is>
      </c>
      <c r="E746" s="98" t="n">
        <v>700</v>
      </c>
      <c r="F746" s="18" t="inlineStr">
        <is>
          <t>10</t>
        </is>
      </c>
      <c r="G746" s="20" t="n">
        <v>28</v>
      </c>
      <c r="H746" s="82" t="n">
        <v>711.2</v>
      </c>
      <c r="I746" s="20" t="n">
        <v>0.312</v>
      </c>
      <c r="J746" s="82" t="n">
        <v>7.92</v>
      </c>
      <c r="K746" s="20">
        <f>ROUND((H746-J746)*J746*IF(B746="Carbon Steel",$K$7,IF(B746="Stainless Steel 304",$K$8,$L$8)), 3)</f>
        <v/>
      </c>
      <c r="L746" s="82">
        <f>ROUND(K746*$G$5, 2)</f>
        <v/>
      </c>
      <c r="M746" s="98">
        <f>INT($G$6/H746)</f>
        <v/>
      </c>
      <c r="N746" s="98">
        <f>IF(M746=0, 0, IF(OR($K$6="Square Grid", M746=1), INT($G$7/H746), IF($G$7&lt;H746, 0, 1+INT(($G$7-H746)/(0.8660254*H746)))))</f>
        <v/>
      </c>
      <c r="O746" s="84">
        <f>IF(OR(M746=0,N746=0), 0, IF(OR($K$6="Square Grid", M746=1), M746*N746*$K$5, (INT((N746+1)/2)*M746 + INT(N746/2)*IF(($G$6-M746*H746)&gt;=0.5*H746, M746, M746-1))*$K$5))</f>
        <v/>
      </c>
      <c r="P746" s="84">
        <f>IF(L746&lt;=0, 0, INT($G$8/L746))</f>
        <v/>
      </c>
      <c r="Q746" s="95">
        <f>MIN(O746, P746)</f>
        <v/>
      </c>
      <c r="R746" s="96">
        <f>ROUND((Q746*L746)/1000, 2)</f>
        <v/>
      </c>
      <c r="S746" s="85">
        <f>IF($C$8&gt;0, R746/$C$8, 0)</f>
        <v/>
      </c>
      <c r="T746" s="85">
        <f>IF(O746&gt;0, Q746/O746, 0)</f>
        <v/>
      </c>
      <c r="U746" s="18">
        <f>IF(Q746=0, "Exceeds Limit", IF(P746&lt;=O746, "Weight Limited", "Volume Limited"))</f>
        <v/>
      </c>
      <c r="V746" s="100">
        <f>B746&amp;"|"&amp;D746&amp;"|"&amp;F746</f>
        <v/>
      </c>
    </row>
    <row r="747" ht="19" customHeight="1">
      <c r="A747" s="93" t="n">
        <v>737</v>
      </c>
      <c r="B747" s="101" t="inlineStr">
        <is>
          <t>Stainless Steel 304</t>
        </is>
      </c>
      <c r="C747" s="13" t="inlineStr">
        <is>
          <t>ASME B36.19M / B36.10M</t>
        </is>
      </c>
      <c r="D747" s="12" t="inlineStr">
        <is>
          <t>28''</t>
        </is>
      </c>
      <c r="E747" s="93" t="n">
        <v>700</v>
      </c>
      <c r="F747" s="12" t="inlineStr">
        <is>
          <t>20</t>
        </is>
      </c>
      <c r="G747" s="14" t="n">
        <v>28</v>
      </c>
      <c r="H747" s="78" t="n">
        <v>711.2</v>
      </c>
      <c r="I747" s="14" t="n">
        <v>0.5</v>
      </c>
      <c r="J747" s="78" t="n">
        <v>12.7</v>
      </c>
      <c r="K747" s="14">
        <f>ROUND((H747-J747)*J747*IF(B747="Carbon Steel",$K$7,IF(B747="Stainless Steel 304",$K$8,$L$8)), 3)</f>
        <v/>
      </c>
      <c r="L747" s="78">
        <f>ROUND(K747*$G$5, 2)</f>
        <v/>
      </c>
      <c r="M747" s="93">
        <f>INT($G$6/H747)</f>
        <v/>
      </c>
      <c r="N747" s="93">
        <f>IF(M747=0, 0, IF(OR($K$6="Square Grid", M747=1), INT($G$7/H747), IF($G$7&lt;H747, 0, 1+INT(($G$7-H747)/(0.8660254*H747)))))</f>
        <v/>
      </c>
      <c r="O747" s="59">
        <f>IF(OR(M747=0,N747=0), 0, IF(OR($K$6="Square Grid", M747=1), M747*N747*$K$5, (INT((N747+1)/2)*M747 + INT(N747/2)*IF(($G$6-M747*H747)&gt;=0.5*H747, M747, M747-1))*$K$5))</f>
        <v/>
      </c>
      <c r="P747" s="59">
        <f>IF(L747&lt;=0, 0, INT($G$8/L747))</f>
        <v/>
      </c>
      <c r="Q747" s="95">
        <f>MIN(O747, P747)</f>
        <v/>
      </c>
      <c r="R747" s="96">
        <f>ROUND((Q747*L747)/1000, 2)</f>
        <v/>
      </c>
      <c r="S747" s="79">
        <f>IF($C$8&gt;0, R747/$C$8, 0)</f>
        <v/>
      </c>
      <c r="T747" s="79">
        <f>IF(O747&gt;0, Q747/O747, 0)</f>
        <v/>
      </c>
      <c r="U747" s="12">
        <f>IF(Q747=0, "Exceeds Limit", IF(P747&lt;=O747, "Weight Limited", "Volume Limited"))</f>
        <v/>
      </c>
      <c r="V747" s="97">
        <f>B747&amp;"|"&amp;D747&amp;"|"&amp;F747</f>
        <v/>
      </c>
    </row>
    <row r="748" ht="19" customHeight="1">
      <c r="A748" s="98" t="n">
        <v>738</v>
      </c>
      <c r="B748" s="102" t="inlineStr">
        <is>
          <t>Stainless Steel 304</t>
        </is>
      </c>
      <c r="C748" s="19" t="inlineStr">
        <is>
          <t>ASME B36.19M / B36.10M</t>
        </is>
      </c>
      <c r="D748" s="18" t="inlineStr">
        <is>
          <t>28''</t>
        </is>
      </c>
      <c r="E748" s="98" t="n">
        <v>700</v>
      </c>
      <c r="F748" s="18" t="inlineStr">
        <is>
          <t>30</t>
        </is>
      </c>
      <c r="G748" s="20" t="n">
        <v>28</v>
      </c>
      <c r="H748" s="82" t="n">
        <v>711.2</v>
      </c>
      <c r="I748" s="20" t="n">
        <v>0.625</v>
      </c>
      <c r="J748" s="82" t="n">
        <v>15.88</v>
      </c>
      <c r="K748" s="20">
        <f>ROUND((H748-J748)*J748*IF(B748="Carbon Steel",$K$7,IF(B748="Stainless Steel 304",$K$8,$L$8)), 3)</f>
        <v/>
      </c>
      <c r="L748" s="82">
        <f>ROUND(K748*$G$5, 2)</f>
        <v/>
      </c>
      <c r="M748" s="98">
        <f>INT($G$6/H748)</f>
        <v/>
      </c>
      <c r="N748" s="98">
        <f>IF(M748=0, 0, IF(OR($K$6="Square Grid", M748=1), INT($G$7/H748), IF($G$7&lt;H748, 0, 1+INT(($G$7-H748)/(0.8660254*H748)))))</f>
        <v/>
      </c>
      <c r="O748" s="84">
        <f>IF(OR(M748=0,N748=0), 0, IF(OR($K$6="Square Grid", M748=1), M748*N748*$K$5, (INT((N748+1)/2)*M748 + INT(N748/2)*IF(($G$6-M748*H748)&gt;=0.5*H748, M748, M748-1))*$K$5))</f>
        <v/>
      </c>
      <c r="P748" s="84">
        <f>IF(L748&lt;=0, 0, INT($G$8/L748))</f>
        <v/>
      </c>
      <c r="Q748" s="95">
        <f>MIN(O748, P748)</f>
        <v/>
      </c>
      <c r="R748" s="96">
        <f>ROUND((Q748*L748)/1000, 2)</f>
        <v/>
      </c>
      <c r="S748" s="85">
        <f>IF($C$8&gt;0, R748/$C$8, 0)</f>
        <v/>
      </c>
      <c r="T748" s="85">
        <f>IF(O748&gt;0, Q748/O748, 0)</f>
        <v/>
      </c>
      <c r="U748" s="18">
        <f>IF(Q748=0, "Exceeds Limit", IF(P748&lt;=O748, "Weight Limited", "Volume Limited"))</f>
        <v/>
      </c>
      <c r="V748" s="100">
        <f>B748&amp;"|"&amp;D748&amp;"|"&amp;F748</f>
        <v/>
      </c>
    </row>
    <row r="749" ht="19" customHeight="1">
      <c r="A749" s="93" t="n">
        <v>739</v>
      </c>
      <c r="B749" s="101" t="inlineStr">
        <is>
          <t>Stainless Steel 304</t>
        </is>
      </c>
      <c r="C749" s="13" t="inlineStr">
        <is>
          <t>ASME B36.19M / B36.10M</t>
        </is>
      </c>
      <c r="D749" s="12" t="inlineStr">
        <is>
          <t>28''</t>
        </is>
      </c>
      <c r="E749" s="93" t="n">
        <v>700</v>
      </c>
      <c r="F749" s="12" t="inlineStr">
        <is>
          <t>STD</t>
        </is>
      </c>
      <c r="G749" s="14" t="n">
        <v>28</v>
      </c>
      <c r="H749" s="78" t="n">
        <v>711.2</v>
      </c>
      <c r="I749" s="14" t="n">
        <v>0.375</v>
      </c>
      <c r="J749" s="78" t="n">
        <v>9.52</v>
      </c>
      <c r="K749" s="14">
        <f>ROUND((H749-J749)*J749*IF(B749="Carbon Steel",$K$7,IF(B749="Stainless Steel 304",$K$8,$L$8)), 3)</f>
        <v/>
      </c>
      <c r="L749" s="78">
        <f>ROUND(K749*$G$5, 2)</f>
        <v/>
      </c>
      <c r="M749" s="93">
        <f>INT($G$6/H749)</f>
        <v/>
      </c>
      <c r="N749" s="93">
        <f>IF(M749=0, 0, IF(OR($K$6="Square Grid", M749=1), INT($G$7/H749), IF($G$7&lt;H749, 0, 1+INT(($G$7-H749)/(0.8660254*H749)))))</f>
        <v/>
      </c>
      <c r="O749" s="59">
        <f>IF(OR(M749=0,N749=0), 0, IF(OR($K$6="Square Grid", M749=1), M749*N749*$K$5, (INT((N749+1)/2)*M749 + INT(N749/2)*IF(($G$6-M749*H749)&gt;=0.5*H749, M749, M749-1))*$K$5))</f>
        <v/>
      </c>
      <c r="P749" s="59">
        <f>IF(L749&lt;=0, 0, INT($G$8/L749))</f>
        <v/>
      </c>
      <c r="Q749" s="95">
        <f>MIN(O749, P749)</f>
        <v/>
      </c>
      <c r="R749" s="96">
        <f>ROUND((Q749*L749)/1000, 2)</f>
        <v/>
      </c>
      <c r="S749" s="79">
        <f>IF($C$8&gt;0, R749/$C$8, 0)</f>
        <v/>
      </c>
      <c r="T749" s="79">
        <f>IF(O749&gt;0, Q749/O749, 0)</f>
        <v/>
      </c>
      <c r="U749" s="12">
        <f>IF(Q749=0, "Exceeds Limit", IF(P749&lt;=O749, "Weight Limited", "Volume Limited"))</f>
        <v/>
      </c>
      <c r="V749" s="97">
        <f>B749&amp;"|"&amp;D749&amp;"|"&amp;F749</f>
        <v/>
      </c>
    </row>
    <row r="750" ht="19" customHeight="1">
      <c r="A750" s="98" t="n">
        <v>740</v>
      </c>
      <c r="B750" s="102" t="inlineStr">
        <is>
          <t>Stainless Steel 304</t>
        </is>
      </c>
      <c r="C750" s="19" t="inlineStr">
        <is>
          <t>ASME B36.19M / B36.10M</t>
        </is>
      </c>
      <c r="D750" s="18" t="inlineStr">
        <is>
          <t>28''</t>
        </is>
      </c>
      <c r="E750" s="98" t="n">
        <v>700</v>
      </c>
      <c r="F750" s="18" t="inlineStr">
        <is>
          <t>XS</t>
        </is>
      </c>
      <c r="G750" s="20" t="n">
        <v>28</v>
      </c>
      <c r="H750" s="82" t="n">
        <v>711.2</v>
      </c>
      <c r="I750" s="20" t="n">
        <v>0.5</v>
      </c>
      <c r="J750" s="82" t="n">
        <v>12.7</v>
      </c>
      <c r="K750" s="20">
        <f>ROUND((H750-J750)*J750*IF(B750="Carbon Steel",$K$7,IF(B750="Stainless Steel 304",$K$8,$L$8)), 3)</f>
        <v/>
      </c>
      <c r="L750" s="82">
        <f>ROUND(K750*$G$5, 2)</f>
        <v/>
      </c>
      <c r="M750" s="98">
        <f>INT($G$6/H750)</f>
        <v/>
      </c>
      <c r="N750" s="98">
        <f>IF(M750=0, 0, IF(OR($K$6="Square Grid", M750=1), INT($G$7/H750), IF($G$7&lt;H750, 0, 1+INT(($G$7-H750)/(0.8660254*H750)))))</f>
        <v/>
      </c>
      <c r="O750" s="84">
        <f>IF(OR(M750=0,N750=0), 0, IF(OR($K$6="Square Grid", M750=1), M750*N750*$K$5, (INT((N750+1)/2)*M750 + INT(N750/2)*IF(($G$6-M750*H750)&gt;=0.5*H750, M750, M750-1))*$K$5))</f>
        <v/>
      </c>
      <c r="P750" s="84">
        <f>IF(L750&lt;=0, 0, INT($G$8/L750))</f>
        <v/>
      </c>
      <c r="Q750" s="95">
        <f>MIN(O750, P750)</f>
        <v/>
      </c>
      <c r="R750" s="96">
        <f>ROUND((Q750*L750)/1000, 2)</f>
        <v/>
      </c>
      <c r="S750" s="85">
        <f>IF($C$8&gt;0, R750/$C$8, 0)</f>
        <v/>
      </c>
      <c r="T750" s="85">
        <f>IF(O750&gt;0, Q750/O750, 0)</f>
        <v/>
      </c>
      <c r="U750" s="18">
        <f>IF(Q750=0, "Exceeds Limit", IF(P750&lt;=O750, "Weight Limited", "Volume Limited"))</f>
        <v/>
      </c>
      <c r="V750" s="100">
        <f>B750&amp;"|"&amp;D750&amp;"|"&amp;F750</f>
        <v/>
      </c>
    </row>
    <row r="751" ht="19" customHeight="1">
      <c r="A751" s="93" t="n">
        <v>741</v>
      </c>
      <c r="B751" s="101" t="inlineStr">
        <is>
          <t>Stainless Steel 304</t>
        </is>
      </c>
      <c r="C751" s="13" t="inlineStr">
        <is>
          <t>ASME B36.19M / B36.10M</t>
        </is>
      </c>
      <c r="D751" s="12" t="inlineStr">
        <is>
          <t>30''</t>
        </is>
      </c>
      <c r="E751" s="93" t="n">
        <v>750</v>
      </c>
      <c r="F751" s="12" t="inlineStr">
        <is>
          <t>5S</t>
        </is>
      </c>
      <c r="G751" s="14" t="n">
        <v>30</v>
      </c>
      <c r="H751" s="78" t="n">
        <v>762</v>
      </c>
      <c r="I751" s="14" t="n">
        <v>0.25</v>
      </c>
      <c r="J751" s="78" t="n">
        <v>6.35</v>
      </c>
      <c r="K751" s="14">
        <f>ROUND((H751-J751)*J751*IF(B751="Carbon Steel",$K$7,IF(B751="Stainless Steel 304",$K$8,$L$8)), 3)</f>
        <v/>
      </c>
      <c r="L751" s="78">
        <f>ROUND(K751*$G$5, 2)</f>
        <v/>
      </c>
      <c r="M751" s="93">
        <f>INT($G$6/H751)</f>
        <v/>
      </c>
      <c r="N751" s="93">
        <f>IF(M751=0, 0, IF(OR($K$6="Square Grid", M751=1), INT($G$7/H751), IF($G$7&lt;H751, 0, 1+INT(($G$7-H751)/(0.8660254*H751)))))</f>
        <v/>
      </c>
      <c r="O751" s="59">
        <f>IF(OR(M751=0,N751=0), 0, IF(OR($K$6="Square Grid", M751=1), M751*N751*$K$5, (INT((N751+1)/2)*M751 + INT(N751/2)*IF(($G$6-M751*H751)&gt;=0.5*H751, M751, M751-1))*$K$5))</f>
        <v/>
      </c>
      <c r="P751" s="59">
        <f>IF(L751&lt;=0, 0, INT($G$8/L751))</f>
        <v/>
      </c>
      <c r="Q751" s="95">
        <f>MIN(O751, P751)</f>
        <v/>
      </c>
      <c r="R751" s="96">
        <f>ROUND((Q751*L751)/1000, 2)</f>
        <v/>
      </c>
      <c r="S751" s="79">
        <f>IF($C$8&gt;0, R751/$C$8, 0)</f>
        <v/>
      </c>
      <c r="T751" s="79">
        <f>IF(O751&gt;0, Q751/O751, 0)</f>
        <v/>
      </c>
      <c r="U751" s="12">
        <f>IF(Q751=0, "Exceeds Limit", IF(P751&lt;=O751, "Weight Limited", "Volume Limited"))</f>
        <v/>
      </c>
      <c r="V751" s="97">
        <f>B751&amp;"|"&amp;D751&amp;"|"&amp;F751</f>
        <v/>
      </c>
    </row>
    <row r="752" ht="19" customHeight="1">
      <c r="A752" s="98" t="n">
        <v>742</v>
      </c>
      <c r="B752" s="102" t="inlineStr">
        <is>
          <t>Stainless Steel 304</t>
        </is>
      </c>
      <c r="C752" s="19" t="inlineStr">
        <is>
          <t>ASME B36.19M / B36.10M</t>
        </is>
      </c>
      <c r="D752" s="18" t="inlineStr">
        <is>
          <t>30''</t>
        </is>
      </c>
      <c r="E752" s="98" t="n">
        <v>750</v>
      </c>
      <c r="F752" s="18" t="inlineStr">
        <is>
          <t>5</t>
        </is>
      </c>
      <c r="G752" s="20" t="n">
        <v>30</v>
      </c>
      <c r="H752" s="82" t="n">
        <v>762</v>
      </c>
      <c r="I752" s="20" t="n">
        <v>0.25</v>
      </c>
      <c r="J752" s="82" t="n">
        <v>6.35</v>
      </c>
      <c r="K752" s="20">
        <f>ROUND((H752-J752)*J752*IF(B752="Carbon Steel",$K$7,IF(B752="Stainless Steel 304",$K$8,$L$8)), 3)</f>
        <v/>
      </c>
      <c r="L752" s="82">
        <f>ROUND(K752*$G$5, 2)</f>
        <v/>
      </c>
      <c r="M752" s="98">
        <f>INT($G$6/H752)</f>
        <v/>
      </c>
      <c r="N752" s="98">
        <f>IF(M752=0, 0, IF(OR($K$6="Square Grid", M752=1), INT($G$7/H752), IF($G$7&lt;H752, 0, 1+INT(($G$7-H752)/(0.8660254*H752)))))</f>
        <v/>
      </c>
      <c r="O752" s="84">
        <f>IF(OR(M752=0,N752=0), 0, IF(OR($K$6="Square Grid", M752=1), M752*N752*$K$5, (INT((N752+1)/2)*M752 + INT(N752/2)*IF(($G$6-M752*H752)&gt;=0.5*H752, M752, M752-1))*$K$5))</f>
        <v/>
      </c>
      <c r="P752" s="84">
        <f>IF(L752&lt;=0, 0, INT($G$8/L752))</f>
        <v/>
      </c>
      <c r="Q752" s="95">
        <f>MIN(O752, P752)</f>
        <v/>
      </c>
      <c r="R752" s="96">
        <f>ROUND((Q752*L752)/1000, 2)</f>
        <v/>
      </c>
      <c r="S752" s="85">
        <f>IF($C$8&gt;0, R752/$C$8, 0)</f>
        <v/>
      </c>
      <c r="T752" s="85">
        <f>IF(O752&gt;0, Q752/O752, 0)</f>
        <v/>
      </c>
      <c r="U752" s="18">
        <f>IF(Q752=0, "Exceeds Limit", IF(P752&lt;=O752, "Weight Limited", "Volume Limited"))</f>
        <v/>
      </c>
      <c r="V752" s="100">
        <f>B752&amp;"|"&amp;D752&amp;"|"&amp;F752</f>
        <v/>
      </c>
    </row>
    <row r="753" ht="19" customHeight="1">
      <c r="A753" s="93" t="n">
        <v>743</v>
      </c>
      <c r="B753" s="101" t="inlineStr">
        <is>
          <t>Stainless Steel 304</t>
        </is>
      </c>
      <c r="C753" s="13" t="inlineStr">
        <is>
          <t>ASME B36.19M / B36.10M</t>
        </is>
      </c>
      <c r="D753" s="12" t="inlineStr">
        <is>
          <t>30''</t>
        </is>
      </c>
      <c r="E753" s="93" t="n">
        <v>750</v>
      </c>
      <c r="F753" s="12" t="inlineStr">
        <is>
          <t>10S</t>
        </is>
      </c>
      <c r="G753" s="14" t="n">
        <v>30</v>
      </c>
      <c r="H753" s="78" t="n">
        <v>762</v>
      </c>
      <c r="I753" s="14" t="n">
        <v>0.312</v>
      </c>
      <c r="J753" s="78" t="n">
        <v>7.92</v>
      </c>
      <c r="K753" s="14">
        <f>ROUND((H753-J753)*J753*IF(B753="Carbon Steel",$K$7,IF(B753="Stainless Steel 304",$K$8,$L$8)), 3)</f>
        <v/>
      </c>
      <c r="L753" s="78">
        <f>ROUND(K753*$G$5, 2)</f>
        <v/>
      </c>
      <c r="M753" s="93">
        <f>INT($G$6/H753)</f>
        <v/>
      </c>
      <c r="N753" s="93">
        <f>IF(M753=0, 0, IF(OR($K$6="Square Grid", M753=1), INT($G$7/H753), IF($G$7&lt;H753, 0, 1+INT(($G$7-H753)/(0.8660254*H753)))))</f>
        <v/>
      </c>
      <c r="O753" s="59">
        <f>IF(OR(M753=0,N753=0), 0, IF(OR($K$6="Square Grid", M753=1), M753*N753*$K$5, (INT((N753+1)/2)*M753 + INT(N753/2)*IF(($G$6-M753*H753)&gt;=0.5*H753, M753, M753-1))*$K$5))</f>
        <v/>
      </c>
      <c r="P753" s="59">
        <f>IF(L753&lt;=0, 0, INT($G$8/L753))</f>
        <v/>
      </c>
      <c r="Q753" s="95">
        <f>MIN(O753, P753)</f>
        <v/>
      </c>
      <c r="R753" s="96">
        <f>ROUND((Q753*L753)/1000, 2)</f>
        <v/>
      </c>
      <c r="S753" s="79">
        <f>IF($C$8&gt;0, R753/$C$8, 0)</f>
        <v/>
      </c>
      <c r="T753" s="79">
        <f>IF(O753&gt;0, Q753/O753, 0)</f>
        <v/>
      </c>
      <c r="U753" s="12">
        <f>IF(Q753=0, "Exceeds Limit", IF(P753&lt;=O753, "Weight Limited", "Volume Limited"))</f>
        <v/>
      </c>
      <c r="V753" s="97">
        <f>B753&amp;"|"&amp;D753&amp;"|"&amp;F753</f>
        <v/>
      </c>
    </row>
    <row r="754" ht="19" customHeight="1">
      <c r="A754" s="98" t="n">
        <v>744</v>
      </c>
      <c r="B754" s="102" t="inlineStr">
        <is>
          <t>Stainless Steel 304</t>
        </is>
      </c>
      <c r="C754" s="19" t="inlineStr">
        <is>
          <t>ASME B36.19M / B36.10M</t>
        </is>
      </c>
      <c r="D754" s="18" t="inlineStr">
        <is>
          <t>30''</t>
        </is>
      </c>
      <c r="E754" s="98" t="n">
        <v>750</v>
      </c>
      <c r="F754" s="18" t="inlineStr">
        <is>
          <t>10</t>
        </is>
      </c>
      <c r="G754" s="20" t="n">
        <v>30</v>
      </c>
      <c r="H754" s="82" t="n">
        <v>762</v>
      </c>
      <c r="I754" s="20" t="n">
        <v>0.312</v>
      </c>
      <c r="J754" s="82" t="n">
        <v>7.92</v>
      </c>
      <c r="K754" s="20">
        <f>ROUND((H754-J754)*J754*IF(B754="Carbon Steel",$K$7,IF(B754="Stainless Steel 304",$K$8,$L$8)), 3)</f>
        <v/>
      </c>
      <c r="L754" s="82">
        <f>ROUND(K754*$G$5, 2)</f>
        <v/>
      </c>
      <c r="M754" s="98">
        <f>INT($G$6/H754)</f>
        <v/>
      </c>
      <c r="N754" s="98">
        <f>IF(M754=0, 0, IF(OR($K$6="Square Grid", M754=1), INT($G$7/H754), IF($G$7&lt;H754, 0, 1+INT(($G$7-H754)/(0.8660254*H754)))))</f>
        <v/>
      </c>
      <c r="O754" s="84">
        <f>IF(OR(M754=0,N754=0), 0, IF(OR($K$6="Square Grid", M754=1), M754*N754*$K$5, (INT((N754+1)/2)*M754 + INT(N754/2)*IF(($G$6-M754*H754)&gt;=0.5*H754, M754, M754-1))*$K$5))</f>
        <v/>
      </c>
      <c r="P754" s="84">
        <f>IF(L754&lt;=0, 0, INT($G$8/L754))</f>
        <v/>
      </c>
      <c r="Q754" s="95">
        <f>MIN(O754, P754)</f>
        <v/>
      </c>
      <c r="R754" s="96">
        <f>ROUND((Q754*L754)/1000, 2)</f>
        <v/>
      </c>
      <c r="S754" s="85">
        <f>IF($C$8&gt;0, R754/$C$8, 0)</f>
        <v/>
      </c>
      <c r="T754" s="85">
        <f>IF(O754&gt;0, Q754/O754, 0)</f>
        <v/>
      </c>
      <c r="U754" s="18">
        <f>IF(Q754=0, "Exceeds Limit", IF(P754&lt;=O754, "Weight Limited", "Volume Limited"))</f>
        <v/>
      </c>
      <c r="V754" s="100">
        <f>B754&amp;"|"&amp;D754&amp;"|"&amp;F754</f>
        <v/>
      </c>
    </row>
    <row r="755" ht="19" customHeight="1">
      <c r="A755" s="93" t="n">
        <v>745</v>
      </c>
      <c r="B755" s="101" t="inlineStr">
        <is>
          <t>Stainless Steel 304</t>
        </is>
      </c>
      <c r="C755" s="13" t="inlineStr">
        <is>
          <t>ASME B36.19M / B36.10M</t>
        </is>
      </c>
      <c r="D755" s="12" t="inlineStr">
        <is>
          <t>30''</t>
        </is>
      </c>
      <c r="E755" s="93" t="n">
        <v>750</v>
      </c>
      <c r="F755" s="12" t="inlineStr">
        <is>
          <t>20</t>
        </is>
      </c>
      <c r="G755" s="14" t="n">
        <v>30</v>
      </c>
      <c r="H755" s="78" t="n">
        <v>762</v>
      </c>
      <c r="I755" s="14" t="n">
        <v>0.5</v>
      </c>
      <c r="J755" s="78" t="n">
        <v>12.7</v>
      </c>
      <c r="K755" s="14">
        <f>ROUND((H755-J755)*J755*IF(B755="Carbon Steel",$K$7,IF(B755="Stainless Steel 304",$K$8,$L$8)), 3)</f>
        <v/>
      </c>
      <c r="L755" s="78">
        <f>ROUND(K755*$G$5, 2)</f>
        <v/>
      </c>
      <c r="M755" s="93">
        <f>INT($G$6/H755)</f>
        <v/>
      </c>
      <c r="N755" s="93">
        <f>IF(M755=0, 0, IF(OR($K$6="Square Grid", M755=1), INT($G$7/H755), IF($G$7&lt;H755, 0, 1+INT(($G$7-H755)/(0.8660254*H755)))))</f>
        <v/>
      </c>
      <c r="O755" s="59">
        <f>IF(OR(M755=0,N755=0), 0, IF(OR($K$6="Square Grid", M755=1), M755*N755*$K$5, (INT((N755+1)/2)*M755 + INT(N755/2)*IF(($G$6-M755*H755)&gt;=0.5*H755, M755, M755-1))*$K$5))</f>
        <v/>
      </c>
      <c r="P755" s="59">
        <f>IF(L755&lt;=0, 0, INT($G$8/L755))</f>
        <v/>
      </c>
      <c r="Q755" s="95">
        <f>MIN(O755, P755)</f>
        <v/>
      </c>
      <c r="R755" s="96">
        <f>ROUND((Q755*L755)/1000, 2)</f>
        <v/>
      </c>
      <c r="S755" s="79">
        <f>IF($C$8&gt;0, R755/$C$8, 0)</f>
        <v/>
      </c>
      <c r="T755" s="79">
        <f>IF(O755&gt;0, Q755/O755, 0)</f>
        <v/>
      </c>
      <c r="U755" s="12">
        <f>IF(Q755=0, "Exceeds Limit", IF(P755&lt;=O755, "Weight Limited", "Volume Limited"))</f>
        <v/>
      </c>
      <c r="V755" s="97">
        <f>B755&amp;"|"&amp;D755&amp;"|"&amp;F755</f>
        <v/>
      </c>
    </row>
    <row r="756" ht="19" customHeight="1">
      <c r="A756" s="98" t="n">
        <v>746</v>
      </c>
      <c r="B756" s="102" t="inlineStr">
        <is>
          <t>Stainless Steel 304</t>
        </is>
      </c>
      <c r="C756" s="19" t="inlineStr">
        <is>
          <t>ASME B36.19M / B36.10M</t>
        </is>
      </c>
      <c r="D756" s="18" t="inlineStr">
        <is>
          <t>30''</t>
        </is>
      </c>
      <c r="E756" s="98" t="n">
        <v>750</v>
      </c>
      <c r="F756" s="18" t="inlineStr">
        <is>
          <t>30</t>
        </is>
      </c>
      <c r="G756" s="20" t="n">
        <v>30</v>
      </c>
      <c r="H756" s="82" t="n">
        <v>762</v>
      </c>
      <c r="I756" s="20" t="n">
        <v>0.625</v>
      </c>
      <c r="J756" s="82" t="n">
        <v>15.88</v>
      </c>
      <c r="K756" s="20">
        <f>ROUND((H756-J756)*J756*IF(B756="Carbon Steel",$K$7,IF(B756="Stainless Steel 304",$K$8,$L$8)), 3)</f>
        <v/>
      </c>
      <c r="L756" s="82">
        <f>ROUND(K756*$G$5, 2)</f>
        <v/>
      </c>
      <c r="M756" s="98">
        <f>INT($G$6/H756)</f>
        <v/>
      </c>
      <c r="N756" s="98">
        <f>IF(M756=0, 0, IF(OR($K$6="Square Grid", M756=1), INT($G$7/H756), IF($G$7&lt;H756, 0, 1+INT(($G$7-H756)/(0.8660254*H756)))))</f>
        <v/>
      </c>
      <c r="O756" s="84">
        <f>IF(OR(M756=0,N756=0), 0, IF(OR($K$6="Square Grid", M756=1), M756*N756*$K$5, (INT((N756+1)/2)*M756 + INT(N756/2)*IF(($G$6-M756*H756)&gt;=0.5*H756, M756, M756-1))*$K$5))</f>
        <v/>
      </c>
      <c r="P756" s="84">
        <f>IF(L756&lt;=0, 0, INT($G$8/L756))</f>
        <v/>
      </c>
      <c r="Q756" s="95">
        <f>MIN(O756, P756)</f>
        <v/>
      </c>
      <c r="R756" s="96">
        <f>ROUND((Q756*L756)/1000, 2)</f>
        <v/>
      </c>
      <c r="S756" s="85">
        <f>IF($C$8&gt;0, R756/$C$8, 0)</f>
        <v/>
      </c>
      <c r="T756" s="85">
        <f>IF(O756&gt;0, Q756/O756, 0)</f>
        <v/>
      </c>
      <c r="U756" s="18">
        <f>IF(Q756=0, "Exceeds Limit", IF(P756&lt;=O756, "Weight Limited", "Volume Limited"))</f>
        <v/>
      </c>
      <c r="V756" s="100">
        <f>B756&amp;"|"&amp;D756&amp;"|"&amp;F756</f>
        <v/>
      </c>
    </row>
    <row r="757" ht="19" customHeight="1">
      <c r="A757" s="93" t="n">
        <v>747</v>
      </c>
      <c r="B757" s="101" t="inlineStr">
        <is>
          <t>Stainless Steel 304</t>
        </is>
      </c>
      <c r="C757" s="13" t="inlineStr">
        <is>
          <t>ASME B36.19M / B36.10M</t>
        </is>
      </c>
      <c r="D757" s="12" t="inlineStr">
        <is>
          <t>30''</t>
        </is>
      </c>
      <c r="E757" s="93" t="n">
        <v>750</v>
      </c>
      <c r="F757" s="12" t="inlineStr">
        <is>
          <t>40S</t>
        </is>
      </c>
      <c r="G757" s="14" t="n">
        <v>30</v>
      </c>
      <c r="H757" s="78" t="n">
        <v>762</v>
      </c>
      <c r="I757" s="14" t="n">
        <v>0.375</v>
      </c>
      <c r="J757" s="78" t="n">
        <v>9.52</v>
      </c>
      <c r="K757" s="14">
        <f>ROUND((H757-J757)*J757*IF(B757="Carbon Steel",$K$7,IF(B757="Stainless Steel 304",$K$8,$L$8)), 3)</f>
        <v/>
      </c>
      <c r="L757" s="78">
        <f>ROUND(K757*$G$5, 2)</f>
        <v/>
      </c>
      <c r="M757" s="93">
        <f>INT($G$6/H757)</f>
        <v/>
      </c>
      <c r="N757" s="93">
        <f>IF(M757=0, 0, IF(OR($K$6="Square Grid", M757=1), INT($G$7/H757), IF($G$7&lt;H757, 0, 1+INT(($G$7-H757)/(0.8660254*H757)))))</f>
        <v/>
      </c>
      <c r="O757" s="59">
        <f>IF(OR(M757=0,N757=0), 0, IF(OR($K$6="Square Grid", M757=1), M757*N757*$K$5, (INT((N757+1)/2)*M757 + INT(N757/2)*IF(($G$6-M757*H757)&gt;=0.5*H757, M757, M757-1))*$K$5))</f>
        <v/>
      </c>
      <c r="P757" s="59">
        <f>IF(L757&lt;=0, 0, INT($G$8/L757))</f>
        <v/>
      </c>
      <c r="Q757" s="95">
        <f>MIN(O757, P757)</f>
        <v/>
      </c>
      <c r="R757" s="96">
        <f>ROUND((Q757*L757)/1000, 2)</f>
        <v/>
      </c>
      <c r="S757" s="79">
        <f>IF($C$8&gt;0, R757/$C$8, 0)</f>
        <v/>
      </c>
      <c r="T757" s="79">
        <f>IF(O757&gt;0, Q757/O757, 0)</f>
        <v/>
      </c>
      <c r="U757" s="12">
        <f>IF(Q757=0, "Exceeds Limit", IF(P757&lt;=O757, "Weight Limited", "Volume Limited"))</f>
        <v/>
      </c>
      <c r="V757" s="97">
        <f>B757&amp;"|"&amp;D757&amp;"|"&amp;F757</f>
        <v/>
      </c>
    </row>
    <row r="758" ht="19" customHeight="1">
      <c r="A758" s="98" t="n">
        <v>748</v>
      </c>
      <c r="B758" s="102" t="inlineStr">
        <is>
          <t>Stainless Steel 304</t>
        </is>
      </c>
      <c r="C758" s="19" t="inlineStr">
        <is>
          <t>ASME B36.19M / B36.10M</t>
        </is>
      </c>
      <c r="D758" s="18" t="inlineStr">
        <is>
          <t>30''</t>
        </is>
      </c>
      <c r="E758" s="98" t="n">
        <v>750</v>
      </c>
      <c r="F758" s="18" t="inlineStr">
        <is>
          <t>STD</t>
        </is>
      </c>
      <c r="G758" s="20" t="n">
        <v>30</v>
      </c>
      <c r="H758" s="82" t="n">
        <v>762</v>
      </c>
      <c r="I758" s="20" t="n">
        <v>0.375</v>
      </c>
      <c r="J758" s="82" t="n">
        <v>9.52</v>
      </c>
      <c r="K758" s="20">
        <f>ROUND((H758-J758)*J758*IF(B758="Carbon Steel",$K$7,IF(B758="Stainless Steel 304",$K$8,$L$8)), 3)</f>
        <v/>
      </c>
      <c r="L758" s="82">
        <f>ROUND(K758*$G$5, 2)</f>
        <v/>
      </c>
      <c r="M758" s="98">
        <f>INT($G$6/H758)</f>
        <v/>
      </c>
      <c r="N758" s="98">
        <f>IF(M758=0, 0, IF(OR($K$6="Square Grid", M758=1), INT($G$7/H758), IF($G$7&lt;H758, 0, 1+INT(($G$7-H758)/(0.8660254*H758)))))</f>
        <v/>
      </c>
      <c r="O758" s="84">
        <f>IF(OR(M758=0,N758=0), 0, IF(OR($K$6="Square Grid", M758=1), M758*N758*$K$5, (INT((N758+1)/2)*M758 + INT(N758/2)*IF(($G$6-M758*H758)&gt;=0.5*H758, M758, M758-1))*$K$5))</f>
        <v/>
      </c>
      <c r="P758" s="84">
        <f>IF(L758&lt;=0, 0, INT($G$8/L758))</f>
        <v/>
      </c>
      <c r="Q758" s="95">
        <f>MIN(O758, P758)</f>
        <v/>
      </c>
      <c r="R758" s="96">
        <f>ROUND((Q758*L758)/1000, 2)</f>
        <v/>
      </c>
      <c r="S758" s="85">
        <f>IF($C$8&gt;0, R758/$C$8, 0)</f>
        <v/>
      </c>
      <c r="T758" s="85">
        <f>IF(O758&gt;0, Q758/O758, 0)</f>
        <v/>
      </c>
      <c r="U758" s="18">
        <f>IF(Q758=0, "Exceeds Limit", IF(P758&lt;=O758, "Weight Limited", "Volume Limited"))</f>
        <v/>
      </c>
      <c r="V758" s="100">
        <f>B758&amp;"|"&amp;D758&amp;"|"&amp;F758</f>
        <v/>
      </c>
    </row>
    <row r="759" ht="19" customHeight="1">
      <c r="A759" s="93" t="n">
        <v>749</v>
      </c>
      <c r="B759" s="101" t="inlineStr">
        <is>
          <t>Stainless Steel 304</t>
        </is>
      </c>
      <c r="C759" s="13" t="inlineStr">
        <is>
          <t>ASME B36.19M / B36.10M</t>
        </is>
      </c>
      <c r="D759" s="12" t="inlineStr">
        <is>
          <t>30''</t>
        </is>
      </c>
      <c r="E759" s="93" t="n">
        <v>750</v>
      </c>
      <c r="F759" s="12" t="inlineStr">
        <is>
          <t>80S</t>
        </is>
      </c>
      <c r="G759" s="14" t="n">
        <v>30</v>
      </c>
      <c r="H759" s="78" t="n">
        <v>762</v>
      </c>
      <c r="I759" s="14" t="n">
        <v>0.5</v>
      </c>
      <c r="J759" s="78" t="n">
        <v>12.7</v>
      </c>
      <c r="K759" s="14">
        <f>ROUND((H759-J759)*J759*IF(B759="Carbon Steel",$K$7,IF(B759="Stainless Steel 304",$K$8,$L$8)), 3)</f>
        <v/>
      </c>
      <c r="L759" s="78">
        <f>ROUND(K759*$G$5, 2)</f>
        <v/>
      </c>
      <c r="M759" s="93">
        <f>INT($G$6/H759)</f>
        <v/>
      </c>
      <c r="N759" s="93">
        <f>IF(M759=0, 0, IF(OR($K$6="Square Grid", M759=1), INT($G$7/H759), IF($G$7&lt;H759, 0, 1+INT(($G$7-H759)/(0.8660254*H759)))))</f>
        <v/>
      </c>
      <c r="O759" s="59">
        <f>IF(OR(M759=0,N759=0), 0, IF(OR($K$6="Square Grid", M759=1), M759*N759*$K$5, (INT((N759+1)/2)*M759 + INT(N759/2)*IF(($G$6-M759*H759)&gt;=0.5*H759, M759, M759-1))*$K$5))</f>
        <v/>
      </c>
      <c r="P759" s="59">
        <f>IF(L759&lt;=0, 0, INT($G$8/L759))</f>
        <v/>
      </c>
      <c r="Q759" s="95">
        <f>MIN(O759, P759)</f>
        <v/>
      </c>
      <c r="R759" s="96">
        <f>ROUND((Q759*L759)/1000, 2)</f>
        <v/>
      </c>
      <c r="S759" s="79">
        <f>IF($C$8&gt;0, R759/$C$8, 0)</f>
        <v/>
      </c>
      <c r="T759" s="79">
        <f>IF(O759&gt;0, Q759/O759, 0)</f>
        <v/>
      </c>
      <c r="U759" s="12">
        <f>IF(Q759=0, "Exceeds Limit", IF(P759&lt;=O759, "Weight Limited", "Volume Limited"))</f>
        <v/>
      </c>
      <c r="V759" s="97">
        <f>B759&amp;"|"&amp;D759&amp;"|"&amp;F759</f>
        <v/>
      </c>
    </row>
    <row r="760" ht="19" customHeight="1">
      <c r="A760" s="98" t="n">
        <v>750</v>
      </c>
      <c r="B760" s="102" t="inlineStr">
        <is>
          <t>Stainless Steel 304</t>
        </is>
      </c>
      <c r="C760" s="19" t="inlineStr">
        <is>
          <t>ASME B36.19M / B36.10M</t>
        </is>
      </c>
      <c r="D760" s="18" t="inlineStr">
        <is>
          <t>30''</t>
        </is>
      </c>
      <c r="E760" s="98" t="n">
        <v>750</v>
      </c>
      <c r="F760" s="18" t="inlineStr">
        <is>
          <t>XS</t>
        </is>
      </c>
      <c r="G760" s="20" t="n">
        <v>30</v>
      </c>
      <c r="H760" s="82" t="n">
        <v>762</v>
      </c>
      <c r="I760" s="20" t="n">
        <v>0.5</v>
      </c>
      <c r="J760" s="82" t="n">
        <v>12.7</v>
      </c>
      <c r="K760" s="20">
        <f>ROUND((H760-J760)*J760*IF(B760="Carbon Steel",$K$7,IF(B760="Stainless Steel 304",$K$8,$L$8)), 3)</f>
        <v/>
      </c>
      <c r="L760" s="82">
        <f>ROUND(K760*$G$5, 2)</f>
        <v/>
      </c>
      <c r="M760" s="98">
        <f>INT($G$6/H760)</f>
        <v/>
      </c>
      <c r="N760" s="98">
        <f>IF(M760=0, 0, IF(OR($K$6="Square Grid", M760=1), INT($G$7/H760), IF($G$7&lt;H760, 0, 1+INT(($G$7-H760)/(0.8660254*H760)))))</f>
        <v/>
      </c>
      <c r="O760" s="84">
        <f>IF(OR(M760=0,N760=0), 0, IF(OR($K$6="Square Grid", M760=1), M760*N760*$K$5, (INT((N760+1)/2)*M760 + INT(N760/2)*IF(($G$6-M760*H760)&gt;=0.5*H760, M760, M760-1))*$K$5))</f>
        <v/>
      </c>
      <c r="P760" s="84">
        <f>IF(L760&lt;=0, 0, INT($G$8/L760))</f>
        <v/>
      </c>
      <c r="Q760" s="95">
        <f>MIN(O760, P760)</f>
        <v/>
      </c>
      <c r="R760" s="96">
        <f>ROUND((Q760*L760)/1000, 2)</f>
        <v/>
      </c>
      <c r="S760" s="85">
        <f>IF($C$8&gt;0, R760/$C$8, 0)</f>
        <v/>
      </c>
      <c r="T760" s="85">
        <f>IF(O760&gt;0, Q760/O760, 0)</f>
        <v/>
      </c>
      <c r="U760" s="18">
        <f>IF(Q760=0, "Exceeds Limit", IF(P760&lt;=O760, "Weight Limited", "Volume Limited"))</f>
        <v/>
      </c>
      <c r="V760" s="100">
        <f>B760&amp;"|"&amp;D760&amp;"|"&amp;F760</f>
        <v/>
      </c>
    </row>
    <row r="761" ht="19" customHeight="1">
      <c r="A761" s="93" t="n">
        <v>751</v>
      </c>
      <c r="B761" s="101" t="inlineStr">
        <is>
          <t>Stainless Steel 304</t>
        </is>
      </c>
      <c r="C761" s="13" t="inlineStr">
        <is>
          <t>ASME B36.19M / B36.10M</t>
        </is>
      </c>
      <c r="D761" s="12" t="inlineStr">
        <is>
          <t>32''</t>
        </is>
      </c>
      <c r="E761" s="93" t="n">
        <v>800</v>
      </c>
      <c r="F761" s="12" t="inlineStr">
        <is>
          <t>10</t>
        </is>
      </c>
      <c r="G761" s="14" t="n">
        <v>32</v>
      </c>
      <c r="H761" s="78" t="n">
        <v>812.8</v>
      </c>
      <c r="I761" s="14" t="n">
        <v>0.312</v>
      </c>
      <c r="J761" s="78" t="n">
        <v>7.92</v>
      </c>
      <c r="K761" s="14">
        <f>ROUND((H761-J761)*J761*IF(B761="Carbon Steel",$K$7,IF(B761="Stainless Steel 304",$K$8,$L$8)), 3)</f>
        <v/>
      </c>
      <c r="L761" s="78">
        <f>ROUND(K761*$G$5, 2)</f>
        <v/>
      </c>
      <c r="M761" s="93">
        <f>INT($G$6/H761)</f>
        <v/>
      </c>
      <c r="N761" s="93">
        <f>IF(M761=0, 0, IF(OR($K$6="Square Grid", M761=1), INT($G$7/H761), IF($G$7&lt;H761, 0, 1+INT(($G$7-H761)/(0.8660254*H761)))))</f>
        <v/>
      </c>
      <c r="O761" s="59">
        <f>IF(OR(M761=0,N761=0), 0, IF(OR($K$6="Square Grid", M761=1), M761*N761*$K$5, (INT((N761+1)/2)*M761 + INT(N761/2)*IF(($G$6-M761*H761)&gt;=0.5*H761, M761, M761-1))*$K$5))</f>
        <v/>
      </c>
      <c r="P761" s="59">
        <f>IF(L761&lt;=0, 0, INT($G$8/L761))</f>
        <v/>
      </c>
      <c r="Q761" s="95">
        <f>MIN(O761, P761)</f>
        <v/>
      </c>
      <c r="R761" s="96">
        <f>ROUND((Q761*L761)/1000, 2)</f>
        <v/>
      </c>
      <c r="S761" s="79">
        <f>IF($C$8&gt;0, R761/$C$8, 0)</f>
        <v/>
      </c>
      <c r="T761" s="79">
        <f>IF(O761&gt;0, Q761/O761, 0)</f>
        <v/>
      </c>
      <c r="U761" s="12">
        <f>IF(Q761=0, "Exceeds Limit", IF(P761&lt;=O761, "Weight Limited", "Volume Limited"))</f>
        <v/>
      </c>
      <c r="V761" s="97">
        <f>B761&amp;"|"&amp;D761&amp;"|"&amp;F761</f>
        <v/>
      </c>
    </row>
    <row r="762" ht="19" customHeight="1">
      <c r="A762" s="98" t="n">
        <v>752</v>
      </c>
      <c r="B762" s="102" t="inlineStr">
        <is>
          <t>Stainless Steel 304</t>
        </is>
      </c>
      <c r="C762" s="19" t="inlineStr">
        <is>
          <t>ASME B36.19M / B36.10M</t>
        </is>
      </c>
      <c r="D762" s="18" t="inlineStr">
        <is>
          <t>32''</t>
        </is>
      </c>
      <c r="E762" s="98" t="n">
        <v>800</v>
      </c>
      <c r="F762" s="18" t="inlineStr">
        <is>
          <t>20</t>
        </is>
      </c>
      <c r="G762" s="20" t="n">
        <v>32</v>
      </c>
      <c r="H762" s="82" t="n">
        <v>812.8</v>
      </c>
      <c r="I762" s="20" t="n">
        <v>0.5</v>
      </c>
      <c r="J762" s="82" t="n">
        <v>12.7</v>
      </c>
      <c r="K762" s="20">
        <f>ROUND((H762-J762)*J762*IF(B762="Carbon Steel",$K$7,IF(B762="Stainless Steel 304",$K$8,$L$8)), 3)</f>
        <v/>
      </c>
      <c r="L762" s="82">
        <f>ROUND(K762*$G$5, 2)</f>
        <v/>
      </c>
      <c r="M762" s="98">
        <f>INT($G$6/H762)</f>
        <v/>
      </c>
      <c r="N762" s="98">
        <f>IF(M762=0, 0, IF(OR($K$6="Square Grid", M762=1), INT($G$7/H762), IF($G$7&lt;H762, 0, 1+INT(($G$7-H762)/(0.8660254*H762)))))</f>
        <v/>
      </c>
      <c r="O762" s="84">
        <f>IF(OR(M762=0,N762=0), 0, IF(OR($K$6="Square Grid", M762=1), M762*N762*$K$5, (INT((N762+1)/2)*M762 + INT(N762/2)*IF(($G$6-M762*H762)&gt;=0.5*H762, M762, M762-1))*$K$5))</f>
        <v/>
      </c>
      <c r="P762" s="84">
        <f>IF(L762&lt;=0, 0, INT($G$8/L762))</f>
        <v/>
      </c>
      <c r="Q762" s="95">
        <f>MIN(O762, P762)</f>
        <v/>
      </c>
      <c r="R762" s="96">
        <f>ROUND((Q762*L762)/1000, 2)</f>
        <v/>
      </c>
      <c r="S762" s="85">
        <f>IF($C$8&gt;0, R762/$C$8, 0)</f>
        <v/>
      </c>
      <c r="T762" s="85">
        <f>IF(O762&gt;0, Q762/O762, 0)</f>
        <v/>
      </c>
      <c r="U762" s="18">
        <f>IF(Q762=0, "Exceeds Limit", IF(P762&lt;=O762, "Weight Limited", "Volume Limited"))</f>
        <v/>
      </c>
      <c r="V762" s="100">
        <f>B762&amp;"|"&amp;D762&amp;"|"&amp;F762</f>
        <v/>
      </c>
    </row>
    <row r="763" ht="19" customHeight="1">
      <c r="A763" s="93" t="n">
        <v>753</v>
      </c>
      <c r="B763" s="101" t="inlineStr">
        <is>
          <t>Stainless Steel 304</t>
        </is>
      </c>
      <c r="C763" s="13" t="inlineStr">
        <is>
          <t>ASME B36.19M / B36.10M</t>
        </is>
      </c>
      <c r="D763" s="12" t="inlineStr">
        <is>
          <t>32''</t>
        </is>
      </c>
      <c r="E763" s="93" t="n">
        <v>800</v>
      </c>
      <c r="F763" s="12" t="inlineStr">
        <is>
          <t>30</t>
        </is>
      </c>
      <c r="G763" s="14" t="n">
        <v>32</v>
      </c>
      <c r="H763" s="78" t="n">
        <v>812.8</v>
      </c>
      <c r="I763" s="14" t="n">
        <v>0.625</v>
      </c>
      <c r="J763" s="78" t="n">
        <v>15.88</v>
      </c>
      <c r="K763" s="14">
        <f>ROUND((H763-J763)*J763*IF(B763="Carbon Steel",$K$7,IF(B763="Stainless Steel 304",$K$8,$L$8)), 3)</f>
        <v/>
      </c>
      <c r="L763" s="78">
        <f>ROUND(K763*$G$5, 2)</f>
        <v/>
      </c>
      <c r="M763" s="93">
        <f>INT($G$6/H763)</f>
        <v/>
      </c>
      <c r="N763" s="93">
        <f>IF(M763=0, 0, IF(OR($K$6="Square Grid", M763=1), INT($G$7/H763), IF($G$7&lt;H763, 0, 1+INT(($G$7-H763)/(0.8660254*H763)))))</f>
        <v/>
      </c>
      <c r="O763" s="59">
        <f>IF(OR(M763=0,N763=0), 0, IF(OR($K$6="Square Grid", M763=1), M763*N763*$K$5, (INT((N763+1)/2)*M763 + INT(N763/2)*IF(($G$6-M763*H763)&gt;=0.5*H763, M763, M763-1))*$K$5))</f>
        <v/>
      </c>
      <c r="P763" s="59">
        <f>IF(L763&lt;=0, 0, INT($G$8/L763))</f>
        <v/>
      </c>
      <c r="Q763" s="95">
        <f>MIN(O763, P763)</f>
        <v/>
      </c>
      <c r="R763" s="96">
        <f>ROUND((Q763*L763)/1000, 2)</f>
        <v/>
      </c>
      <c r="S763" s="79">
        <f>IF($C$8&gt;0, R763/$C$8, 0)</f>
        <v/>
      </c>
      <c r="T763" s="79">
        <f>IF(O763&gt;0, Q763/O763, 0)</f>
        <v/>
      </c>
      <c r="U763" s="12">
        <f>IF(Q763=0, "Exceeds Limit", IF(P763&lt;=O763, "Weight Limited", "Volume Limited"))</f>
        <v/>
      </c>
      <c r="V763" s="97">
        <f>B763&amp;"|"&amp;D763&amp;"|"&amp;F763</f>
        <v/>
      </c>
    </row>
    <row r="764" ht="19" customHeight="1">
      <c r="A764" s="98" t="n">
        <v>754</v>
      </c>
      <c r="B764" s="102" t="inlineStr">
        <is>
          <t>Stainless Steel 304</t>
        </is>
      </c>
      <c r="C764" s="19" t="inlineStr">
        <is>
          <t>ASME B36.19M / B36.10M</t>
        </is>
      </c>
      <c r="D764" s="18" t="inlineStr">
        <is>
          <t>32''</t>
        </is>
      </c>
      <c r="E764" s="98" t="n">
        <v>800</v>
      </c>
      <c r="F764" s="18" t="inlineStr">
        <is>
          <t>STD</t>
        </is>
      </c>
      <c r="G764" s="20" t="n">
        <v>32</v>
      </c>
      <c r="H764" s="82" t="n">
        <v>812.8</v>
      </c>
      <c r="I764" s="20" t="n">
        <v>0.375</v>
      </c>
      <c r="J764" s="82" t="n">
        <v>9.52</v>
      </c>
      <c r="K764" s="20">
        <f>ROUND((H764-J764)*J764*IF(B764="Carbon Steel",$K$7,IF(B764="Stainless Steel 304",$K$8,$L$8)), 3)</f>
        <v/>
      </c>
      <c r="L764" s="82">
        <f>ROUND(K764*$G$5, 2)</f>
        <v/>
      </c>
      <c r="M764" s="98">
        <f>INT($G$6/H764)</f>
        <v/>
      </c>
      <c r="N764" s="98">
        <f>IF(M764=0, 0, IF(OR($K$6="Square Grid", M764=1), INT($G$7/H764), IF($G$7&lt;H764, 0, 1+INT(($G$7-H764)/(0.8660254*H764)))))</f>
        <v/>
      </c>
      <c r="O764" s="84">
        <f>IF(OR(M764=0,N764=0), 0, IF(OR($K$6="Square Grid", M764=1), M764*N764*$K$5, (INT((N764+1)/2)*M764 + INT(N764/2)*IF(($G$6-M764*H764)&gt;=0.5*H764, M764, M764-1))*$K$5))</f>
        <v/>
      </c>
      <c r="P764" s="84">
        <f>IF(L764&lt;=0, 0, INT($G$8/L764))</f>
        <v/>
      </c>
      <c r="Q764" s="95">
        <f>MIN(O764, P764)</f>
        <v/>
      </c>
      <c r="R764" s="96">
        <f>ROUND((Q764*L764)/1000, 2)</f>
        <v/>
      </c>
      <c r="S764" s="85">
        <f>IF($C$8&gt;0, R764/$C$8, 0)</f>
        <v/>
      </c>
      <c r="T764" s="85">
        <f>IF(O764&gt;0, Q764/O764, 0)</f>
        <v/>
      </c>
      <c r="U764" s="18">
        <f>IF(Q764=0, "Exceeds Limit", IF(P764&lt;=O764, "Weight Limited", "Volume Limited"))</f>
        <v/>
      </c>
      <c r="V764" s="100">
        <f>B764&amp;"|"&amp;D764&amp;"|"&amp;F764</f>
        <v/>
      </c>
    </row>
    <row r="765" ht="19" customHeight="1">
      <c r="A765" s="93" t="n">
        <v>755</v>
      </c>
      <c r="B765" s="101" t="inlineStr">
        <is>
          <t>Stainless Steel 304</t>
        </is>
      </c>
      <c r="C765" s="13" t="inlineStr">
        <is>
          <t>ASME B36.19M / B36.10M</t>
        </is>
      </c>
      <c r="D765" s="12" t="inlineStr">
        <is>
          <t>32''</t>
        </is>
      </c>
      <c r="E765" s="93" t="n">
        <v>800</v>
      </c>
      <c r="F765" s="12" t="inlineStr">
        <is>
          <t>40</t>
        </is>
      </c>
      <c r="G765" s="14" t="n">
        <v>32</v>
      </c>
      <c r="H765" s="78" t="n">
        <v>812.8</v>
      </c>
      <c r="I765" s="14" t="n">
        <v>0.6879999999999999</v>
      </c>
      <c r="J765" s="78" t="n">
        <v>17.48</v>
      </c>
      <c r="K765" s="14">
        <f>ROUND((H765-J765)*J765*IF(B765="Carbon Steel",$K$7,IF(B765="Stainless Steel 304",$K$8,$L$8)), 3)</f>
        <v/>
      </c>
      <c r="L765" s="78">
        <f>ROUND(K765*$G$5, 2)</f>
        <v/>
      </c>
      <c r="M765" s="93">
        <f>INT($G$6/H765)</f>
        <v/>
      </c>
      <c r="N765" s="93">
        <f>IF(M765=0, 0, IF(OR($K$6="Square Grid", M765=1), INT($G$7/H765), IF($G$7&lt;H765, 0, 1+INT(($G$7-H765)/(0.8660254*H765)))))</f>
        <v/>
      </c>
      <c r="O765" s="59">
        <f>IF(OR(M765=0,N765=0), 0, IF(OR($K$6="Square Grid", M765=1), M765*N765*$K$5, (INT((N765+1)/2)*M765 + INT(N765/2)*IF(($G$6-M765*H765)&gt;=0.5*H765, M765, M765-1))*$K$5))</f>
        <v/>
      </c>
      <c r="P765" s="59">
        <f>IF(L765&lt;=0, 0, INT($G$8/L765))</f>
        <v/>
      </c>
      <c r="Q765" s="95">
        <f>MIN(O765, P765)</f>
        <v/>
      </c>
      <c r="R765" s="96">
        <f>ROUND((Q765*L765)/1000, 2)</f>
        <v/>
      </c>
      <c r="S765" s="79">
        <f>IF($C$8&gt;0, R765/$C$8, 0)</f>
        <v/>
      </c>
      <c r="T765" s="79">
        <f>IF(O765&gt;0, Q765/O765, 0)</f>
        <v/>
      </c>
      <c r="U765" s="12">
        <f>IF(Q765=0, "Exceeds Limit", IF(P765&lt;=O765, "Weight Limited", "Volume Limited"))</f>
        <v/>
      </c>
      <c r="V765" s="97">
        <f>B765&amp;"|"&amp;D765&amp;"|"&amp;F765</f>
        <v/>
      </c>
    </row>
    <row r="766" ht="19" customHeight="1">
      <c r="A766" s="98" t="n">
        <v>756</v>
      </c>
      <c r="B766" s="102" t="inlineStr">
        <is>
          <t>Stainless Steel 304</t>
        </is>
      </c>
      <c r="C766" s="19" t="inlineStr">
        <is>
          <t>ASME B36.19M / B36.10M</t>
        </is>
      </c>
      <c r="D766" s="18" t="inlineStr">
        <is>
          <t>32''</t>
        </is>
      </c>
      <c r="E766" s="98" t="n">
        <v>800</v>
      </c>
      <c r="F766" s="18" t="inlineStr">
        <is>
          <t>XS</t>
        </is>
      </c>
      <c r="G766" s="20" t="n">
        <v>32</v>
      </c>
      <c r="H766" s="82" t="n">
        <v>812.8</v>
      </c>
      <c r="I766" s="20" t="n">
        <v>0.5</v>
      </c>
      <c r="J766" s="82" t="n">
        <v>12.7</v>
      </c>
      <c r="K766" s="20">
        <f>ROUND((H766-J766)*J766*IF(B766="Carbon Steel",$K$7,IF(B766="Stainless Steel 304",$K$8,$L$8)), 3)</f>
        <v/>
      </c>
      <c r="L766" s="82">
        <f>ROUND(K766*$G$5, 2)</f>
        <v/>
      </c>
      <c r="M766" s="98">
        <f>INT($G$6/H766)</f>
        <v/>
      </c>
      <c r="N766" s="98">
        <f>IF(M766=0, 0, IF(OR($K$6="Square Grid", M766=1), INT($G$7/H766), IF($G$7&lt;H766, 0, 1+INT(($G$7-H766)/(0.8660254*H766)))))</f>
        <v/>
      </c>
      <c r="O766" s="84">
        <f>IF(OR(M766=0,N766=0), 0, IF(OR($K$6="Square Grid", M766=1), M766*N766*$K$5, (INT((N766+1)/2)*M766 + INT(N766/2)*IF(($G$6-M766*H766)&gt;=0.5*H766, M766, M766-1))*$K$5))</f>
        <v/>
      </c>
      <c r="P766" s="84">
        <f>IF(L766&lt;=0, 0, INT($G$8/L766))</f>
        <v/>
      </c>
      <c r="Q766" s="95">
        <f>MIN(O766, P766)</f>
        <v/>
      </c>
      <c r="R766" s="96">
        <f>ROUND((Q766*L766)/1000, 2)</f>
        <v/>
      </c>
      <c r="S766" s="85">
        <f>IF($C$8&gt;0, R766/$C$8, 0)</f>
        <v/>
      </c>
      <c r="T766" s="85">
        <f>IF(O766&gt;0, Q766/O766, 0)</f>
        <v/>
      </c>
      <c r="U766" s="18">
        <f>IF(Q766=0, "Exceeds Limit", IF(P766&lt;=O766, "Weight Limited", "Volume Limited"))</f>
        <v/>
      </c>
      <c r="V766" s="100">
        <f>B766&amp;"|"&amp;D766&amp;"|"&amp;F766</f>
        <v/>
      </c>
    </row>
    <row r="767" ht="19" customHeight="1">
      <c r="A767" s="93" t="n">
        <v>757</v>
      </c>
      <c r="B767" s="101" t="inlineStr">
        <is>
          <t>Stainless Steel 304</t>
        </is>
      </c>
      <c r="C767" s="13" t="inlineStr">
        <is>
          <t>ASME B36.19M / B36.10M</t>
        </is>
      </c>
      <c r="D767" s="12" t="inlineStr">
        <is>
          <t>34''</t>
        </is>
      </c>
      <c r="E767" s="93" t="n">
        <v>850</v>
      </c>
      <c r="F767" s="12" t="inlineStr">
        <is>
          <t>10</t>
        </is>
      </c>
      <c r="G767" s="14" t="n">
        <v>34</v>
      </c>
      <c r="H767" s="78" t="n">
        <v>863.6</v>
      </c>
      <c r="I767" s="14" t="n">
        <v>0.312</v>
      </c>
      <c r="J767" s="78" t="n">
        <v>7.92</v>
      </c>
      <c r="K767" s="14">
        <f>ROUND((H767-J767)*J767*IF(B767="Carbon Steel",$K$7,IF(B767="Stainless Steel 304",$K$8,$L$8)), 3)</f>
        <v/>
      </c>
      <c r="L767" s="78">
        <f>ROUND(K767*$G$5, 2)</f>
        <v/>
      </c>
      <c r="M767" s="93">
        <f>INT($G$6/H767)</f>
        <v/>
      </c>
      <c r="N767" s="93">
        <f>IF(M767=0, 0, IF(OR($K$6="Square Grid", M767=1), INT($G$7/H767), IF($G$7&lt;H767, 0, 1+INT(($G$7-H767)/(0.8660254*H767)))))</f>
        <v/>
      </c>
      <c r="O767" s="59">
        <f>IF(OR(M767=0,N767=0), 0, IF(OR($K$6="Square Grid", M767=1), M767*N767*$K$5, (INT((N767+1)/2)*M767 + INT(N767/2)*IF(($G$6-M767*H767)&gt;=0.5*H767, M767, M767-1))*$K$5))</f>
        <v/>
      </c>
      <c r="P767" s="59">
        <f>IF(L767&lt;=0, 0, INT($G$8/L767))</f>
        <v/>
      </c>
      <c r="Q767" s="95">
        <f>MIN(O767, P767)</f>
        <v/>
      </c>
      <c r="R767" s="96">
        <f>ROUND((Q767*L767)/1000, 2)</f>
        <v/>
      </c>
      <c r="S767" s="79">
        <f>IF($C$8&gt;0, R767/$C$8, 0)</f>
        <v/>
      </c>
      <c r="T767" s="79">
        <f>IF(O767&gt;0, Q767/O767, 0)</f>
        <v/>
      </c>
      <c r="U767" s="12">
        <f>IF(Q767=0, "Exceeds Limit", IF(P767&lt;=O767, "Weight Limited", "Volume Limited"))</f>
        <v/>
      </c>
      <c r="V767" s="97">
        <f>B767&amp;"|"&amp;D767&amp;"|"&amp;F767</f>
        <v/>
      </c>
    </row>
    <row r="768" ht="19" customHeight="1">
      <c r="A768" s="98" t="n">
        <v>758</v>
      </c>
      <c r="B768" s="102" t="inlineStr">
        <is>
          <t>Stainless Steel 304</t>
        </is>
      </c>
      <c r="C768" s="19" t="inlineStr">
        <is>
          <t>ASME B36.19M / B36.10M</t>
        </is>
      </c>
      <c r="D768" s="18" t="inlineStr">
        <is>
          <t>34''</t>
        </is>
      </c>
      <c r="E768" s="98" t="n">
        <v>850</v>
      </c>
      <c r="F768" s="18" t="inlineStr">
        <is>
          <t>20</t>
        </is>
      </c>
      <c r="G768" s="20" t="n">
        <v>34</v>
      </c>
      <c r="H768" s="82" t="n">
        <v>863.6</v>
      </c>
      <c r="I768" s="20" t="n">
        <v>0.5</v>
      </c>
      <c r="J768" s="82" t="n">
        <v>12.7</v>
      </c>
      <c r="K768" s="20">
        <f>ROUND((H768-J768)*J768*IF(B768="Carbon Steel",$K$7,IF(B768="Stainless Steel 304",$K$8,$L$8)), 3)</f>
        <v/>
      </c>
      <c r="L768" s="82">
        <f>ROUND(K768*$G$5, 2)</f>
        <v/>
      </c>
      <c r="M768" s="98">
        <f>INT($G$6/H768)</f>
        <v/>
      </c>
      <c r="N768" s="98">
        <f>IF(M768=0, 0, IF(OR($K$6="Square Grid", M768=1), INT($G$7/H768), IF($G$7&lt;H768, 0, 1+INT(($G$7-H768)/(0.8660254*H768)))))</f>
        <v/>
      </c>
      <c r="O768" s="84">
        <f>IF(OR(M768=0,N768=0), 0, IF(OR($K$6="Square Grid", M768=1), M768*N768*$K$5, (INT((N768+1)/2)*M768 + INT(N768/2)*IF(($G$6-M768*H768)&gt;=0.5*H768, M768, M768-1))*$K$5))</f>
        <v/>
      </c>
      <c r="P768" s="84">
        <f>IF(L768&lt;=0, 0, INT($G$8/L768))</f>
        <v/>
      </c>
      <c r="Q768" s="95">
        <f>MIN(O768, P768)</f>
        <v/>
      </c>
      <c r="R768" s="96">
        <f>ROUND((Q768*L768)/1000, 2)</f>
        <v/>
      </c>
      <c r="S768" s="85">
        <f>IF($C$8&gt;0, R768/$C$8, 0)</f>
        <v/>
      </c>
      <c r="T768" s="85">
        <f>IF(O768&gt;0, Q768/O768, 0)</f>
        <v/>
      </c>
      <c r="U768" s="18">
        <f>IF(Q768=0, "Exceeds Limit", IF(P768&lt;=O768, "Weight Limited", "Volume Limited"))</f>
        <v/>
      </c>
      <c r="V768" s="100">
        <f>B768&amp;"|"&amp;D768&amp;"|"&amp;F768</f>
        <v/>
      </c>
    </row>
    <row r="769" ht="19" customHeight="1">
      <c r="A769" s="93" t="n">
        <v>759</v>
      </c>
      <c r="B769" s="101" t="inlineStr">
        <is>
          <t>Stainless Steel 304</t>
        </is>
      </c>
      <c r="C769" s="13" t="inlineStr">
        <is>
          <t>ASME B36.19M / B36.10M</t>
        </is>
      </c>
      <c r="D769" s="12" t="inlineStr">
        <is>
          <t>34''</t>
        </is>
      </c>
      <c r="E769" s="93" t="n">
        <v>850</v>
      </c>
      <c r="F769" s="12" t="inlineStr">
        <is>
          <t>30</t>
        </is>
      </c>
      <c r="G769" s="14" t="n">
        <v>34</v>
      </c>
      <c r="H769" s="78" t="n">
        <v>863.6</v>
      </c>
      <c r="I769" s="14" t="n">
        <v>0.625</v>
      </c>
      <c r="J769" s="78" t="n">
        <v>15.88</v>
      </c>
      <c r="K769" s="14">
        <f>ROUND((H769-J769)*J769*IF(B769="Carbon Steel",$K$7,IF(B769="Stainless Steel 304",$K$8,$L$8)), 3)</f>
        <v/>
      </c>
      <c r="L769" s="78">
        <f>ROUND(K769*$G$5, 2)</f>
        <v/>
      </c>
      <c r="M769" s="93">
        <f>INT($G$6/H769)</f>
        <v/>
      </c>
      <c r="N769" s="93">
        <f>IF(M769=0, 0, IF(OR($K$6="Square Grid", M769=1), INT($G$7/H769), IF($G$7&lt;H769, 0, 1+INT(($G$7-H769)/(0.8660254*H769)))))</f>
        <v/>
      </c>
      <c r="O769" s="59">
        <f>IF(OR(M769=0,N769=0), 0, IF(OR($K$6="Square Grid", M769=1), M769*N769*$K$5, (INT((N769+1)/2)*M769 + INT(N769/2)*IF(($G$6-M769*H769)&gt;=0.5*H769, M769, M769-1))*$K$5))</f>
        <v/>
      </c>
      <c r="P769" s="59">
        <f>IF(L769&lt;=0, 0, INT($G$8/L769))</f>
        <v/>
      </c>
      <c r="Q769" s="95">
        <f>MIN(O769, P769)</f>
        <v/>
      </c>
      <c r="R769" s="96">
        <f>ROUND((Q769*L769)/1000, 2)</f>
        <v/>
      </c>
      <c r="S769" s="79">
        <f>IF($C$8&gt;0, R769/$C$8, 0)</f>
        <v/>
      </c>
      <c r="T769" s="79">
        <f>IF(O769&gt;0, Q769/O769, 0)</f>
        <v/>
      </c>
      <c r="U769" s="12">
        <f>IF(Q769=0, "Exceeds Limit", IF(P769&lt;=O769, "Weight Limited", "Volume Limited"))</f>
        <v/>
      </c>
      <c r="V769" s="97">
        <f>B769&amp;"|"&amp;D769&amp;"|"&amp;F769</f>
        <v/>
      </c>
    </row>
    <row r="770" ht="19" customHeight="1">
      <c r="A770" s="98" t="n">
        <v>760</v>
      </c>
      <c r="B770" s="102" t="inlineStr">
        <is>
          <t>Stainless Steel 304</t>
        </is>
      </c>
      <c r="C770" s="19" t="inlineStr">
        <is>
          <t>ASME B36.19M / B36.10M</t>
        </is>
      </c>
      <c r="D770" s="18" t="inlineStr">
        <is>
          <t>34''</t>
        </is>
      </c>
      <c r="E770" s="98" t="n">
        <v>850</v>
      </c>
      <c r="F770" s="18" t="inlineStr">
        <is>
          <t>STD</t>
        </is>
      </c>
      <c r="G770" s="20" t="n">
        <v>34</v>
      </c>
      <c r="H770" s="82" t="n">
        <v>863.6</v>
      </c>
      <c r="I770" s="20" t="n">
        <v>0.375</v>
      </c>
      <c r="J770" s="82" t="n">
        <v>9.52</v>
      </c>
      <c r="K770" s="20">
        <f>ROUND((H770-J770)*J770*IF(B770="Carbon Steel",$K$7,IF(B770="Stainless Steel 304",$K$8,$L$8)), 3)</f>
        <v/>
      </c>
      <c r="L770" s="82">
        <f>ROUND(K770*$G$5, 2)</f>
        <v/>
      </c>
      <c r="M770" s="98">
        <f>INT($G$6/H770)</f>
        <v/>
      </c>
      <c r="N770" s="98">
        <f>IF(M770=0, 0, IF(OR($K$6="Square Grid", M770=1), INT($G$7/H770), IF($G$7&lt;H770, 0, 1+INT(($G$7-H770)/(0.8660254*H770)))))</f>
        <v/>
      </c>
      <c r="O770" s="84">
        <f>IF(OR(M770=0,N770=0), 0, IF(OR($K$6="Square Grid", M770=1), M770*N770*$K$5, (INT((N770+1)/2)*M770 + INT(N770/2)*IF(($G$6-M770*H770)&gt;=0.5*H770, M770, M770-1))*$K$5))</f>
        <v/>
      </c>
      <c r="P770" s="84">
        <f>IF(L770&lt;=0, 0, INT($G$8/L770))</f>
        <v/>
      </c>
      <c r="Q770" s="95">
        <f>MIN(O770, P770)</f>
        <v/>
      </c>
      <c r="R770" s="96">
        <f>ROUND((Q770*L770)/1000, 2)</f>
        <v/>
      </c>
      <c r="S770" s="85">
        <f>IF($C$8&gt;0, R770/$C$8, 0)</f>
        <v/>
      </c>
      <c r="T770" s="85">
        <f>IF(O770&gt;0, Q770/O770, 0)</f>
        <v/>
      </c>
      <c r="U770" s="18">
        <f>IF(Q770=0, "Exceeds Limit", IF(P770&lt;=O770, "Weight Limited", "Volume Limited"))</f>
        <v/>
      </c>
      <c r="V770" s="100">
        <f>B770&amp;"|"&amp;D770&amp;"|"&amp;F770</f>
        <v/>
      </c>
    </row>
    <row r="771" ht="19" customHeight="1">
      <c r="A771" s="93" t="n">
        <v>761</v>
      </c>
      <c r="B771" s="101" t="inlineStr">
        <is>
          <t>Stainless Steel 304</t>
        </is>
      </c>
      <c r="C771" s="13" t="inlineStr">
        <is>
          <t>ASME B36.19M / B36.10M</t>
        </is>
      </c>
      <c r="D771" s="12" t="inlineStr">
        <is>
          <t>34''</t>
        </is>
      </c>
      <c r="E771" s="93" t="n">
        <v>850</v>
      </c>
      <c r="F771" s="12" t="inlineStr">
        <is>
          <t>40</t>
        </is>
      </c>
      <c r="G771" s="14" t="n">
        <v>34</v>
      </c>
      <c r="H771" s="78" t="n">
        <v>863.6</v>
      </c>
      <c r="I771" s="14" t="n">
        <v>0.6879999999999999</v>
      </c>
      <c r="J771" s="78" t="n">
        <v>17.48</v>
      </c>
      <c r="K771" s="14">
        <f>ROUND((H771-J771)*J771*IF(B771="Carbon Steel",$K$7,IF(B771="Stainless Steel 304",$K$8,$L$8)), 3)</f>
        <v/>
      </c>
      <c r="L771" s="78">
        <f>ROUND(K771*$G$5, 2)</f>
        <v/>
      </c>
      <c r="M771" s="93">
        <f>INT($G$6/H771)</f>
        <v/>
      </c>
      <c r="N771" s="93">
        <f>IF(M771=0, 0, IF(OR($K$6="Square Grid", M771=1), INT($G$7/H771), IF($G$7&lt;H771, 0, 1+INT(($G$7-H771)/(0.8660254*H771)))))</f>
        <v/>
      </c>
      <c r="O771" s="59">
        <f>IF(OR(M771=0,N771=0), 0, IF(OR($K$6="Square Grid", M771=1), M771*N771*$K$5, (INT((N771+1)/2)*M771 + INT(N771/2)*IF(($G$6-M771*H771)&gt;=0.5*H771, M771, M771-1))*$K$5))</f>
        <v/>
      </c>
      <c r="P771" s="59">
        <f>IF(L771&lt;=0, 0, INT($G$8/L771))</f>
        <v/>
      </c>
      <c r="Q771" s="95">
        <f>MIN(O771, P771)</f>
        <v/>
      </c>
      <c r="R771" s="96">
        <f>ROUND((Q771*L771)/1000, 2)</f>
        <v/>
      </c>
      <c r="S771" s="79">
        <f>IF($C$8&gt;0, R771/$C$8, 0)</f>
        <v/>
      </c>
      <c r="T771" s="79">
        <f>IF(O771&gt;0, Q771/O771, 0)</f>
        <v/>
      </c>
      <c r="U771" s="12">
        <f>IF(Q771=0, "Exceeds Limit", IF(P771&lt;=O771, "Weight Limited", "Volume Limited"))</f>
        <v/>
      </c>
      <c r="V771" s="97">
        <f>B771&amp;"|"&amp;D771&amp;"|"&amp;F771</f>
        <v/>
      </c>
    </row>
    <row r="772" ht="19" customHeight="1">
      <c r="A772" s="98" t="n">
        <v>762</v>
      </c>
      <c r="B772" s="102" t="inlineStr">
        <is>
          <t>Stainless Steel 304</t>
        </is>
      </c>
      <c r="C772" s="19" t="inlineStr">
        <is>
          <t>ASME B36.19M / B36.10M</t>
        </is>
      </c>
      <c r="D772" s="18" t="inlineStr">
        <is>
          <t>34''</t>
        </is>
      </c>
      <c r="E772" s="98" t="n">
        <v>850</v>
      </c>
      <c r="F772" s="18" t="inlineStr">
        <is>
          <t>XS</t>
        </is>
      </c>
      <c r="G772" s="20" t="n">
        <v>34</v>
      </c>
      <c r="H772" s="82" t="n">
        <v>863.6</v>
      </c>
      <c r="I772" s="20" t="n">
        <v>0.5</v>
      </c>
      <c r="J772" s="82" t="n">
        <v>12.7</v>
      </c>
      <c r="K772" s="20">
        <f>ROUND((H772-J772)*J772*IF(B772="Carbon Steel",$K$7,IF(B772="Stainless Steel 304",$K$8,$L$8)), 3)</f>
        <v/>
      </c>
      <c r="L772" s="82">
        <f>ROUND(K772*$G$5, 2)</f>
        <v/>
      </c>
      <c r="M772" s="98">
        <f>INT($G$6/H772)</f>
        <v/>
      </c>
      <c r="N772" s="98">
        <f>IF(M772=0, 0, IF(OR($K$6="Square Grid", M772=1), INT($G$7/H772), IF($G$7&lt;H772, 0, 1+INT(($G$7-H772)/(0.8660254*H772)))))</f>
        <v/>
      </c>
      <c r="O772" s="84">
        <f>IF(OR(M772=0,N772=0), 0, IF(OR($K$6="Square Grid", M772=1), M772*N772*$K$5, (INT((N772+1)/2)*M772 + INT(N772/2)*IF(($G$6-M772*H772)&gt;=0.5*H772, M772, M772-1))*$K$5))</f>
        <v/>
      </c>
      <c r="P772" s="84">
        <f>IF(L772&lt;=0, 0, INT($G$8/L772))</f>
        <v/>
      </c>
      <c r="Q772" s="95">
        <f>MIN(O772, P772)</f>
        <v/>
      </c>
      <c r="R772" s="96">
        <f>ROUND((Q772*L772)/1000, 2)</f>
        <v/>
      </c>
      <c r="S772" s="85">
        <f>IF($C$8&gt;0, R772/$C$8, 0)</f>
        <v/>
      </c>
      <c r="T772" s="85">
        <f>IF(O772&gt;0, Q772/O772, 0)</f>
        <v/>
      </c>
      <c r="U772" s="18">
        <f>IF(Q772=0, "Exceeds Limit", IF(P772&lt;=O772, "Weight Limited", "Volume Limited"))</f>
        <v/>
      </c>
      <c r="V772" s="100">
        <f>B772&amp;"|"&amp;D772&amp;"|"&amp;F772</f>
        <v/>
      </c>
    </row>
    <row r="773" ht="19" customHeight="1">
      <c r="A773" s="93" t="n">
        <v>763</v>
      </c>
      <c r="B773" s="101" t="inlineStr">
        <is>
          <t>Stainless Steel 304</t>
        </is>
      </c>
      <c r="C773" s="13" t="inlineStr">
        <is>
          <t>ASME B36.19M / B36.10M</t>
        </is>
      </c>
      <c r="D773" s="12" t="inlineStr">
        <is>
          <t>36''</t>
        </is>
      </c>
      <c r="E773" s="93" t="n">
        <v>900</v>
      </c>
      <c r="F773" s="12" t="inlineStr">
        <is>
          <t>10</t>
        </is>
      </c>
      <c r="G773" s="14" t="n">
        <v>36</v>
      </c>
      <c r="H773" s="78" t="n">
        <v>914.4</v>
      </c>
      <c r="I773" s="14" t="n">
        <v>0.312</v>
      </c>
      <c r="J773" s="78" t="n">
        <v>7.92</v>
      </c>
      <c r="K773" s="14">
        <f>ROUND((H773-J773)*J773*IF(B773="Carbon Steel",$K$7,IF(B773="Stainless Steel 304",$K$8,$L$8)), 3)</f>
        <v/>
      </c>
      <c r="L773" s="78">
        <f>ROUND(K773*$G$5, 2)</f>
        <v/>
      </c>
      <c r="M773" s="93">
        <f>INT($G$6/H773)</f>
        <v/>
      </c>
      <c r="N773" s="93">
        <f>IF(M773=0, 0, IF(OR($K$6="Square Grid", M773=1), INT($G$7/H773), IF($G$7&lt;H773, 0, 1+INT(($G$7-H773)/(0.8660254*H773)))))</f>
        <v/>
      </c>
      <c r="O773" s="59">
        <f>IF(OR(M773=0,N773=0), 0, IF(OR($K$6="Square Grid", M773=1), M773*N773*$K$5, (INT((N773+1)/2)*M773 + INT(N773/2)*IF(($G$6-M773*H773)&gt;=0.5*H773, M773, M773-1))*$K$5))</f>
        <v/>
      </c>
      <c r="P773" s="59">
        <f>IF(L773&lt;=0, 0, INT($G$8/L773))</f>
        <v/>
      </c>
      <c r="Q773" s="95">
        <f>MIN(O773, P773)</f>
        <v/>
      </c>
      <c r="R773" s="96">
        <f>ROUND((Q773*L773)/1000, 2)</f>
        <v/>
      </c>
      <c r="S773" s="79">
        <f>IF($C$8&gt;0, R773/$C$8, 0)</f>
        <v/>
      </c>
      <c r="T773" s="79">
        <f>IF(O773&gt;0, Q773/O773, 0)</f>
        <v/>
      </c>
      <c r="U773" s="12">
        <f>IF(Q773=0, "Exceeds Limit", IF(P773&lt;=O773, "Weight Limited", "Volume Limited"))</f>
        <v/>
      </c>
      <c r="V773" s="97">
        <f>B773&amp;"|"&amp;D773&amp;"|"&amp;F773</f>
        <v/>
      </c>
    </row>
    <row r="774" ht="19" customHeight="1">
      <c r="A774" s="98" t="n">
        <v>764</v>
      </c>
      <c r="B774" s="102" t="inlineStr">
        <is>
          <t>Stainless Steel 304</t>
        </is>
      </c>
      <c r="C774" s="19" t="inlineStr">
        <is>
          <t>ASME B36.19M / B36.10M</t>
        </is>
      </c>
      <c r="D774" s="18" t="inlineStr">
        <is>
          <t>36''</t>
        </is>
      </c>
      <c r="E774" s="98" t="n">
        <v>900</v>
      </c>
      <c r="F774" s="18" t="inlineStr">
        <is>
          <t>20</t>
        </is>
      </c>
      <c r="G774" s="20" t="n">
        <v>36</v>
      </c>
      <c r="H774" s="82" t="n">
        <v>914.4</v>
      </c>
      <c r="I774" s="20" t="n">
        <v>0.5</v>
      </c>
      <c r="J774" s="82" t="n">
        <v>12.7</v>
      </c>
      <c r="K774" s="20">
        <f>ROUND((H774-J774)*J774*IF(B774="Carbon Steel",$K$7,IF(B774="Stainless Steel 304",$K$8,$L$8)), 3)</f>
        <v/>
      </c>
      <c r="L774" s="82">
        <f>ROUND(K774*$G$5, 2)</f>
        <v/>
      </c>
      <c r="M774" s="98">
        <f>INT($G$6/H774)</f>
        <v/>
      </c>
      <c r="N774" s="98">
        <f>IF(M774=0, 0, IF(OR($K$6="Square Grid", M774=1), INT($G$7/H774), IF($G$7&lt;H774, 0, 1+INT(($G$7-H774)/(0.8660254*H774)))))</f>
        <v/>
      </c>
      <c r="O774" s="84">
        <f>IF(OR(M774=0,N774=0), 0, IF(OR($K$6="Square Grid", M774=1), M774*N774*$K$5, (INT((N774+1)/2)*M774 + INT(N774/2)*IF(($G$6-M774*H774)&gt;=0.5*H774, M774, M774-1))*$K$5))</f>
        <v/>
      </c>
      <c r="P774" s="84">
        <f>IF(L774&lt;=0, 0, INT($G$8/L774))</f>
        <v/>
      </c>
      <c r="Q774" s="95">
        <f>MIN(O774, P774)</f>
        <v/>
      </c>
      <c r="R774" s="96">
        <f>ROUND((Q774*L774)/1000, 2)</f>
        <v/>
      </c>
      <c r="S774" s="85">
        <f>IF($C$8&gt;0, R774/$C$8, 0)</f>
        <v/>
      </c>
      <c r="T774" s="85">
        <f>IF(O774&gt;0, Q774/O774, 0)</f>
        <v/>
      </c>
      <c r="U774" s="18">
        <f>IF(Q774=0, "Exceeds Limit", IF(P774&lt;=O774, "Weight Limited", "Volume Limited"))</f>
        <v/>
      </c>
      <c r="V774" s="100">
        <f>B774&amp;"|"&amp;D774&amp;"|"&amp;F774</f>
        <v/>
      </c>
    </row>
    <row r="775" ht="19" customHeight="1">
      <c r="A775" s="93" t="n">
        <v>765</v>
      </c>
      <c r="B775" s="101" t="inlineStr">
        <is>
          <t>Stainless Steel 304</t>
        </is>
      </c>
      <c r="C775" s="13" t="inlineStr">
        <is>
          <t>ASME B36.19M / B36.10M</t>
        </is>
      </c>
      <c r="D775" s="12" t="inlineStr">
        <is>
          <t>36''</t>
        </is>
      </c>
      <c r="E775" s="93" t="n">
        <v>900</v>
      </c>
      <c r="F775" s="12" t="inlineStr">
        <is>
          <t>30</t>
        </is>
      </c>
      <c r="G775" s="14" t="n">
        <v>36</v>
      </c>
      <c r="H775" s="78" t="n">
        <v>914.4</v>
      </c>
      <c r="I775" s="14" t="n">
        <v>0.625</v>
      </c>
      <c r="J775" s="78" t="n">
        <v>15.88</v>
      </c>
      <c r="K775" s="14">
        <f>ROUND((H775-J775)*J775*IF(B775="Carbon Steel",$K$7,IF(B775="Stainless Steel 304",$K$8,$L$8)), 3)</f>
        <v/>
      </c>
      <c r="L775" s="78">
        <f>ROUND(K775*$G$5, 2)</f>
        <v/>
      </c>
      <c r="M775" s="93">
        <f>INT($G$6/H775)</f>
        <v/>
      </c>
      <c r="N775" s="93">
        <f>IF(M775=0, 0, IF(OR($K$6="Square Grid", M775=1), INT($G$7/H775), IF($G$7&lt;H775, 0, 1+INT(($G$7-H775)/(0.8660254*H775)))))</f>
        <v/>
      </c>
      <c r="O775" s="59">
        <f>IF(OR(M775=0,N775=0), 0, IF(OR($K$6="Square Grid", M775=1), M775*N775*$K$5, (INT((N775+1)/2)*M775 + INT(N775/2)*IF(($G$6-M775*H775)&gt;=0.5*H775, M775, M775-1))*$K$5))</f>
        <v/>
      </c>
      <c r="P775" s="59">
        <f>IF(L775&lt;=0, 0, INT($G$8/L775))</f>
        <v/>
      </c>
      <c r="Q775" s="95">
        <f>MIN(O775, P775)</f>
        <v/>
      </c>
      <c r="R775" s="96">
        <f>ROUND((Q775*L775)/1000, 2)</f>
        <v/>
      </c>
      <c r="S775" s="79">
        <f>IF($C$8&gt;0, R775/$C$8, 0)</f>
        <v/>
      </c>
      <c r="T775" s="79">
        <f>IF(O775&gt;0, Q775/O775, 0)</f>
        <v/>
      </c>
      <c r="U775" s="12">
        <f>IF(Q775=0, "Exceeds Limit", IF(P775&lt;=O775, "Weight Limited", "Volume Limited"))</f>
        <v/>
      </c>
      <c r="V775" s="97">
        <f>B775&amp;"|"&amp;D775&amp;"|"&amp;F775</f>
        <v/>
      </c>
    </row>
    <row r="776" ht="19" customHeight="1">
      <c r="A776" s="98" t="n">
        <v>766</v>
      </c>
      <c r="B776" s="102" t="inlineStr">
        <is>
          <t>Stainless Steel 304</t>
        </is>
      </c>
      <c r="C776" s="19" t="inlineStr">
        <is>
          <t>ASME B36.19M / B36.10M</t>
        </is>
      </c>
      <c r="D776" s="18" t="inlineStr">
        <is>
          <t>36''</t>
        </is>
      </c>
      <c r="E776" s="98" t="n">
        <v>900</v>
      </c>
      <c r="F776" s="18" t="inlineStr">
        <is>
          <t>40S</t>
        </is>
      </c>
      <c r="G776" s="20" t="n">
        <v>36</v>
      </c>
      <c r="H776" s="82" t="n">
        <v>914.4</v>
      </c>
      <c r="I776" s="20" t="n">
        <v>0.375</v>
      </c>
      <c r="J776" s="82" t="n">
        <v>9.52</v>
      </c>
      <c r="K776" s="20">
        <f>ROUND((H776-J776)*J776*IF(B776="Carbon Steel",$K$7,IF(B776="Stainless Steel 304",$K$8,$L$8)), 3)</f>
        <v/>
      </c>
      <c r="L776" s="82">
        <f>ROUND(K776*$G$5, 2)</f>
        <v/>
      </c>
      <c r="M776" s="98">
        <f>INT($G$6/H776)</f>
        <v/>
      </c>
      <c r="N776" s="98">
        <f>IF(M776=0, 0, IF(OR($K$6="Square Grid", M776=1), INT($G$7/H776), IF($G$7&lt;H776, 0, 1+INT(($G$7-H776)/(0.8660254*H776)))))</f>
        <v/>
      </c>
      <c r="O776" s="84">
        <f>IF(OR(M776=0,N776=0), 0, IF(OR($K$6="Square Grid", M776=1), M776*N776*$K$5, (INT((N776+1)/2)*M776 + INT(N776/2)*IF(($G$6-M776*H776)&gt;=0.5*H776, M776, M776-1))*$K$5))</f>
        <v/>
      </c>
      <c r="P776" s="84">
        <f>IF(L776&lt;=0, 0, INT($G$8/L776))</f>
        <v/>
      </c>
      <c r="Q776" s="95">
        <f>MIN(O776, P776)</f>
        <v/>
      </c>
      <c r="R776" s="96">
        <f>ROUND((Q776*L776)/1000, 2)</f>
        <v/>
      </c>
      <c r="S776" s="85">
        <f>IF($C$8&gt;0, R776/$C$8, 0)</f>
        <v/>
      </c>
      <c r="T776" s="85">
        <f>IF(O776&gt;0, Q776/O776, 0)</f>
        <v/>
      </c>
      <c r="U776" s="18">
        <f>IF(Q776=0, "Exceeds Limit", IF(P776&lt;=O776, "Weight Limited", "Volume Limited"))</f>
        <v/>
      </c>
      <c r="V776" s="100">
        <f>B776&amp;"|"&amp;D776&amp;"|"&amp;F776</f>
        <v/>
      </c>
    </row>
    <row r="777" ht="19" customHeight="1">
      <c r="A777" s="93" t="n">
        <v>767</v>
      </c>
      <c r="B777" s="101" t="inlineStr">
        <is>
          <t>Stainless Steel 304</t>
        </is>
      </c>
      <c r="C777" s="13" t="inlineStr">
        <is>
          <t>ASME B36.19M / B36.10M</t>
        </is>
      </c>
      <c r="D777" s="12" t="inlineStr">
        <is>
          <t>36''</t>
        </is>
      </c>
      <c r="E777" s="93" t="n">
        <v>900</v>
      </c>
      <c r="F777" s="12" t="inlineStr">
        <is>
          <t>STD</t>
        </is>
      </c>
      <c r="G777" s="14" t="n">
        <v>36</v>
      </c>
      <c r="H777" s="78" t="n">
        <v>914.4</v>
      </c>
      <c r="I777" s="14" t="n">
        <v>0.375</v>
      </c>
      <c r="J777" s="78" t="n">
        <v>9.52</v>
      </c>
      <c r="K777" s="14">
        <f>ROUND((H777-J777)*J777*IF(B777="Carbon Steel",$K$7,IF(B777="Stainless Steel 304",$K$8,$L$8)), 3)</f>
        <v/>
      </c>
      <c r="L777" s="78">
        <f>ROUND(K777*$G$5, 2)</f>
        <v/>
      </c>
      <c r="M777" s="93">
        <f>INT($G$6/H777)</f>
        <v/>
      </c>
      <c r="N777" s="93">
        <f>IF(M777=0, 0, IF(OR($K$6="Square Grid", M777=1), INT($G$7/H777), IF($G$7&lt;H777, 0, 1+INT(($G$7-H777)/(0.8660254*H777)))))</f>
        <v/>
      </c>
      <c r="O777" s="59">
        <f>IF(OR(M777=0,N777=0), 0, IF(OR($K$6="Square Grid", M777=1), M777*N777*$K$5, (INT((N777+1)/2)*M777 + INT(N777/2)*IF(($G$6-M777*H777)&gt;=0.5*H777, M777, M777-1))*$K$5))</f>
        <v/>
      </c>
      <c r="P777" s="59">
        <f>IF(L777&lt;=0, 0, INT($G$8/L777))</f>
        <v/>
      </c>
      <c r="Q777" s="95">
        <f>MIN(O777, P777)</f>
        <v/>
      </c>
      <c r="R777" s="96">
        <f>ROUND((Q777*L777)/1000, 2)</f>
        <v/>
      </c>
      <c r="S777" s="79">
        <f>IF($C$8&gt;0, R777/$C$8, 0)</f>
        <v/>
      </c>
      <c r="T777" s="79">
        <f>IF(O777&gt;0, Q777/O777, 0)</f>
        <v/>
      </c>
      <c r="U777" s="12">
        <f>IF(Q777=0, "Exceeds Limit", IF(P777&lt;=O777, "Weight Limited", "Volume Limited"))</f>
        <v/>
      </c>
      <c r="V777" s="97">
        <f>B777&amp;"|"&amp;D777&amp;"|"&amp;F777</f>
        <v/>
      </c>
    </row>
    <row r="778" ht="19" customHeight="1">
      <c r="A778" s="98" t="n">
        <v>768</v>
      </c>
      <c r="B778" s="102" t="inlineStr">
        <is>
          <t>Stainless Steel 304</t>
        </is>
      </c>
      <c r="C778" s="19" t="inlineStr">
        <is>
          <t>ASME B36.19M / B36.10M</t>
        </is>
      </c>
      <c r="D778" s="18" t="inlineStr">
        <is>
          <t>36''</t>
        </is>
      </c>
      <c r="E778" s="98" t="n">
        <v>900</v>
      </c>
      <c r="F778" s="18" t="inlineStr">
        <is>
          <t>40</t>
        </is>
      </c>
      <c r="G778" s="20" t="n">
        <v>36</v>
      </c>
      <c r="H778" s="82" t="n">
        <v>914.4</v>
      </c>
      <c r="I778" s="20" t="n">
        <v>0.75</v>
      </c>
      <c r="J778" s="82" t="n">
        <v>19.05</v>
      </c>
      <c r="K778" s="20">
        <f>ROUND((H778-J778)*J778*IF(B778="Carbon Steel",$K$7,IF(B778="Stainless Steel 304",$K$8,$L$8)), 3)</f>
        <v/>
      </c>
      <c r="L778" s="82">
        <f>ROUND(K778*$G$5, 2)</f>
        <v/>
      </c>
      <c r="M778" s="98">
        <f>INT($G$6/H778)</f>
        <v/>
      </c>
      <c r="N778" s="98">
        <f>IF(M778=0, 0, IF(OR($K$6="Square Grid", M778=1), INT($G$7/H778), IF($G$7&lt;H778, 0, 1+INT(($G$7-H778)/(0.8660254*H778)))))</f>
        <v/>
      </c>
      <c r="O778" s="84">
        <f>IF(OR(M778=0,N778=0), 0, IF(OR($K$6="Square Grid", M778=1), M778*N778*$K$5, (INT((N778+1)/2)*M778 + INT(N778/2)*IF(($G$6-M778*H778)&gt;=0.5*H778, M778, M778-1))*$K$5))</f>
        <v/>
      </c>
      <c r="P778" s="84">
        <f>IF(L778&lt;=0, 0, INT($G$8/L778))</f>
        <v/>
      </c>
      <c r="Q778" s="95">
        <f>MIN(O778, P778)</f>
        <v/>
      </c>
      <c r="R778" s="96">
        <f>ROUND((Q778*L778)/1000, 2)</f>
        <v/>
      </c>
      <c r="S778" s="85">
        <f>IF($C$8&gt;0, R778/$C$8, 0)</f>
        <v/>
      </c>
      <c r="T778" s="85">
        <f>IF(O778&gt;0, Q778/O778, 0)</f>
        <v/>
      </c>
      <c r="U778" s="18">
        <f>IF(Q778=0, "Exceeds Limit", IF(P778&lt;=O778, "Weight Limited", "Volume Limited"))</f>
        <v/>
      </c>
      <c r="V778" s="100">
        <f>B778&amp;"|"&amp;D778&amp;"|"&amp;F778</f>
        <v/>
      </c>
    </row>
    <row r="779" ht="19" customHeight="1">
      <c r="A779" s="93" t="n">
        <v>769</v>
      </c>
      <c r="B779" s="101" t="inlineStr">
        <is>
          <t>Stainless Steel 304</t>
        </is>
      </c>
      <c r="C779" s="13" t="inlineStr">
        <is>
          <t>ASME B36.19M / B36.10M</t>
        </is>
      </c>
      <c r="D779" s="12" t="inlineStr">
        <is>
          <t>36''</t>
        </is>
      </c>
      <c r="E779" s="93" t="n">
        <v>900</v>
      </c>
      <c r="F779" s="12" t="inlineStr">
        <is>
          <t>80S</t>
        </is>
      </c>
      <c r="G779" s="14" t="n">
        <v>36</v>
      </c>
      <c r="H779" s="78" t="n">
        <v>914.4</v>
      </c>
      <c r="I779" s="14" t="n">
        <v>0.5</v>
      </c>
      <c r="J779" s="78" t="n">
        <v>12.7</v>
      </c>
      <c r="K779" s="14">
        <f>ROUND((H779-J779)*J779*IF(B779="Carbon Steel",$K$7,IF(B779="Stainless Steel 304",$K$8,$L$8)), 3)</f>
        <v/>
      </c>
      <c r="L779" s="78">
        <f>ROUND(K779*$G$5, 2)</f>
        <v/>
      </c>
      <c r="M779" s="93">
        <f>INT($G$6/H779)</f>
        <v/>
      </c>
      <c r="N779" s="93">
        <f>IF(M779=0, 0, IF(OR($K$6="Square Grid", M779=1), INT($G$7/H779), IF($G$7&lt;H779, 0, 1+INT(($G$7-H779)/(0.8660254*H779)))))</f>
        <v/>
      </c>
      <c r="O779" s="59">
        <f>IF(OR(M779=0,N779=0), 0, IF(OR($K$6="Square Grid", M779=1), M779*N779*$K$5, (INT((N779+1)/2)*M779 + INT(N779/2)*IF(($G$6-M779*H779)&gt;=0.5*H779, M779, M779-1))*$K$5))</f>
        <v/>
      </c>
      <c r="P779" s="59">
        <f>IF(L779&lt;=0, 0, INT($G$8/L779))</f>
        <v/>
      </c>
      <c r="Q779" s="95">
        <f>MIN(O779, P779)</f>
        <v/>
      </c>
      <c r="R779" s="96">
        <f>ROUND((Q779*L779)/1000, 2)</f>
        <v/>
      </c>
      <c r="S779" s="79">
        <f>IF($C$8&gt;0, R779/$C$8, 0)</f>
        <v/>
      </c>
      <c r="T779" s="79">
        <f>IF(O779&gt;0, Q779/O779, 0)</f>
        <v/>
      </c>
      <c r="U779" s="12">
        <f>IF(Q779=0, "Exceeds Limit", IF(P779&lt;=O779, "Weight Limited", "Volume Limited"))</f>
        <v/>
      </c>
      <c r="V779" s="97">
        <f>B779&amp;"|"&amp;D779&amp;"|"&amp;F779</f>
        <v/>
      </c>
    </row>
    <row r="780" ht="19" customHeight="1">
      <c r="A780" s="98" t="n">
        <v>770</v>
      </c>
      <c r="B780" s="102" t="inlineStr">
        <is>
          <t>Stainless Steel 304</t>
        </is>
      </c>
      <c r="C780" s="19" t="inlineStr">
        <is>
          <t>ASME B36.19M / B36.10M</t>
        </is>
      </c>
      <c r="D780" s="18" t="inlineStr">
        <is>
          <t>36''</t>
        </is>
      </c>
      <c r="E780" s="98" t="n">
        <v>900</v>
      </c>
      <c r="F780" s="18" t="inlineStr">
        <is>
          <t>XS</t>
        </is>
      </c>
      <c r="G780" s="20" t="n">
        <v>36</v>
      </c>
      <c r="H780" s="82" t="n">
        <v>914.4</v>
      </c>
      <c r="I780" s="20" t="n">
        <v>0.5</v>
      </c>
      <c r="J780" s="82" t="n">
        <v>12.7</v>
      </c>
      <c r="K780" s="20">
        <f>ROUND((H780-J780)*J780*IF(B780="Carbon Steel",$K$7,IF(B780="Stainless Steel 304",$K$8,$L$8)), 3)</f>
        <v/>
      </c>
      <c r="L780" s="82">
        <f>ROUND(K780*$G$5, 2)</f>
        <v/>
      </c>
      <c r="M780" s="98">
        <f>INT($G$6/H780)</f>
        <v/>
      </c>
      <c r="N780" s="98">
        <f>IF(M780=0, 0, IF(OR($K$6="Square Grid", M780=1), INT($G$7/H780), IF($G$7&lt;H780, 0, 1+INT(($G$7-H780)/(0.8660254*H780)))))</f>
        <v/>
      </c>
      <c r="O780" s="84">
        <f>IF(OR(M780=0,N780=0), 0, IF(OR($K$6="Square Grid", M780=1), M780*N780*$K$5, (INT((N780+1)/2)*M780 + INT(N780/2)*IF(($G$6-M780*H780)&gt;=0.5*H780, M780, M780-1))*$K$5))</f>
        <v/>
      </c>
      <c r="P780" s="84">
        <f>IF(L780&lt;=0, 0, INT($G$8/L780))</f>
        <v/>
      </c>
      <c r="Q780" s="95">
        <f>MIN(O780, P780)</f>
        <v/>
      </c>
      <c r="R780" s="96">
        <f>ROUND((Q780*L780)/1000, 2)</f>
        <v/>
      </c>
      <c r="S780" s="85">
        <f>IF($C$8&gt;0, R780/$C$8, 0)</f>
        <v/>
      </c>
      <c r="T780" s="85">
        <f>IF(O780&gt;0, Q780/O780, 0)</f>
        <v/>
      </c>
      <c r="U780" s="18">
        <f>IF(Q780=0, "Exceeds Limit", IF(P780&lt;=O780, "Weight Limited", "Volume Limited"))</f>
        <v/>
      </c>
      <c r="V780" s="100">
        <f>B780&amp;"|"&amp;D780&amp;"|"&amp;F780</f>
        <v/>
      </c>
    </row>
    <row r="781" ht="19" customHeight="1">
      <c r="A781" s="93" t="n">
        <v>771</v>
      </c>
      <c r="B781" s="101" t="inlineStr">
        <is>
          <t>Stainless Steel 304</t>
        </is>
      </c>
      <c r="C781" s="13" t="inlineStr">
        <is>
          <t>ASME B36.19M / B36.10M</t>
        </is>
      </c>
      <c r="D781" s="12" t="inlineStr">
        <is>
          <t>38''</t>
        </is>
      </c>
      <c r="E781" s="93" t="n">
        <v>950</v>
      </c>
      <c r="F781" s="12" t="inlineStr">
        <is>
          <t>STD</t>
        </is>
      </c>
      <c r="G781" s="14" t="n">
        <v>38</v>
      </c>
      <c r="H781" s="78" t="n">
        <v>965.2</v>
      </c>
      <c r="I781" s="14" t="n">
        <v>0.375</v>
      </c>
      <c r="J781" s="78" t="n">
        <v>9.52</v>
      </c>
      <c r="K781" s="14">
        <f>ROUND((H781-J781)*J781*IF(B781="Carbon Steel",$K$7,IF(B781="Stainless Steel 304",$K$8,$L$8)), 3)</f>
        <v/>
      </c>
      <c r="L781" s="78">
        <f>ROUND(K781*$G$5, 2)</f>
        <v/>
      </c>
      <c r="M781" s="93">
        <f>INT($G$6/H781)</f>
        <v/>
      </c>
      <c r="N781" s="93">
        <f>IF(M781=0, 0, IF(OR($K$6="Square Grid", M781=1), INT($G$7/H781), IF($G$7&lt;H781, 0, 1+INT(($G$7-H781)/(0.8660254*H781)))))</f>
        <v/>
      </c>
      <c r="O781" s="59">
        <f>IF(OR(M781=0,N781=0), 0, IF(OR($K$6="Square Grid", M781=1), M781*N781*$K$5, (INT((N781+1)/2)*M781 + INT(N781/2)*IF(($G$6-M781*H781)&gt;=0.5*H781, M781, M781-1))*$K$5))</f>
        <v/>
      </c>
      <c r="P781" s="59">
        <f>IF(L781&lt;=0, 0, INT($G$8/L781))</f>
        <v/>
      </c>
      <c r="Q781" s="95">
        <f>MIN(O781, P781)</f>
        <v/>
      </c>
      <c r="R781" s="96">
        <f>ROUND((Q781*L781)/1000, 2)</f>
        <v/>
      </c>
      <c r="S781" s="79">
        <f>IF($C$8&gt;0, R781/$C$8, 0)</f>
        <v/>
      </c>
      <c r="T781" s="79">
        <f>IF(O781&gt;0, Q781/O781, 0)</f>
        <v/>
      </c>
      <c r="U781" s="12">
        <f>IF(Q781=0, "Exceeds Limit", IF(P781&lt;=O781, "Weight Limited", "Volume Limited"))</f>
        <v/>
      </c>
      <c r="V781" s="97">
        <f>B781&amp;"|"&amp;D781&amp;"|"&amp;F781</f>
        <v/>
      </c>
    </row>
    <row r="782" ht="19" customHeight="1">
      <c r="A782" s="98" t="n">
        <v>772</v>
      </c>
      <c r="B782" s="102" t="inlineStr">
        <is>
          <t>Stainless Steel 304</t>
        </is>
      </c>
      <c r="C782" s="19" t="inlineStr">
        <is>
          <t>ASME B36.19M / B36.10M</t>
        </is>
      </c>
      <c r="D782" s="18" t="inlineStr">
        <is>
          <t>38''</t>
        </is>
      </c>
      <c r="E782" s="98" t="n">
        <v>950</v>
      </c>
      <c r="F782" s="18" t="inlineStr">
        <is>
          <t>XS</t>
        </is>
      </c>
      <c r="G782" s="20" t="n">
        <v>38</v>
      </c>
      <c r="H782" s="82" t="n">
        <v>965.2</v>
      </c>
      <c r="I782" s="20" t="n">
        <v>0.5</v>
      </c>
      <c r="J782" s="82" t="n">
        <v>12.7</v>
      </c>
      <c r="K782" s="20">
        <f>ROUND((H782-J782)*J782*IF(B782="Carbon Steel",$K$7,IF(B782="Stainless Steel 304",$K$8,$L$8)), 3)</f>
        <v/>
      </c>
      <c r="L782" s="82">
        <f>ROUND(K782*$G$5, 2)</f>
        <v/>
      </c>
      <c r="M782" s="98">
        <f>INT($G$6/H782)</f>
        <v/>
      </c>
      <c r="N782" s="98">
        <f>IF(M782=0, 0, IF(OR($K$6="Square Grid", M782=1), INT($G$7/H782), IF($G$7&lt;H782, 0, 1+INT(($G$7-H782)/(0.8660254*H782)))))</f>
        <v/>
      </c>
      <c r="O782" s="84">
        <f>IF(OR(M782=0,N782=0), 0, IF(OR($K$6="Square Grid", M782=1), M782*N782*$K$5, (INT((N782+1)/2)*M782 + INT(N782/2)*IF(($G$6-M782*H782)&gt;=0.5*H782, M782, M782-1))*$K$5))</f>
        <v/>
      </c>
      <c r="P782" s="84">
        <f>IF(L782&lt;=0, 0, INT($G$8/L782))</f>
        <v/>
      </c>
      <c r="Q782" s="95">
        <f>MIN(O782, P782)</f>
        <v/>
      </c>
      <c r="R782" s="96">
        <f>ROUND((Q782*L782)/1000, 2)</f>
        <v/>
      </c>
      <c r="S782" s="85">
        <f>IF($C$8&gt;0, R782/$C$8, 0)</f>
        <v/>
      </c>
      <c r="T782" s="85">
        <f>IF(O782&gt;0, Q782/O782, 0)</f>
        <v/>
      </c>
      <c r="U782" s="18">
        <f>IF(Q782=0, "Exceeds Limit", IF(P782&lt;=O782, "Weight Limited", "Volume Limited"))</f>
        <v/>
      </c>
      <c r="V782" s="100">
        <f>B782&amp;"|"&amp;D782&amp;"|"&amp;F782</f>
        <v/>
      </c>
    </row>
    <row r="783" ht="19" customHeight="1">
      <c r="A783" s="93" t="n">
        <v>773</v>
      </c>
      <c r="B783" s="101" t="inlineStr">
        <is>
          <t>Stainless Steel 304</t>
        </is>
      </c>
      <c r="C783" s="13" t="inlineStr">
        <is>
          <t>ASME B36.19M / B36.10M</t>
        </is>
      </c>
      <c r="D783" s="12" t="inlineStr">
        <is>
          <t>40''</t>
        </is>
      </c>
      <c r="E783" s="93" t="n">
        <v>1000</v>
      </c>
      <c r="F783" s="12" t="inlineStr">
        <is>
          <t>STD</t>
        </is>
      </c>
      <c r="G783" s="14" t="n">
        <v>40</v>
      </c>
      <c r="H783" s="78" t="n">
        <v>1016</v>
      </c>
      <c r="I783" s="14" t="n">
        <v>0.375</v>
      </c>
      <c r="J783" s="78" t="n">
        <v>9.52</v>
      </c>
      <c r="K783" s="14">
        <f>ROUND((H783-J783)*J783*IF(B783="Carbon Steel",$K$7,IF(B783="Stainless Steel 304",$K$8,$L$8)), 3)</f>
        <v/>
      </c>
      <c r="L783" s="78">
        <f>ROUND(K783*$G$5, 2)</f>
        <v/>
      </c>
      <c r="M783" s="93">
        <f>INT($G$6/H783)</f>
        <v/>
      </c>
      <c r="N783" s="93">
        <f>IF(M783=0, 0, IF(OR($K$6="Square Grid", M783=1), INT($G$7/H783), IF($G$7&lt;H783, 0, 1+INT(($G$7-H783)/(0.8660254*H783)))))</f>
        <v/>
      </c>
      <c r="O783" s="59">
        <f>IF(OR(M783=0,N783=0), 0, IF(OR($K$6="Square Grid", M783=1), M783*N783*$K$5, (INT((N783+1)/2)*M783 + INT(N783/2)*IF(($G$6-M783*H783)&gt;=0.5*H783, M783, M783-1))*$K$5))</f>
        <v/>
      </c>
      <c r="P783" s="59">
        <f>IF(L783&lt;=0, 0, INT($G$8/L783))</f>
        <v/>
      </c>
      <c r="Q783" s="95">
        <f>MIN(O783, P783)</f>
        <v/>
      </c>
      <c r="R783" s="96">
        <f>ROUND((Q783*L783)/1000, 2)</f>
        <v/>
      </c>
      <c r="S783" s="79">
        <f>IF($C$8&gt;0, R783/$C$8, 0)</f>
        <v/>
      </c>
      <c r="T783" s="79">
        <f>IF(O783&gt;0, Q783/O783, 0)</f>
        <v/>
      </c>
      <c r="U783" s="12">
        <f>IF(Q783=0, "Exceeds Limit", IF(P783&lt;=O783, "Weight Limited", "Volume Limited"))</f>
        <v/>
      </c>
      <c r="V783" s="97">
        <f>B783&amp;"|"&amp;D783&amp;"|"&amp;F783</f>
        <v/>
      </c>
    </row>
    <row r="784" ht="19" customHeight="1">
      <c r="A784" s="98" t="n">
        <v>774</v>
      </c>
      <c r="B784" s="102" t="inlineStr">
        <is>
          <t>Stainless Steel 304</t>
        </is>
      </c>
      <c r="C784" s="19" t="inlineStr">
        <is>
          <t>ASME B36.19M / B36.10M</t>
        </is>
      </c>
      <c r="D784" s="18" t="inlineStr">
        <is>
          <t>40''</t>
        </is>
      </c>
      <c r="E784" s="98" t="n">
        <v>1000</v>
      </c>
      <c r="F784" s="18" t="inlineStr">
        <is>
          <t>XS</t>
        </is>
      </c>
      <c r="G784" s="20" t="n">
        <v>40</v>
      </c>
      <c r="H784" s="82" t="n">
        <v>1016</v>
      </c>
      <c r="I784" s="20" t="n">
        <v>0.5</v>
      </c>
      <c r="J784" s="82" t="n">
        <v>12.7</v>
      </c>
      <c r="K784" s="20">
        <f>ROUND((H784-J784)*J784*IF(B784="Carbon Steel",$K$7,IF(B784="Stainless Steel 304",$K$8,$L$8)), 3)</f>
        <v/>
      </c>
      <c r="L784" s="82">
        <f>ROUND(K784*$G$5, 2)</f>
        <v/>
      </c>
      <c r="M784" s="98">
        <f>INT($G$6/H784)</f>
        <v/>
      </c>
      <c r="N784" s="98">
        <f>IF(M784=0, 0, IF(OR($K$6="Square Grid", M784=1), INT($G$7/H784), IF($G$7&lt;H784, 0, 1+INT(($G$7-H784)/(0.8660254*H784)))))</f>
        <v/>
      </c>
      <c r="O784" s="84">
        <f>IF(OR(M784=0,N784=0), 0, IF(OR($K$6="Square Grid", M784=1), M784*N784*$K$5, (INT((N784+1)/2)*M784 + INT(N784/2)*IF(($G$6-M784*H784)&gt;=0.5*H784, M784, M784-1))*$K$5))</f>
        <v/>
      </c>
      <c r="P784" s="84">
        <f>IF(L784&lt;=0, 0, INT($G$8/L784))</f>
        <v/>
      </c>
      <c r="Q784" s="95">
        <f>MIN(O784, P784)</f>
        <v/>
      </c>
      <c r="R784" s="96">
        <f>ROUND((Q784*L784)/1000, 2)</f>
        <v/>
      </c>
      <c r="S784" s="85">
        <f>IF($C$8&gt;0, R784/$C$8, 0)</f>
        <v/>
      </c>
      <c r="T784" s="85">
        <f>IF(O784&gt;0, Q784/O784, 0)</f>
        <v/>
      </c>
      <c r="U784" s="18">
        <f>IF(Q784=0, "Exceeds Limit", IF(P784&lt;=O784, "Weight Limited", "Volume Limited"))</f>
        <v/>
      </c>
      <c r="V784" s="100">
        <f>B784&amp;"|"&amp;D784&amp;"|"&amp;F784</f>
        <v/>
      </c>
    </row>
    <row r="785" ht="19" customHeight="1">
      <c r="A785" s="93" t="n">
        <v>775</v>
      </c>
      <c r="B785" s="101" t="inlineStr">
        <is>
          <t>Stainless Steel 304</t>
        </is>
      </c>
      <c r="C785" s="13" t="inlineStr">
        <is>
          <t>ASME B36.19M / B36.10M</t>
        </is>
      </c>
      <c r="D785" s="12" t="inlineStr">
        <is>
          <t>42''</t>
        </is>
      </c>
      <c r="E785" s="93" t="n">
        <v>1050</v>
      </c>
      <c r="F785" s="12" t="inlineStr">
        <is>
          <t>STD</t>
        </is>
      </c>
      <c r="G785" s="14" t="n">
        <v>42</v>
      </c>
      <c r="H785" s="78" t="n">
        <v>1066.8</v>
      </c>
      <c r="I785" s="14" t="n">
        <v>0.375</v>
      </c>
      <c r="J785" s="78" t="n">
        <v>9.52</v>
      </c>
      <c r="K785" s="14">
        <f>ROUND((H785-J785)*J785*IF(B785="Carbon Steel",$K$7,IF(B785="Stainless Steel 304",$K$8,$L$8)), 3)</f>
        <v/>
      </c>
      <c r="L785" s="78">
        <f>ROUND(K785*$G$5, 2)</f>
        <v/>
      </c>
      <c r="M785" s="93">
        <f>INT($G$6/H785)</f>
        <v/>
      </c>
      <c r="N785" s="93">
        <f>IF(M785=0, 0, IF(OR($K$6="Square Grid", M785=1), INT($G$7/H785), IF($G$7&lt;H785, 0, 1+INT(($G$7-H785)/(0.8660254*H785)))))</f>
        <v/>
      </c>
      <c r="O785" s="59">
        <f>IF(OR(M785=0,N785=0), 0, IF(OR($K$6="Square Grid", M785=1), M785*N785*$K$5, (INT((N785+1)/2)*M785 + INT(N785/2)*IF(($G$6-M785*H785)&gt;=0.5*H785, M785, M785-1))*$K$5))</f>
        <v/>
      </c>
      <c r="P785" s="59">
        <f>IF(L785&lt;=0, 0, INT($G$8/L785))</f>
        <v/>
      </c>
      <c r="Q785" s="95">
        <f>MIN(O785, P785)</f>
        <v/>
      </c>
      <c r="R785" s="96">
        <f>ROUND((Q785*L785)/1000, 2)</f>
        <v/>
      </c>
      <c r="S785" s="79">
        <f>IF($C$8&gt;0, R785/$C$8, 0)</f>
        <v/>
      </c>
      <c r="T785" s="79">
        <f>IF(O785&gt;0, Q785/O785, 0)</f>
        <v/>
      </c>
      <c r="U785" s="12">
        <f>IF(Q785=0, "Exceeds Limit", IF(P785&lt;=O785, "Weight Limited", "Volume Limited"))</f>
        <v/>
      </c>
      <c r="V785" s="97">
        <f>B785&amp;"|"&amp;D785&amp;"|"&amp;F785</f>
        <v/>
      </c>
    </row>
    <row r="786" ht="19" customHeight="1">
      <c r="A786" s="98" t="n">
        <v>776</v>
      </c>
      <c r="B786" s="102" t="inlineStr">
        <is>
          <t>Stainless Steel 304</t>
        </is>
      </c>
      <c r="C786" s="19" t="inlineStr">
        <is>
          <t>ASME B36.19M / B36.10M</t>
        </is>
      </c>
      <c r="D786" s="18" t="inlineStr">
        <is>
          <t>42''</t>
        </is>
      </c>
      <c r="E786" s="98" t="n">
        <v>1050</v>
      </c>
      <c r="F786" s="18" t="inlineStr">
        <is>
          <t>XS</t>
        </is>
      </c>
      <c r="G786" s="20" t="n">
        <v>42</v>
      </c>
      <c r="H786" s="82" t="n">
        <v>1066.8</v>
      </c>
      <c r="I786" s="20" t="n">
        <v>0.5</v>
      </c>
      <c r="J786" s="82" t="n">
        <v>12.7</v>
      </c>
      <c r="K786" s="20">
        <f>ROUND((H786-J786)*J786*IF(B786="Carbon Steel",$K$7,IF(B786="Stainless Steel 304",$K$8,$L$8)), 3)</f>
        <v/>
      </c>
      <c r="L786" s="82">
        <f>ROUND(K786*$G$5, 2)</f>
        <v/>
      </c>
      <c r="M786" s="98">
        <f>INT($G$6/H786)</f>
        <v/>
      </c>
      <c r="N786" s="98">
        <f>IF(M786=0, 0, IF(OR($K$6="Square Grid", M786=1), INT($G$7/H786), IF($G$7&lt;H786, 0, 1+INT(($G$7-H786)/(0.8660254*H786)))))</f>
        <v/>
      </c>
      <c r="O786" s="84">
        <f>IF(OR(M786=0,N786=0), 0, IF(OR($K$6="Square Grid", M786=1), M786*N786*$K$5, (INT((N786+1)/2)*M786 + INT(N786/2)*IF(($G$6-M786*H786)&gt;=0.5*H786, M786, M786-1))*$K$5))</f>
        <v/>
      </c>
      <c r="P786" s="84">
        <f>IF(L786&lt;=0, 0, INT($G$8/L786))</f>
        <v/>
      </c>
      <c r="Q786" s="95">
        <f>MIN(O786, P786)</f>
        <v/>
      </c>
      <c r="R786" s="96">
        <f>ROUND((Q786*L786)/1000, 2)</f>
        <v/>
      </c>
      <c r="S786" s="85">
        <f>IF($C$8&gt;0, R786/$C$8, 0)</f>
        <v/>
      </c>
      <c r="T786" s="85">
        <f>IF(O786&gt;0, Q786/O786, 0)</f>
        <v/>
      </c>
      <c r="U786" s="18">
        <f>IF(Q786=0, "Exceeds Limit", IF(P786&lt;=O786, "Weight Limited", "Volume Limited"))</f>
        <v/>
      </c>
      <c r="V786" s="100">
        <f>B786&amp;"|"&amp;D786&amp;"|"&amp;F786</f>
        <v/>
      </c>
    </row>
    <row r="787" ht="19" customHeight="1">
      <c r="A787" s="93" t="n">
        <v>777</v>
      </c>
      <c r="B787" s="101" t="inlineStr">
        <is>
          <t>Stainless Steel 304</t>
        </is>
      </c>
      <c r="C787" s="13" t="inlineStr">
        <is>
          <t>ASME B36.19M / B36.10M</t>
        </is>
      </c>
      <c r="D787" s="12" t="inlineStr">
        <is>
          <t>44''</t>
        </is>
      </c>
      <c r="E787" s="93" t="n">
        <v>1100</v>
      </c>
      <c r="F787" s="12" t="inlineStr">
        <is>
          <t>STD</t>
        </is>
      </c>
      <c r="G787" s="14" t="n">
        <v>44</v>
      </c>
      <c r="H787" s="78" t="n">
        <v>1117.6</v>
      </c>
      <c r="I787" s="14" t="n">
        <v>0.375</v>
      </c>
      <c r="J787" s="78" t="n">
        <v>9.52</v>
      </c>
      <c r="K787" s="14">
        <f>ROUND((H787-J787)*J787*IF(B787="Carbon Steel",$K$7,IF(B787="Stainless Steel 304",$K$8,$L$8)), 3)</f>
        <v/>
      </c>
      <c r="L787" s="78">
        <f>ROUND(K787*$G$5, 2)</f>
        <v/>
      </c>
      <c r="M787" s="93">
        <f>INT($G$6/H787)</f>
        <v/>
      </c>
      <c r="N787" s="93">
        <f>IF(M787=0, 0, IF(OR($K$6="Square Grid", M787=1), INT($G$7/H787), IF($G$7&lt;H787, 0, 1+INT(($G$7-H787)/(0.8660254*H787)))))</f>
        <v/>
      </c>
      <c r="O787" s="59">
        <f>IF(OR(M787=0,N787=0), 0, IF(OR($K$6="Square Grid", M787=1), M787*N787*$K$5, (INT((N787+1)/2)*M787 + INT(N787/2)*IF(($G$6-M787*H787)&gt;=0.5*H787, M787, M787-1))*$K$5))</f>
        <v/>
      </c>
      <c r="P787" s="59">
        <f>IF(L787&lt;=0, 0, INT($G$8/L787))</f>
        <v/>
      </c>
      <c r="Q787" s="95">
        <f>MIN(O787, P787)</f>
        <v/>
      </c>
      <c r="R787" s="96">
        <f>ROUND((Q787*L787)/1000, 2)</f>
        <v/>
      </c>
      <c r="S787" s="79">
        <f>IF($C$8&gt;0, R787/$C$8, 0)</f>
        <v/>
      </c>
      <c r="T787" s="79">
        <f>IF(O787&gt;0, Q787/O787, 0)</f>
        <v/>
      </c>
      <c r="U787" s="12">
        <f>IF(Q787=0, "Exceeds Limit", IF(P787&lt;=O787, "Weight Limited", "Volume Limited"))</f>
        <v/>
      </c>
      <c r="V787" s="97">
        <f>B787&amp;"|"&amp;D787&amp;"|"&amp;F787</f>
        <v/>
      </c>
    </row>
    <row r="788" ht="19" customHeight="1">
      <c r="A788" s="98" t="n">
        <v>778</v>
      </c>
      <c r="B788" s="102" t="inlineStr">
        <is>
          <t>Stainless Steel 304</t>
        </is>
      </c>
      <c r="C788" s="19" t="inlineStr">
        <is>
          <t>ASME B36.19M / B36.10M</t>
        </is>
      </c>
      <c r="D788" s="18" t="inlineStr">
        <is>
          <t>44''</t>
        </is>
      </c>
      <c r="E788" s="98" t="n">
        <v>1100</v>
      </c>
      <c r="F788" s="18" t="inlineStr">
        <is>
          <t>XS</t>
        </is>
      </c>
      <c r="G788" s="20" t="n">
        <v>44</v>
      </c>
      <c r="H788" s="82" t="n">
        <v>1117.6</v>
      </c>
      <c r="I788" s="20" t="n">
        <v>0.5</v>
      </c>
      <c r="J788" s="82" t="n">
        <v>12.7</v>
      </c>
      <c r="K788" s="20">
        <f>ROUND((H788-J788)*J788*IF(B788="Carbon Steel",$K$7,IF(B788="Stainless Steel 304",$K$8,$L$8)), 3)</f>
        <v/>
      </c>
      <c r="L788" s="82">
        <f>ROUND(K788*$G$5, 2)</f>
        <v/>
      </c>
      <c r="M788" s="98">
        <f>INT($G$6/H788)</f>
        <v/>
      </c>
      <c r="N788" s="98">
        <f>IF(M788=0, 0, IF(OR($K$6="Square Grid", M788=1), INT($G$7/H788), IF($G$7&lt;H788, 0, 1+INT(($G$7-H788)/(0.8660254*H788)))))</f>
        <v/>
      </c>
      <c r="O788" s="84">
        <f>IF(OR(M788=0,N788=0), 0, IF(OR($K$6="Square Grid", M788=1), M788*N788*$K$5, (INT((N788+1)/2)*M788 + INT(N788/2)*IF(($G$6-M788*H788)&gt;=0.5*H788, M788, M788-1))*$K$5))</f>
        <v/>
      </c>
      <c r="P788" s="84">
        <f>IF(L788&lt;=0, 0, INT($G$8/L788))</f>
        <v/>
      </c>
      <c r="Q788" s="95">
        <f>MIN(O788, P788)</f>
        <v/>
      </c>
      <c r="R788" s="96">
        <f>ROUND((Q788*L788)/1000, 2)</f>
        <v/>
      </c>
      <c r="S788" s="85">
        <f>IF($C$8&gt;0, R788/$C$8, 0)</f>
        <v/>
      </c>
      <c r="T788" s="85">
        <f>IF(O788&gt;0, Q788/O788, 0)</f>
        <v/>
      </c>
      <c r="U788" s="18">
        <f>IF(Q788=0, "Exceeds Limit", IF(P788&lt;=O788, "Weight Limited", "Volume Limited"))</f>
        <v/>
      </c>
      <c r="V788" s="100">
        <f>B788&amp;"|"&amp;D788&amp;"|"&amp;F788</f>
        <v/>
      </c>
    </row>
    <row r="789" ht="19" customHeight="1">
      <c r="A789" s="93" t="n">
        <v>779</v>
      </c>
      <c r="B789" s="101" t="inlineStr">
        <is>
          <t>Stainless Steel 304</t>
        </is>
      </c>
      <c r="C789" s="13" t="inlineStr">
        <is>
          <t>ASME B36.19M / B36.10M</t>
        </is>
      </c>
      <c r="D789" s="12" t="inlineStr">
        <is>
          <t>46''</t>
        </is>
      </c>
      <c r="E789" s="93" t="n">
        <v>1150</v>
      </c>
      <c r="F789" s="12" t="inlineStr">
        <is>
          <t>STD</t>
        </is>
      </c>
      <c r="G789" s="14" t="n">
        <v>46</v>
      </c>
      <c r="H789" s="78" t="n">
        <v>1168.4</v>
      </c>
      <c r="I789" s="14" t="n">
        <v>0.375</v>
      </c>
      <c r="J789" s="78" t="n">
        <v>9.52</v>
      </c>
      <c r="K789" s="14">
        <f>ROUND((H789-J789)*J789*IF(B789="Carbon Steel",$K$7,IF(B789="Stainless Steel 304",$K$8,$L$8)), 3)</f>
        <v/>
      </c>
      <c r="L789" s="78">
        <f>ROUND(K789*$G$5, 2)</f>
        <v/>
      </c>
      <c r="M789" s="93">
        <f>INT($G$6/H789)</f>
        <v/>
      </c>
      <c r="N789" s="93">
        <f>IF(M789=0, 0, IF(OR($K$6="Square Grid", M789=1), INT($G$7/H789), IF($G$7&lt;H789, 0, 1+INT(($G$7-H789)/(0.8660254*H789)))))</f>
        <v/>
      </c>
      <c r="O789" s="59">
        <f>IF(OR(M789=0,N789=0), 0, IF(OR($K$6="Square Grid", M789=1), M789*N789*$K$5, (INT((N789+1)/2)*M789 + INT(N789/2)*IF(($G$6-M789*H789)&gt;=0.5*H789, M789, M789-1))*$K$5))</f>
        <v/>
      </c>
      <c r="P789" s="59">
        <f>IF(L789&lt;=0, 0, INT($G$8/L789))</f>
        <v/>
      </c>
      <c r="Q789" s="95">
        <f>MIN(O789, P789)</f>
        <v/>
      </c>
      <c r="R789" s="96">
        <f>ROUND((Q789*L789)/1000, 2)</f>
        <v/>
      </c>
      <c r="S789" s="79">
        <f>IF($C$8&gt;0, R789/$C$8, 0)</f>
        <v/>
      </c>
      <c r="T789" s="79">
        <f>IF(O789&gt;0, Q789/O789, 0)</f>
        <v/>
      </c>
      <c r="U789" s="12">
        <f>IF(Q789=0, "Exceeds Limit", IF(P789&lt;=O789, "Weight Limited", "Volume Limited"))</f>
        <v/>
      </c>
      <c r="V789" s="97">
        <f>B789&amp;"|"&amp;D789&amp;"|"&amp;F789</f>
        <v/>
      </c>
    </row>
    <row r="790" ht="19" customHeight="1">
      <c r="A790" s="98" t="n">
        <v>780</v>
      </c>
      <c r="B790" s="102" t="inlineStr">
        <is>
          <t>Stainless Steel 304</t>
        </is>
      </c>
      <c r="C790" s="19" t="inlineStr">
        <is>
          <t>ASME B36.19M / B36.10M</t>
        </is>
      </c>
      <c r="D790" s="18" t="inlineStr">
        <is>
          <t>46''</t>
        </is>
      </c>
      <c r="E790" s="98" t="n">
        <v>1150</v>
      </c>
      <c r="F790" s="18" t="inlineStr">
        <is>
          <t>XS</t>
        </is>
      </c>
      <c r="G790" s="20" t="n">
        <v>46</v>
      </c>
      <c r="H790" s="82" t="n">
        <v>1168.4</v>
      </c>
      <c r="I790" s="20" t="n">
        <v>0.5</v>
      </c>
      <c r="J790" s="82" t="n">
        <v>12.7</v>
      </c>
      <c r="K790" s="20">
        <f>ROUND((H790-J790)*J790*IF(B790="Carbon Steel",$K$7,IF(B790="Stainless Steel 304",$K$8,$L$8)), 3)</f>
        <v/>
      </c>
      <c r="L790" s="82">
        <f>ROUND(K790*$G$5, 2)</f>
        <v/>
      </c>
      <c r="M790" s="98">
        <f>INT($G$6/H790)</f>
        <v/>
      </c>
      <c r="N790" s="98">
        <f>IF(M790=0, 0, IF(OR($K$6="Square Grid", M790=1), INT($G$7/H790), IF($G$7&lt;H790, 0, 1+INT(($G$7-H790)/(0.8660254*H790)))))</f>
        <v/>
      </c>
      <c r="O790" s="84">
        <f>IF(OR(M790=0,N790=0), 0, IF(OR($K$6="Square Grid", M790=1), M790*N790*$K$5, (INT((N790+1)/2)*M790 + INT(N790/2)*IF(($G$6-M790*H790)&gt;=0.5*H790, M790, M790-1))*$K$5))</f>
        <v/>
      </c>
      <c r="P790" s="84">
        <f>IF(L790&lt;=0, 0, INT($G$8/L790))</f>
        <v/>
      </c>
      <c r="Q790" s="95">
        <f>MIN(O790, P790)</f>
        <v/>
      </c>
      <c r="R790" s="96">
        <f>ROUND((Q790*L790)/1000, 2)</f>
        <v/>
      </c>
      <c r="S790" s="85">
        <f>IF($C$8&gt;0, R790/$C$8, 0)</f>
        <v/>
      </c>
      <c r="T790" s="85">
        <f>IF(O790&gt;0, Q790/O790, 0)</f>
        <v/>
      </c>
      <c r="U790" s="18">
        <f>IF(Q790=0, "Exceeds Limit", IF(P790&lt;=O790, "Weight Limited", "Volume Limited"))</f>
        <v/>
      </c>
      <c r="V790" s="100">
        <f>B790&amp;"|"&amp;D790&amp;"|"&amp;F790</f>
        <v/>
      </c>
    </row>
    <row r="791" ht="19" customHeight="1">
      <c r="A791" s="93" t="n">
        <v>781</v>
      </c>
      <c r="B791" s="101" t="inlineStr">
        <is>
          <t>Stainless Steel 304</t>
        </is>
      </c>
      <c r="C791" s="13" t="inlineStr">
        <is>
          <t>ASME B36.19M / B36.10M</t>
        </is>
      </c>
      <c r="D791" s="12" t="inlineStr">
        <is>
          <t>48''</t>
        </is>
      </c>
      <c r="E791" s="93" t="n">
        <v>1200</v>
      </c>
      <c r="F791" s="12" t="inlineStr">
        <is>
          <t>40S</t>
        </is>
      </c>
      <c r="G791" s="14" t="n">
        <v>48</v>
      </c>
      <c r="H791" s="78" t="n">
        <v>1219.2</v>
      </c>
      <c r="I791" s="14" t="n">
        <v>0.375</v>
      </c>
      <c r="J791" s="78" t="n">
        <v>9.52</v>
      </c>
      <c r="K791" s="14">
        <f>ROUND((H791-J791)*J791*IF(B791="Carbon Steel",$K$7,IF(B791="Stainless Steel 304",$K$8,$L$8)), 3)</f>
        <v/>
      </c>
      <c r="L791" s="78">
        <f>ROUND(K791*$G$5, 2)</f>
        <v/>
      </c>
      <c r="M791" s="93">
        <f>INT($G$6/H791)</f>
        <v/>
      </c>
      <c r="N791" s="93">
        <f>IF(M791=0, 0, IF(OR($K$6="Square Grid", M791=1), INT($G$7/H791), IF($G$7&lt;H791, 0, 1+INT(($G$7-H791)/(0.8660254*H791)))))</f>
        <v/>
      </c>
      <c r="O791" s="59">
        <f>IF(OR(M791=0,N791=0), 0, IF(OR($K$6="Square Grid", M791=1), M791*N791*$K$5, (INT((N791+1)/2)*M791 + INT(N791/2)*IF(($G$6-M791*H791)&gt;=0.5*H791, M791, M791-1))*$K$5))</f>
        <v/>
      </c>
      <c r="P791" s="59">
        <f>IF(L791&lt;=0, 0, INT($G$8/L791))</f>
        <v/>
      </c>
      <c r="Q791" s="95">
        <f>MIN(O791, P791)</f>
        <v/>
      </c>
      <c r="R791" s="96">
        <f>ROUND((Q791*L791)/1000, 2)</f>
        <v/>
      </c>
      <c r="S791" s="79">
        <f>IF($C$8&gt;0, R791/$C$8, 0)</f>
        <v/>
      </c>
      <c r="T791" s="79">
        <f>IF(O791&gt;0, Q791/O791, 0)</f>
        <v/>
      </c>
      <c r="U791" s="12">
        <f>IF(Q791=0, "Exceeds Limit", IF(P791&lt;=O791, "Weight Limited", "Volume Limited"))</f>
        <v/>
      </c>
      <c r="V791" s="97">
        <f>B791&amp;"|"&amp;D791&amp;"|"&amp;F791</f>
        <v/>
      </c>
    </row>
    <row r="792" ht="19" customHeight="1">
      <c r="A792" s="98" t="n">
        <v>782</v>
      </c>
      <c r="B792" s="102" t="inlineStr">
        <is>
          <t>Stainless Steel 304</t>
        </is>
      </c>
      <c r="C792" s="19" t="inlineStr">
        <is>
          <t>ASME B36.19M / B36.10M</t>
        </is>
      </c>
      <c r="D792" s="18" t="inlineStr">
        <is>
          <t>48''</t>
        </is>
      </c>
      <c r="E792" s="98" t="n">
        <v>1200</v>
      </c>
      <c r="F792" s="18" t="inlineStr">
        <is>
          <t>STD</t>
        </is>
      </c>
      <c r="G792" s="20" t="n">
        <v>48</v>
      </c>
      <c r="H792" s="82" t="n">
        <v>1219.2</v>
      </c>
      <c r="I792" s="20" t="n">
        <v>0.375</v>
      </c>
      <c r="J792" s="82" t="n">
        <v>9.52</v>
      </c>
      <c r="K792" s="20">
        <f>ROUND((H792-J792)*J792*IF(B792="Carbon Steel",$K$7,IF(B792="Stainless Steel 304",$K$8,$L$8)), 3)</f>
        <v/>
      </c>
      <c r="L792" s="82">
        <f>ROUND(K792*$G$5, 2)</f>
        <v/>
      </c>
      <c r="M792" s="98">
        <f>INT($G$6/H792)</f>
        <v/>
      </c>
      <c r="N792" s="98">
        <f>IF(M792=0, 0, IF(OR($K$6="Square Grid", M792=1), INT($G$7/H792), IF($G$7&lt;H792, 0, 1+INT(($G$7-H792)/(0.8660254*H792)))))</f>
        <v/>
      </c>
      <c r="O792" s="84">
        <f>IF(OR(M792=0,N792=0), 0, IF(OR($K$6="Square Grid", M792=1), M792*N792*$K$5, (INT((N792+1)/2)*M792 + INT(N792/2)*IF(($G$6-M792*H792)&gt;=0.5*H792, M792, M792-1))*$K$5))</f>
        <v/>
      </c>
      <c r="P792" s="84">
        <f>IF(L792&lt;=0, 0, INT($G$8/L792))</f>
        <v/>
      </c>
      <c r="Q792" s="95">
        <f>MIN(O792, P792)</f>
        <v/>
      </c>
      <c r="R792" s="96">
        <f>ROUND((Q792*L792)/1000, 2)</f>
        <v/>
      </c>
      <c r="S792" s="85">
        <f>IF($C$8&gt;0, R792/$C$8, 0)</f>
        <v/>
      </c>
      <c r="T792" s="85">
        <f>IF(O792&gt;0, Q792/O792, 0)</f>
        <v/>
      </c>
      <c r="U792" s="18">
        <f>IF(Q792=0, "Exceeds Limit", IF(P792&lt;=O792, "Weight Limited", "Volume Limited"))</f>
        <v/>
      </c>
      <c r="V792" s="100">
        <f>B792&amp;"|"&amp;D792&amp;"|"&amp;F792</f>
        <v/>
      </c>
    </row>
    <row r="793" ht="19" customHeight="1">
      <c r="A793" s="93" t="n">
        <v>783</v>
      </c>
      <c r="B793" s="101" t="inlineStr">
        <is>
          <t>Stainless Steel 304</t>
        </is>
      </c>
      <c r="C793" s="13" t="inlineStr">
        <is>
          <t>ASME B36.19M / B36.10M</t>
        </is>
      </c>
      <c r="D793" s="12" t="inlineStr">
        <is>
          <t>48''</t>
        </is>
      </c>
      <c r="E793" s="93" t="n">
        <v>1200</v>
      </c>
      <c r="F793" s="12" t="inlineStr">
        <is>
          <t>80S</t>
        </is>
      </c>
      <c r="G793" s="14" t="n">
        <v>48</v>
      </c>
      <c r="H793" s="78" t="n">
        <v>1219.2</v>
      </c>
      <c r="I793" s="14" t="n">
        <v>0.5</v>
      </c>
      <c r="J793" s="78" t="n">
        <v>12.7</v>
      </c>
      <c r="K793" s="14">
        <f>ROUND((H793-J793)*J793*IF(B793="Carbon Steel",$K$7,IF(B793="Stainless Steel 304",$K$8,$L$8)), 3)</f>
        <v/>
      </c>
      <c r="L793" s="78">
        <f>ROUND(K793*$G$5, 2)</f>
        <v/>
      </c>
      <c r="M793" s="93">
        <f>INT($G$6/H793)</f>
        <v/>
      </c>
      <c r="N793" s="93">
        <f>IF(M793=0, 0, IF(OR($K$6="Square Grid", M793=1), INT($G$7/H793), IF($G$7&lt;H793, 0, 1+INT(($G$7-H793)/(0.8660254*H793)))))</f>
        <v/>
      </c>
      <c r="O793" s="59">
        <f>IF(OR(M793=0,N793=0), 0, IF(OR($K$6="Square Grid", M793=1), M793*N793*$K$5, (INT((N793+1)/2)*M793 + INT(N793/2)*IF(($G$6-M793*H793)&gt;=0.5*H793, M793, M793-1))*$K$5))</f>
        <v/>
      </c>
      <c r="P793" s="59">
        <f>IF(L793&lt;=0, 0, INT($G$8/L793))</f>
        <v/>
      </c>
      <c r="Q793" s="95">
        <f>MIN(O793, P793)</f>
        <v/>
      </c>
      <c r="R793" s="96">
        <f>ROUND((Q793*L793)/1000, 2)</f>
        <v/>
      </c>
      <c r="S793" s="79">
        <f>IF($C$8&gt;0, R793/$C$8, 0)</f>
        <v/>
      </c>
      <c r="T793" s="79">
        <f>IF(O793&gt;0, Q793/O793, 0)</f>
        <v/>
      </c>
      <c r="U793" s="12">
        <f>IF(Q793=0, "Exceeds Limit", IF(P793&lt;=O793, "Weight Limited", "Volume Limited"))</f>
        <v/>
      </c>
      <c r="V793" s="97">
        <f>B793&amp;"|"&amp;D793&amp;"|"&amp;F793</f>
        <v/>
      </c>
    </row>
    <row r="794" ht="19" customHeight="1">
      <c r="A794" s="98" t="n">
        <v>784</v>
      </c>
      <c r="B794" s="102" t="inlineStr">
        <is>
          <t>Stainless Steel 304</t>
        </is>
      </c>
      <c r="C794" s="19" t="inlineStr">
        <is>
          <t>ASME B36.19M / B36.10M</t>
        </is>
      </c>
      <c r="D794" s="18" t="inlineStr">
        <is>
          <t>48''</t>
        </is>
      </c>
      <c r="E794" s="98" t="n">
        <v>1200</v>
      </c>
      <c r="F794" s="18" t="inlineStr">
        <is>
          <t>XS</t>
        </is>
      </c>
      <c r="G794" s="20" t="n">
        <v>48</v>
      </c>
      <c r="H794" s="82" t="n">
        <v>1219.2</v>
      </c>
      <c r="I794" s="20" t="n">
        <v>0.5</v>
      </c>
      <c r="J794" s="82" t="n">
        <v>12.7</v>
      </c>
      <c r="K794" s="20">
        <f>ROUND((H794-J794)*J794*IF(B794="Carbon Steel",$K$7,IF(B794="Stainless Steel 304",$K$8,$L$8)), 3)</f>
        <v/>
      </c>
      <c r="L794" s="82">
        <f>ROUND(K794*$G$5, 2)</f>
        <v/>
      </c>
      <c r="M794" s="98">
        <f>INT($G$6/H794)</f>
        <v/>
      </c>
      <c r="N794" s="98">
        <f>IF(M794=0, 0, IF(OR($K$6="Square Grid", M794=1), INT($G$7/H794), IF($G$7&lt;H794, 0, 1+INT(($G$7-H794)/(0.8660254*H794)))))</f>
        <v/>
      </c>
      <c r="O794" s="84">
        <f>IF(OR(M794=0,N794=0), 0, IF(OR($K$6="Square Grid", M794=1), M794*N794*$K$5, (INT((N794+1)/2)*M794 + INT(N794/2)*IF(($G$6-M794*H794)&gt;=0.5*H794, M794, M794-1))*$K$5))</f>
        <v/>
      </c>
      <c r="P794" s="84">
        <f>IF(L794&lt;=0, 0, INT($G$8/L794))</f>
        <v/>
      </c>
      <c r="Q794" s="95">
        <f>MIN(O794, P794)</f>
        <v/>
      </c>
      <c r="R794" s="96">
        <f>ROUND((Q794*L794)/1000, 2)</f>
        <v/>
      </c>
      <c r="S794" s="85">
        <f>IF($C$8&gt;0, R794/$C$8, 0)</f>
        <v/>
      </c>
      <c r="T794" s="85">
        <f>IF(O794&gt;0, Q794/O794, 0)</f>
        <v/>
      </c>
      <c r="U794" s="18">
        <f>IF(Q794=0, "Exceeds Limit", IF(P794&lt;=O794, "Weight Limited", "Volume Limited"))</f>
        <v/>
      </c>
      <c r="V794" s="100">
        <f>B794&amp;"|"&amp;D794&amp;"|"&amp;F794</f>
        <v/>
      </c>
    </row>
    <row r="795" ht="19" customHeight="1">
      <c r="A795" s="93" t="n">
        <v>785</v>
      </c>
      <c r="B795" s="101" t="inlineStr">
        <is>
          <t>Stainless Steel 316</t>
        </is>
      </c>
      <c r="C795" s="13" t="inlineStr">
        <is>
          <t>ASME B36.19M / B36.10M</t>
        </is>
      </c>
      <c r="D795" s="12" t="inlineStr">
        <is>
          <t>1/8''</t>
        </is>
      </c>
      <c r="E795" s="93" t="n">
        <v>6</v>
      </c>
      <c r="F795" s="12" t="inlineStr">
        <is>
          <t>10S</t>
        </is>
      </c>
      <c r="G795" s="14" t="n">
        <v>0.405</v>
      </c>
      <c r="H795" s="78" t="n">
        <v>10.29</v>
      </c>
      <c r="I795" s="14" t="n">
        <v>0.049</v>
      </c>
      <c r="J795" s="78" t="n">
        <v>1.24</v>
      </c>
      <c r="K795" s="14">
        <f>ROUND((H795-J795)*J795*IF(B795="Carbon Steel",$K$7,IF(B795="Stainless Steel 304",$K$8,$L$8)), 3)</f>
        <v/>
      </c>
      <c r="L795" s="78">
        <f>ROUND(K795*$G$5, 2)</f>
        <v/>
      </c>
      <c r="M795" s="93">
        <f>INT($G$6/H795)</f>
        <v/>
      </c>
      <c r="N795" s="93">
        <f>IF(M795=0, 0, IF(OR($K$6="Square Grid", M795=1), INT($G$7/H795), IF($G$7&lt;H795, 0, 1+INT(($G$7-H795)/(0.8660254*H795)))))</f>
        <v/>
      </c>
      <c r="O795" s="59">
        <f>IF(OR(M795=0,N795=0), 0, IF(OR($K$6="Square Grid", M795=1), M795*N795*$K$5, (INT((N795+1)/2)*M795 + INT(N795/2)*IF(($G$6-M795*H795)&gt;=0.5*H795, M795, M795-1))*$K$5))</f>
        <v/>
      </c>
      <c r="P795" s="59">
        <f>IF(L795&lt;=0, 0, INT($G$8/L795))</f>
        <v/>
      </c>
      <c r="Q795" s="95">
        <f>MIN(O795, P795)</f>
        <v/>
      </c>
      <c r="R795" s="96">
        <f>ROUND((Q795*L795)/1000, 2)</f>
        <v/>
      </c>
      <c r="S795" s="79">
        <f>IF($C$8&gt;0, R795/$C$8, 0)</f>
        <v/>
      </c>
      <c r="T795" s="79">
        <f>IF(O795&gt;0, Q795/O795, 0)</f>
        <v/>
      </c>
      <c r="U795" s="12">
        <f>IF(Q795=0, "Exceeds Limit", IF(P795&lt;=O795, "Weight Limited", "Volume Limited"))</f>
        <v/>
      </c>
      <c r="V795" s="97">
        <f>B795&amp;"|"&amp;D795&amp;"|"&amp;F795</f>
        <v/>
      </c>
    </row>
    <row r="796" ht="19" customHeight="1">
      <c r="A796" s="98" t="n">
        <v>786</v>
      </c>
      <c r="B796" s="102" t="inlineStr">
        <is>
          <t>Stainless Steel 316</t>
        </is>
      </c>
      <c r="C796" s="19" t="inlineStr">
        <is>
          <t>ASME B36.19M / B36.10M</t>
        </is>
      </c>
      <c r="D796" s="18" t="inlineStr">
        <is>
          <t>1/8''</t>
        </is>
      </c>
      <c r="E796" s="98" t="n">
        <v>6</v>
      </c>
      <c r="F796" s="18" t="inlineStr">
        <is>
          <t>10</t>
        </is>
      </c>
      <c r="G796" s="20" t="n">
        <v>0.405</v>
      </c>
      <c r="H796" s="82" t="n">
        <v>10.29</v>
      </c>
      <c r="I796" s="20" t="n">
        <v>0.049</v>
      </c>
      <c r="J796" s="82" t="n">
        <v>1.24</v>
      </c>
      <c r="K796" s="20">
        <f>ROUND((H796-J796)*J796*IF(B796="Carbon Steel",$K$7,IF(B796="Stainless Steel 304",$K$8,$L$8)), 3)</f>
        <v/>
      </c>
      <c r="L796" s="82">
        <f>ROUND(K796*$G$5, 2)</f>
        <v/>
      </c>
      <c r="M796" s="98">
        <f>INT($G$6/H796)</f>
        <v/>
      </c>
      <c r="N796" s="98">
        <f>IF(M796=0, 0, IF(OR($K$6="Square Grid", M796=1), INT($G$7/H796), IF($G$7&lt;H796, 0, 1+INT(($G$7-H796)/(0.8660254*H796)))))</f>
        <v/>
      </c>
      <c r="O796" s="84">
        <f>IF(OR(M796=0,N796=0), 0, IF(OR($K$6="Square Grid", M796=1), M796*N796*$K$5, (INT((N796+1)/2)*M796 + INT(N796/2)*IF(($G$6-M796*H796)&gt;=0.5*H796, M796, M796-1))*$K$5))</f>
        <v/>
      </c>
      <c r="P796" s="84">
        <f>IF(L796&lt;=0, 0, INT($G$8/L796))</f>
        <v/>
      </c>
      <c r="Q796" s="95">
        <f>MIN(O796, P796)</f>
        <v/>
      </c>
      <c r="R796" s="96">
        <f>ROUND((Q796*L796)/1000, 2)</f>
        <v/>
      </c>
      <c r="S796" s="85">
        <f>IF($C$8&gt;0, R796/$C$8, 0)</f>
        <v/>
      </c>
      <c r="T796" s="85">
        <f>IF(O796&gt;0, Q796/O796, 0)</f>
        <v/>
      </c>
      <c r="U796" s="18">
        <f>IF(Q796=0, "Exceeds Limit", IF(P796&lt;=O796, "Weight Limited", "Volume Limited"))</f>
        <v/>
      </c>
      <c r="V796" s="100">
        <f>B796&amp;"|"&amp;D796&amp;"|"&amp;F796</f>
        <v/>
      </c>
    </row>
    <row r="797" ht="19" customHeight="1">
      <c r="A797" s="93" t="n">
        <v>787</v>
      </c>
      <c r="B797" s="101" t="inlineStr">
        <is>
          <t>Stainless Steel 316</t>
        </is>
      </c>
      <c r="C797" s="13" t="inlineStr">
        <is>
          <t>ASME B36.19M / B36.10M</t>
        </is>
      </c>
      <c r="D797" s="12" t="inlineStr">
        <is>
          <t>1/8''</t>
        </is>
      </c>
      <c r="E797" s="93" t="n">
        <v>6</v>
      </c>
      <c r="F797" s="12" t="inlineStr">
        <is>
          <t>30</t>
        </is>
      </c>
      <c r="G797" s="14" t="n">
        <v>0.405</v>
      </c>
      <c r="H797" s="78" t="n">
        <v>10.29</v>
      </c>
      <c r="I797" s="14" t="n">
        <v>0.057</v>
      </c>
      <c r="J797" s="78" t="n">
        <v>1.45</v>
      </c>
      <c r="K797" s="14">
        <f>ROUND((H797-J797)*J797*IF(B797="Carbon Steel",$K$7,IF(B797="Stainless Steel 304",$K$8,$L$8)), 3)</f>
        <v/>
      </c>
      <c r="L797" s="78">
        <f>ROUND(K797*$G$5, 2)</f>
        <v/>
      </c>
      <c r="M797" s="93">
        <f>INT($G$6/H797)</f>
        <v/>
      </c>
      <c r="N797" s="93">
        <f>IF(M797=0, 0, IF(OR($K$6="Square Grid", M797=1), INT($G$7/H797), IF($G$7&lt;H797, 0, 1+INT(($G$7-H797)/(0.8660254*H797)))))</f>
        <v/>
      </c>
      <c r="O797" s="59">
        <f>IF(OR(M797=0,N797=0), 0, IF(OR($K$6="Square Grid", M797=1), M797*N797*$K$5, (INT((N797+1)/2)*M797 + INT(N797/2)*IF(($G$6-M797*H797)&gt;=0.5*H797, M797, M797-1))*$K$5))</f>
        <v/>
      </c>
      <c r="P797" s="59">
        <f>IF(L797&lt;=0, 0, INT($G$8/L797))</f>
        <v/>
      </c>
      <c r="Q797" s="95">
        <f>MIN(O797, P797)</f>
        <v/>
      </c>
      <c r="R797" s="96">
        <f>ROUND((Q797*L797)/1000, 2)</f>
        <v/>
      </c>
      <c r="S797" s="79">
        <f>IF($C$8&gt;0, R797/$C$8, 0)</f>
        <v/>
      </c>
      <c r="T797" s="79">
        <f>IF(O797&gt;0, Q797/O797, 0)</f>
        <v/>
      </c>
      <c r="U797" s="12">
        <f>IF(Q797=0, "Exceeds Limit", IF(P797&lt;=O797, "Weight Limited", "Volume Limited"))</f>
        <v/>
      </c>
      <c r="V797" s="97">
        <f>B797&amp;"|"&amp;D797&amp;"|"&amp;F797</f>
        <v/>
      </c>
    </row>
    <row r="798" ht="19" customHeight="1">
      <c r="A798" s="98" t="n">
        <v>788</v>
      </c>
      <c r="B798" s="102" t="inlineStr">
        <is>
          <t>Stainless Steel 316</t>
        </is>
      </c>
      <c r="C798" s="19" t="inlineStr">
        <is>
          <t>ASME B36.19M / B36.10M</t>
        </is>
      </c>
      <c r="D798" s="18" t="inlineStr">
        <is>
          <t>1/8''</t>
        </is>
      </c>
      <c r="E798" s="98" t="n">
        <v>6</v>
      </c>
      <c r="F798" s="18" t="inlineStr">
        <is>
          <t>40S</t>
        </is>
      </c>
      <c r="G798" s="20" t="n">
        <v>0.405</v>
      </c>
      <c r="H798" s="82" t="n">
        <v>10.29</v>
      </c>
      <c r="I798" s="20" t="n">
        <v>0.068</v>
      </c>
      <c r="J798" s="82" t="n">
        <v>1.73</v>
      </c>
      <c r="K798" s="20">
        <f>ROUND((H798-J798)*J798*IF(B798="Carbon Steel",$K$7,IF(B798="Stainless Steel 304",$K$8,$L$8)), 3)</f>
        <v/>
      </c>
      <c r="L798" s="82">
        <f>ROUND(K798*$G$5, 2)</f>
        <v/>
      </c>
      <c r="M798" s="98">
        <f>INT($G$6/H798)</f>
        <v/>
      </c>
      <c r="N798" s="98">
        <f>IF(M798=0, 0, IF(OR($K$6="Square Grid", M798=1), INT($G$7/H798), IF($G$7&lt;H798, 0, 1+INT(($G$7-H798)/(0.8660254*H798)))))</f>
        <v/>
      </c>
      <c r="O798" s="84">
        <f>IF(OR(M798=0,N798=0), 0, IF(OR($K$6="Square Grid", M798=1), M798*N798*$K$5, (INT((N798+1)/2)*M798 + INT(N798/2)*IF(($G$6-M798*H798)&gt;=0.5*H798, M798, M798-1))*$K$5))</f>
        <v/>
      </c>
      <c r="P798" s="84">
        <f>IF(L798&lt;=0, 0, INT($G$8/L798))</f>
        <v/>
      </c>
      <c r="Q798" s="95">
        <f>MIN(O798, P798)</f>
        <v/>
      </c>
      <c r="R798" s="96">
        <f>ROUND((Q798*L798)/1000, 2)</f>
        <v/>
      </c>
      <c r="S798" s="85">
        <f>IF($C$8&gt;0, R798/$C$8, 0)</f>
        <v/>
      </c>
      <c r="T798" s="85">
        <f>IF(O798&gt;0, Q798/O798, 0)</f>
        <v/>
      </c>
      <c r="U798" s="18">
        <f>IF(Q798=0, "Exceeds Limit", IF(P798&lt;=O798, "Weight Limited", "Volume Limited"))</f>
        <v/>
      </c>
      <c r="V798" s="100">
        <f>B798&amp;"|"&amp;D798&amp;"|"&amp;F798</f>
        <v/>
      </c>
    </row>
    <row r="799" ht="19" customHeight="1">
      <c r="A799" s="93" t="n">
        <v>789</v>
      </c>
      <c r="B799" s="101" t="inlineStr">
        <is>
          <t>Stainless Steel 316</t>
        </is>
      </c>
      <c r="C799" s="13" t="inlineStr">
        <is>
          <t>ASME B36.19M / B36.10M</t>
        </is>
      </c>
      <c r="D799" s="12" t="inlineStr">
        <is>
          <t>1/8''</t>
        </is>
      </c>
      <c r="E799" s="93" t="n">
        <v>6</v>
      </c>
      <c r="F799" s="12" t="inlineStr">
        <is>
          <t>STD</t>
        </is>
      </c>
      <c r="G799" s="14" t="n">
        <v>0.405</v>
      </c>
      <c r="H799" s="78" t="n">
        <v>10.29</v>
      </c>
      <c r="I799" s="14" t="n">
        <v>0.068</v>
      </c>
      <c r="J799" s="78" t="n">
        <v>1.73</v>
      </c>
      <c r="K799" s="14">
        <f>ROUND((H799-J799)*J799*IF(B799="Carbon Steel",$K$7,IF(B799="Stainless Steel 304",$K$8,$L$8)), 3)</f>
        <v/>
      </c>
      <c r="L799" s="78">
        <f>ROUND(K799*$G$5, 2)</f>
        <v/>
      </c>
      <c r="M799" s="93">
        <f>INT($G$6/H799)</f>
        <v/>
      </c>
      <c r="N799" s="93">
        <f>IF(M799=0, 0, IF(OR($K$6="Square Grid", M799=1), INT($G$7/H799), IF($G$7&lt;H799, 0, 1+INT(($G$7-H799)/(0.8660254*H799)))))</f>
        <v/>
      </c>
      <c r="O799" s="59">
        <f>IF(OR(M799=0,N799=0), 0, IF(OR($K$6="Square Grid", M799=1), M799*N799*$K$5, (INT((N799+1)/2)*M799 + INT(N799/2)*IF(($G$6-M799*H799)&gt;=0.5*H799, M799, M799-1))*$K$5))</f>
        <v/>
      </c>
      <c r="P799" s="59">
        <f>IF(L799&lt;=0, 0, INT($G$8/L799))</f>
        <v/>
      </c>
      <c r="Q799" s="95">
        <f>MIN(O799, P799)</f>
        <v/>
      </c>
      <c r="R799" s="96">
        <f>ROUND((Q799*L799)/1000, 2)</f>
        <v/>
      </c>
      <c r="S799" s="79">
        <f>IF($C$8&gt;0, R799/$C$8, 0)</f>
        <v/>
      </c>
      <c r="T799" s="79">
        <f>IF(O799&gt;0, Q799/O799, 0)</f>
        <v/>
      </c>
      <c r="U799" s="12">
        <f>IF(Q799=0, "Exceeds Limit", IF(P799&lt;=O799, "Weight Limited", "Volume Limited"))</f>
        <v/>
      </c>
      <c r="V799" s="97">
        <f>B799&amp;"|"&amp;D799&amp;"|"&amp;F799</f>
        <v/>
      </c>
    </row>
    <row r="800" ht="19" customHeight="1">
      <c r="A800" s="98" t="n">
        <v>790</v>
      </c>
      <c r="B800" s="102" t="inlineStr">
        <is>
          <t>Stainless Steel 316</t>
        </is>
      </c>
      <c r="C800" s="19" t="inlineStr">
        <is>
          <t>ASME B36.19M / B36.10M</t>
        </is>
      </c>
      <c r="D800" s="18" t="inlineStr">
        <is>
          <t>1/8''</t>
        </is>
      </c>
      <c r="E800" s="98" t="n">
        <v>6</v>
      </c>
      <c r="F800" s="18" t="inlineStr">
        <is>
          <t>40</t>
        </is>
      </c>
      <c r="G800" s="20" t="n">
        <v>0.405</v>
      </c>
      <c r="H800" s="82" t="n">
        <v>10.29</v>
      </c>
      <c r="I800" s="20" t="n">
        <v>0.068</v>
      </c>
      <c r="J800" s="82" t="n">
        <v>1.73</v>
      </c>
      <c r="K800" s="20">
        <f>ROUND((H800-J800)*J800*IF(B800="Carbon Steel",$K$7,IF(B800="Stainless Steel 304",$K$8,$L$8)), 3)</f>
        <v/>
      </c>
      <c r="L800" s="82">
        <f>ROUND(K800*$G$5, 2)</f>
        <v/>
      </c>
      <c r="M800" s="98">
        <f>INT($G$6/H800)</f>
        <v/>
      </c>
      <c r="N800" s="98">
        <f>IF(M800=0, 0, IF(OR($K$6="Square Grid", M800=1), INT($G$7/H800), IF($G$7&lt;H800, 0, 1+INT(($G$7-H800)/(0.8660254*H800)))))</f>
        <v/>
      </c>
      <c r="O800" s="84">
        <f>IF(OR(M800=0,N800=0), 0, IF(OR($K$6="Square Grid", M800=1), M800*N800*$K$5, (INT((N800+1)/2)*M800 + INT(N800/2)*IF(($G$6-M800*H800)&gt;=0.5*H800, M800, M800-1))*$K$5))</f>
        <v/>
      </c>
      <c r="P800" s="84">
        <f>IF(L800&lt;=0, 0, INT($G$8/L800))</f>
        <v/>
      </c>
      <c r="Q800" s="95">
        <f>MIN(O800, P800)</f>
        <v/>
      </c>
      <c r="R800" s="96">
        <f>ROUND((Q800*L800)/1000, 2)</f>
        <v/>
      </c>
      <c r="S800" s="85">
        <f>IF($C$8&gt;0, R800/$C$8, 0)</f>
        <v/>
      </c>
      <c r="T800" s="85">
        <f>IF(O800&gt;0, Q800/O800, 0)</f>
        <v/>
      </c>
      <c r="U800" s="18">
        <f>IF(Q800=0, "Exceeds Limit", IF(P800&lt;=O800, "Weight Limited", "Volume Limited"))</f>
        <v/>
      </c>
      <c r="V800" s="100">
        <f>B800&amp;"|"&amp;D800&amp;"|"&amp;F800</f>
        <v/>
      </c>
    </row>
    <row r="801" ht="19" customHeight="1">
      <c r="A801" s="93" t="n">
        <v>791</v>
      </c>
      <c r="B801" s="101" t="inlineStr">
        <is>
          <t>Stainless Steel 316</t>
        </is>
      </c>
      <c r="C801" s="13" t="inlineStr">
        <is>
          <t>ASME B36.19M / B36.10M</t>
        </is>
      </c>
      <c r="D801" s="12" t="inlineStr">
        <is>
          <t>1/8''</t>
        </is>
      </c>
      <c r="E801" s="93" t="n">
        <v>6</v>
      </c>
      <c r="F801" s="12" t="inlineStr">
        <is>
          <t>80S</t>
        </is>
      </c>
      <c r="G801" s="14" t="n">
        <v>0.405</v>
      </c>
      <c r="H801" s="78" t="n">
        <v>10.29</v>
      </c>
      <c r="I801" s="14" t="n">
        <v>0.095</v>
      </c>
      <c r="J801" s="78" t="n">
        <v>2.41</v>
      </c>
      <c r="K801" s="14">
        <f>ROUND((H801-J801)*J801*IF(B801="Carbon Steel",$K$7,IF(B801="Stainless Steel 304",$K$8,$L$8)), 3)</f>
        <v/>
      </c>
      <c r="L801" s="78">
        <f>ROUND(K801*$G$5, 2)</f>
        <v/>
      </c>
      <c r="M801" s="93">
        <f>INT($G$6/H801)</f>
        <v/>
      </c>
      <c r="N801" s="93">
        <f>IF(M801=0, 0, IF(OR($K$6="Square Grid", M801=1), INT($G$7/H801), IF($G$7&lt;H801, 0, 1+INT(($G$7-H801)/(0.8660254*H801)))))</f>
        <v/>
      </c>
      <c r="O801" s="59">
        <f>IF(OR(M801=0,N801=0), 0, IF(OR($K$6="Square Grid", M801=1), M801*N801*$K$5, (INT((N801+1)/2)*M801 + INT(N801/2)*IF(($G$6-M801*H801)&gt;=0.5*H801, M801, M801-1))*$K$5))</f>
        <v/>
      </c>
      <c r="P801" s="59">
        <f>IF(L801&lt;=0, 0, INT($G$8/L801))</f>
        <v/>
      </c>
      <c r="Q801" s="95">
        <f>MIN(O801, P801)</f>
        <v/>
      </c>
      <c r="R801" s="96">
        <f>ROUND((Q801*L801)/1000, 2)</f>
        <v/>
      </c>
      <c r="S801" s="79">
        <f>IF($C$8&gt;0, R801/$C$8, 0)</f>
        <v/>
      </c>
      <c r="T801" s="79">
        <f>IF(O801&gt;0, Q801/O801, 0)</f>
        <v/>
      </c>
      <c r="U801" s="12">
        <f>IF(Q801=0, "Exceeds Limit", IF(P801&lt;=O801, "Weight Limited", "Volume Limited"))</f>
        <v/>
      </c>
      <c r="V801" s="97">
        <f>B801&amp;"|"&amp;D801&amp;"|"&amp;F801</f>
        <v/>
      </c>
    </row>
    <row r="802" ht="19" customHeight="1">
      <c r="A802" s="98" t="n">
        <v>792</v>
      </c>
      <c r="B802" s="102" t="inlineStr">
        <is>
          <t>Stainless Steel 316</t>
        </is>
      </c>
      <c r="C802" s="19" t="inlineStr">
        <is>
          <t>ASME B36.19M / B36.10M</t>
        </is>
      </c>
      <c r="D802" s="18" t="inlineStr">
        <is>
          <t>1/8''</t>
        </is>
      </c>
      <c r="E802" s="98" t="n">
        <v>6</v>
      </c>
      <c r="F802" s="18" t="inlineStr">
        <is>
          <t>XS</t>
        </is>
      </c>
      <c r="G802" s="20" t="n">
        <v>0.405</v>
      </c>
      <c r="H802" s="82" t="n">
        <v>10.29</v>
      </c>
      <c r="I802" s="20" t="n">
        <v>0.095</v>
      </c>
      <c r="J802" s="82" t="n">
        <v>2.41</v>
      </c>
      <c r="K802" s="20">
        <f>ROUND((H802-J802)*J802*IF(B802="Carbon Steel",$K$7,IF(B802="Stainless Steel 304",$K$8,$L$8)), 3)</f>
        <v/>
      </c>
      <c r="L802" s="82">
        <f>ROUND(K802*$G$5, 2)</f>
        <v/>
      </c>
      <c r="M802" s="98">
        <f>INT($G$6/H802)</f>
        <v/>
      </c>
      <c r="N802" s="98">
        <f>IF(M802=0, 0, IF(OR($K$6="Square Grid", M802=1), INT($G$7/H802), IF($G$7&lt;H802, 0, 1+INT(($G$7-H802)/(0.8660254*H802)))))</f>
        <v/>
      </c>
      <c r="O802" s="84">
        <f>IF(OR(M802=0,N802=0), 0, IF(OR($K$6="Square Grid", M802=1), M802*N802*$K$5, (INT((N802+1)/2)*M802 + INT(N802/2)*IF(($G$6-M802*H802)&gt;=0.5*H802, M802, M802-1))*$K$5))</f>
        <v/>
      </c>
      <c r="P802" s="84">
        <f>IF(L802&lt;=0, 0, INT($G$8/L802))</f>
        <v/>
      </c>
      <c r="Q802" s="95">
        <f>MIN(O802, P802)</f>
        <v/>
      </c>
      <c r="R802" s="96">
        <f>ROUND((Q802*L802)/1000, 2)</f>
        <v/>
      </c>
      <c r="S802" s="85">
        <f>IF($C$8&gt;0, R802/$C$8, 0)</f>
        <v/>
      </c>
      <c r="T802" s="85">
        <f>IF(O802&gt;0, Q802/O802, 0)</f>
        <v/>
      </c>
      <c r="U802" s="18">
        <f>IF(Q802=0, "Exceeds Limit", IF(P802&lt;=O802, "Weight Limited", "Volume Limited"))</f>
        <v/>
      </c>
      <c r="V802" s="100">
        <f>B802&amp;"|"&amp;D802&amp;"|"&amp;F802</f>
        <v/>
      </c>
    </row>
    <row r="803" ht="19" customHeight="1">
      <c r="A803" s="93" t="n">
        <v>793</v>
      </c>
      <c r="B803" s="101" t="inlineStr">
        <is>
          <t>Stainless Steel 316</t>
        </is>
      </c>
      <c r="C803" s="13" t="inlineStr">
        <is>
          <t>ASME B36.19M / B36.10M</t>
        </is>
      </c>
      <c r="D803" s="12" t="inlineStr">
        <is>
          <t>1/8''</t>
        </is>
      </c>
      <c r="E803" s="93" t="n">
        <v>6</v>
      </c>
      <c r="F803" s="12" t="inlineStr">
        <is>
          <t>80</t>
        </is>
      </c>
      <c r="G803" s="14" t="n">
        <v>0.405</v>
      </c>
      <c r="H803" s="78" t="n">
        <v>10.29</v>
      </c>
      <c r="I803" s="14" t="n">
        <v>0.095</v>
      </c>
      <c r="J803" s="78" t="n">
        <v>2.41</v>
      </c>
      <c r="K803" s="14">
        <f>ROUND((H803-J803)*J803*IF(B803="Carbon Steel",$K$7,IF(B803="Stainless Steel 304",$K$8,$L$8)), 3)</f>
        <v/>
      </c>
      <c r="L803" s="78">
        <f>ROUND(K803*$G$5, 2)</f>
        <v/>
      </c>
      <c r="M803" s="93">
        <f>INT($G$6/H803)</f>
        <v/>
      </c>
      <c r="N803" s="93">
        <f>IF(M803=0, 0, IF(OR($K$6="Square Grid", M803=1), INT($G$7/H803), IF($G$7&lt;H803, 0, 1+INT(($G$7-H803)/(0.8660254*H803)))))</f>
        <v/>
      </c>
      <c r="O803" s="59">
        <f>IF(OR(M803=0,N803=0), 0, IF(OR($K$6="Square Grid", M803=1), M803*N803*$K$5, (INT((N803+1)/2)*M803 + INT(N803/2)*IF(($G$6-M803*H803)&gt;=0.5*H803, M803, M803-1))*$K$5))</f>
        <v/>
      </c>
      <c r="P803" s="59">
        <f>IF(L803&lt;=0, 0, INT($G$8/L803))</f>
        <v/>
      </c>
      <c r="Q803" s="95">
        <f>MIN(O803, P803)</f>
        <v/>
      </c>
      <c r="R803" s="96">
        <f>ROUND((Q803*L803)/1000, 2)</f>
        <v/>
      </c>
      <c r="S803" s="79">
        <f>IF($C$8&gt;0, R803/$C$8, 0)</f>
        <v/>
      </c>
      <c r="T803" s="79">
        <f>IF(O803&gt;0, Q803/O803, 0)</f>
        <v/>
      </c>
      <c r="U803" s="12">
        <f>IF(Q803=0, "Exceeds Limit", IF(P803&lt;=O803, "Weight Limited", "Volume Limited"))</f>
        <v/>
      </c>
      <c r="V803" s="97">
        <f>B803&amp;"|"&amp;D803&amp;"|"&amp;F803</f>
        <v/>
      </c>
    </row>
    <row r="804" ht="19" customHeight="1">
      <c r="A804" s="98" t="n">
        <v>794</v>
      </c>
      <c r="B804" s="102" t="inlineStr">
        <is>
          <t>Stainless Steel 316</t>
        </is>
      </c>
      <c r="C804" s="19" t="inlineStr">
        <is>
          <t>ASME B36.19M / B36.10M</t>
        </is>
      </c>
      <c r="D804" s="18" t="inlineStr">
        <is>
          <t>1/4''</t>
        </is>
      </c>
      <c r="E804" s="98" t="n">
        <v>8</v>
      </c>
      <c r="F804" s="18" t="inlineStr">
        <is>
          <t>10S</t>
        </is>
      </c>
      <c r="G804" s="20" t="n">
        <v>0.54</v>
      </c>
      <c r="H804" s="82" t="n">
        <v>13.72</v>
      </c>
      <c r="I804" s="20" t="n">
        <v>0.065</v>
      </c>
      <c r="J804" s="82" t="n">
        <v>1.65</v>
      </c>
      <c r="K804" s="20">
        <f>ROUND((H804-J804)*J804*IF(B804="Carbon Steel",$K$7,IF(B804="Stainless Steel 304",$K$8,$L$8)), 3)</f>
        <v/>
      </c>
      <c r="L804" s="82">
        <f>ROUND(K804*$G$5, 2)</f>
        <v/>
      </c>
      <c r="M804" s="98">
        <f>INT($G$6/H804)</f>
        <v/>
      </c>
      <c r="N804" s="98">
        <f>IF(M804=0, 0, IF(OR($K$6="Square Grid", M804=1), INT($G$7/H804), IF($G$7&lt;H804, 0, 1+INT(($G$7-H804)/(0.8660254*H804)))))</f>
        <v/>
      </c>
      <c r="O804" s="84">
        <f>IF(OR(M804=0,N804=0), 0, IF(OR($K$6="Square Grid", M804=1), M804*N804*$K$5, (INT((N804+1)/2)*M804 + INT(N804/2)*IF(($G$6-M804*H804)&gt;=0.5*H804, M804, M804-1))*$K$5))</f>
        <v/>
      </c>
      <c r="P804" s="84">
        <f>IF(L804&lt;=0, 0, INT($G$8/L804))</f>
        <v/>
      </c>
      <c r="Q804" s="95">
        <f>MIN(O804, P804)</f>
        <v/>
      </c>
      <c r="R804" s="96">
        <f>ROUND((Q804*L804)/1000, 2)</f>
        <v/>
      </c>
      <c r="S804" s="85">
        <f>IF($C$8&gt;0, R804/$C$8, 0)</f>
        <v/>
      </c>
      <c r="T804" s="85">
        <f>IF(O804&gt;0, Q804/O804, 0)</f>
        <v/>
      </c>
      <c r="U804" s="18">
        <f>IF(Q804=0, "Exceeds Limit", IF(P804&lt;=O804, "Weight Limited", "Volume Limited"))</f>
        <v/>
      </c>
      <c r="V804" s="100">
        <f>B804&amp;"|"&amp;D804&amp;"|"&amp;F804</f>
        <v/>
      </c>
    </row>
    <row r="805" ht="19" customHeight="1">
      <c r="A805" s="93" t="n">
        <v>795</v>
      </c>
      <c r="B805" s="101" t="inlineStr">
        <is>
          <t>Stainless Steel 316</t>
        </is>
      </c>
      <c r="C805" s="13" t="inlineStr">
        <is>
          <t>ASME B36.19M / B36.10M</t>
        </is>
      </c>
      <c r="D805" s="12" t="inlineStr">
        <is>
          <t>1/4''</t>
        </is>
      </c>
      <c r="E805" s="93" t="n">
        <v>8</v>
      </c>
      <c r="F805" s="12" t="inlineStr">
        <is>
          <t>10</t>
        </is>
      </c>
      <c r="G805" s="14" t="n">
        <v>0.54</v>
      </c>
      <c r="H805" s="78" t="n">
        <v>13.72</v>
      </c>
      <c r="I805" s="14" t="n">
        <v>0.065</v>
      </c>
      <c r="J805" s="78" t="n">
        <v>1.65</v>
      </c>
      <c r="K805" s="14">
        <f>ROUND((H805-J805)*J805*IF(B805="Carbon Steel",$K$7,IF(B805="Stainless Steel 304",$K$8,$L$8)), 3)</f>
        <v/>
      </c>
      <c r="L805" s="78">
        <f>ROUND(K805*$G$5, 2)</f>
        <v/>
      </c>
      <c r="M805" s="93">
        <f>INT($G$6/H805)</f>
        <v/>
      </c>
      <c r="N805" s="93">
        <f>IF(M805=0, 0, IF(OR($K$6="Square Grid", M805=1), INT($G$7/H805), IF($G$7&lt;H805, 0, 1+INT(($G$7-H805)/(0.8660254*H805)))))</f>
        <v/>
      </c>
      <c r="O805" s="59">
        <f>IF(OR(M805=0,N805=0), 0, IF(OR($K$6="Square Grid", M805=1), M805*N805*$K$5, (INT((N805+1)/2)*M805 + INT(N805/2)*IF(($G$6-M805*H805)&gt;=0.5*H805, M805, M805-1))*$K$5))</f>
        <v/>
      </c>
      <c r="P805" s="59">
        <f>IF(L805&lt;=0, 0, INT($G$8/L805))</f>
        <v/>
      </c>
      <c r="Q805" s="95">
        <f>MIN(O805, P805)</f>
        <v/>
      </c>
      <c r="R805" s="96">
        <f>ROUND((Q805*L805)/1000, 2)</f>
        <v/>
      </c>
      <c r="S805" s="79">
        <f>IF($C$8&gt;0, R805/$C$8, 0)</f>
        <v/>
      </c>
      <c r="T805" s="79">
        <f>IF(O805&gt;0, Q805/O805, 0)</f>
        <v/>
      </c>
      <c r="U805" s="12">
        <f>IF(Q805=0, "Exceeds Limit", IF(P805&lt;=O805, "Weight Limited", "Volume Limited"))</f>
        <v/>
      </c>
      <c r="V805" s="97">
        <f>B805&amp;"|"&amp;D805&amp;"|"&amp;F805</f>
        <v/>
      </c>
    </row>
    <row r="806" ht="19" customHeight="1">
      <c r="A806" s="98" t="n">
        <v>796</v>
      </c>
      <c r="B806" s="102" t="inlineStr">
        <is>
          <t>Stainless Steel 316</t>
        </is>
      </c>
      <c r="C806" s="19" t="inlineStr">
        <is>
          <t>ASME B36.19M / B36.10M</t>
        </is>
      </c>
      <c r="D806" s="18" t="inlineStr">
        <is>
          <t>1/4''</t>
        </is>
      </c>
      <c r="E806" s="98" t="n">
        <v>8</v>
      </c>
      <c r="F806" s="18" t="inlineStr">
        <is>
          <t>30</t>
        </is>
      </c>
      <c r="G806" s="20" t="n">
        <v>0.54</v>
      </c>
      <c r="H806" s="82" t="n">
        <v>13.72</v>
      </c>
      <c r="I806" s="20" t="n">
        <v>0.073</v>
      </c>
      <c r="J806" s="82" t="n">
        <v>1.85</v>
      </c>
      <c r="K806" s="20">
        <f>ROUND((H806-J806)*J806*IF(B806="Carbon Steel",$K$7,IF(B806="Stainless Steel 304",$K$8,$L$8)), 3)</f>
        <v/>
      </c>
      <c r="L806" s="82">
        <f>ROUND(K806*$G$5, 2)</f>
        <v/>
      </c>
      <c r="M806" s="98">
        <f>INT($G$6/H806)</f>
        <v/>
      </c>
      <c r="N806" s="98">
        <f>IF(M806=0, 0, IF(OR($K$6="Square Grid", M806=1), INT($G$7/H806), IF($G$7&lt;H806, 0, 1+INT(($G$7-H806)/(0.8660254*H806)))))</f>
        <v/>
      </c>
      <c r="O806" s="84">
        <f>IF(OR(M806=0,N806=0), 0, IF(OR($K$6="Square Grid", M806=1), M806*N806*$K$5, (INT((N806+1)/2)*M806 + INT(N806/2)*IF(($G$6-M806*H806)&gt;=0.5*H806, M806, M806-1))*$K$5))</f>
        <v/>
      </c>
      <c r="P806" s="84">
        <f>IF(L806&lt;=0, 0, INT($G$8/L806))</f>
        <v/>
      </c>
      <c r="Q806" s="95">
        <f>MIN(O806, P806)</f>
        <v/>
      </c>
      <c r="R806" s="96">
        <f>ROUND((Q806*L806)/1000, 2)</f>
        <v/>
      </c>
      <c r="S806" s="85">
        <f>IF($C$8&gt;0, R806/$C$8, 0)</f>
        <v/>
      </c>
      <c r="T806" s="85">
        <f>IF(O806&gt;0, Q806/O806, 0)</f>
        <v/>
      </c>
      <c r="U806" s="18">
        <f>IF(Q806=0, "Exceeds Limit", IF(P806&lt;=O806, "Weight Limited", "Volume Limited"))</f>
        <v/>
      </c>
      <c r="V806" s="100">
        <f>B806&amp;"|"&amp;D806&amp;"|"&amp;F806</f>
        <v/>
      </c>
    </row>
    <row r="807" ht="19" customHeight="1">
      <c r="A807" s="93" t="n">
        <v>797</v>
      </c>
      <c r="B807" s="101" t="inlineStr">
        <is>
          <t>Stainless Steel 316</t>
        </is>
      </c>
      <c r="C807" s="13" t="inlineStr">
        <is>
          <t>ASME B36.19M / B36.10M</t>
        </is>
      </c>
      <c r="D807" s="12" t="inlineStr">
        <is>
          <t>1/4''</t>
        </is>
      </c>
      <c r="E807" s="93" t="n">
        <v>8</v>
      </c>
      <c r="F807" s="12" t="inlineStr">
        <is>
          <t>40S</t>
        </is>
      </c>
      <c r="G807" s="14" t="n">
        <v>0.54</v>
      </c>
      <c r="H807" s="78" t="n">
        <v>13.72</v>
      </c>
      <c r="I807" s="14" t="n">
        <v>0.08799999999999999</v>
      </c>
      <c r="J807" s="78" t="n">
        <v>2.24</v>
      </c>
      <c r="K807" s="14">
        <f>ROUND((H807-J807)*J807*IF(B807="Carbon Steel",$K$7,IF(B807="Stainless Steel 304",$K$8,$L$8)), 3)</f>
        <v/>
      </c>
      <c r="L807" s="78">
        <f>ROUND(K807*$G$5, 2)</f>
        <v/>
      </c>
      <c r="M807" s="93">
        <f>INT($G$6/H807)</f>
        <v/>
      </c>
      <c r="N807" s="93">
        <f>IF(M807=0, 0, IF(OR($K$6="Square Grid", M807=1), INT($G$7/H807), IF($G$7&lt;H807, 0, 1+INT(($G$7-H807)/(0.8660254*H807)))))</f>
        <v/>
      </c>
      <c r="O807" s="59">
        <f>IF(OR(M807=0,N807=0), 0, IF(OR($K$6="Square Grid", M807=1), M807*N807*$K$5, (INT((N807+1)/2)*M807 + INT(N807/2)*IF(($G$6-M807*H807)&gt;=0.5*H807, M807, M807-1))*$K$5))</f>
        <v/>
      </c>
      <c r="P807" s="59">
        <f>IF(L807&lt;=0, 0, INT($G$8/L807))</f>
        <v/>
      </c>
      <c r="Q807" s="95">
        <f>MIN(O807, P807)</f>
        <v/>
      </c>
      <c r="R807" s="96">
        <f>ROUND((Q807*L807)/1000, 2)</f>
        <v/>
      </c>
      <c r="S807" s="79">
        <f>IF($C$8&gt;0, R807/$C$8, 0)</f>
        <v/>
      </c>
      <c r="T807" s="79">
        <f>IF(O807&gt;0, Q807/O807, 0)</f>
        <v/>
      </c>
      <c r="U807" s="12">
        <f>IF(Q807=0, "Exceeds Limit", IF(P807&lt;=O807, "Weight Limited", "Volume Limited"))</f>
        <v/>
      </c>
      <c r="V807" s="97">
        <f>B807&amp;"|"&amp;D807&amp;"|"&amp;F807</f>
        <v/>
      </c>
    </row>
    <row r="808" ht="19" customHeight="1">
      <c r="A808" s="98" t="n">
        <v>798</v>
      </c>
      <c r="B808" s="102" t="inlineStr">
        <is>
          <t>Stainless Steel 316</t>
        </is>
      </c>
      <c r="C808" s="19" t="inlineStr">
        <is>
          <t>ASME B36.19M / B36.10M</t>
        </is>
      </c>
      <c r="D808" s="18" t="inlineStr">
        <is>
          <t>1/4''</t>
        </is>
      </c>
      <c r="E808" s="98" t="n">
        <v>8</v>
      </c>
      <c r="F808" s="18" t="inlineStr">
        <is>
          <t>STD</t>
        </is>
      </c>
      <c r="G808" s="20" t="n">
        <v>0.54</v>
      </c>
      <c r="H808" s="82" t="n">
        <v>13.72</v>
      </c>
      <c r="I808" s="20" t="n">
        <v>0.08799999999999999</v>
      </c>
      <c r="J808" s="82" t="n">
        <v>2.24</v>
      </c>
      <c r="K808" s="20">
        <f>ROUND((H808-J808)*J808*IF(B808="Carbon Steel",$K$7,IF(B808="Stainless Steel 304",$K$8,$L$8)), 3)</f>
        <v/>
      </c>
      <c r="L808" s="82">
        <f>ROUND(K808*$G$5, 2)</f>
        <v/>
      </c>
      <c r="M808" s="98">
        <f>INT($G$6/H808)</f>
        <v/>
      </c>
      <c r="N808" s="98">
        <f>IF(M808=0, 0, IF(OR($K$6="Square Grid", M808=1), INT($G$7/H808), IF($G$7&lt;H808, 0, 1+INT(($G$7-H808)/(0.8660254*H808)))))</f>
        <v/>
      </c>
      <c r="O808" s="84">
        <f>IF(OR(M808=0,N808=0), 0, IF(OR($K$6="Square Grid", M808=1), M808*N808*$K$5, (INT((N808+1)/2)*M808 + INT(N808/2)*IF(($G$6-M808*H808)&gt;=0.5*H808, M808, M808-1))*$K$5))</f>
        <v/>
      </c>
      <c r="P808" s="84">
        <f>IF(L808&lt;=0, 0, INT($G$8/L808))</f>
        <v/>
      </c>
      <c r="Q808" s="95">
        <f>MIN(O808, P808)</f>
        <v/>
      </c>
      <c r="R808" s="96">
        <f>ROUND((Q808*L808)/1000, 2)</f>
        <v/>
      </c>
      <c r="S808" s="85">
        <f>IF($C$8&gt;0, R808/$C$8, 0)</f>
        <v/>
      </c>
      <c r="T808" s="85">
        <f>IF(O808&gt;0, Q808/O808, 0)</f>
        <v/>
      </c>
      <c r="U808" s="18">
        <f>IF(Q808=0, "Exceeds Limit", IF(P808&lt;=O808, "Weight Limited", "Volume Limited"))</f>
        <v/>
      </c>
      <c r="V808" s="100">
        <f>B808&amp;"|"&amp;D808&amp;"|"&amp;F808</f>
        <v/>
      </c>
    </row>
    <row r="809" ht="19" customHeight="1">
      <c r="A809" s="93" t="n">
        <v>799</v>
      </c>
      <c r="B809" s="101" t="inlineStr">
        <is>
          <t>Stainless Steel 316</t>
        </is>
      </c>
      <c r="C809" s="13" t="inlineStr">
        <is>
          <t>ASME B36.19M / B36.10M</t>
        </is>
      </c>
      <c r="D809" s="12" t="inlineStr">
        <is>
          <t>1/4''</t>
        </is>
      </c>
      <c r="E809" s="93" t="n">
        <v>8</v>
      </c>
      <c r="F809" s="12" t="inlineStr">
        <is>
          <t>40</t>
        </is>
      </c>
      <c r="G809" s="14" t="n">
        <v>0.54</v>
      </c>
      <c r="H809" s="78" t="n">
        <v>13.72</v>
      </c>
      <c r="I809" s="14" t="n">
        <v>0.08799999999999999</v>
      </c>
      <c r="J809" s="78" t="n">
        <v>2.24</v>
      </c>
      <c r="K809" s="14">
        <f>ROUND((H809-J809)*J809*IF(B809="Carbon Steel",$K$7,IF(B809="Stainless Steel 304",$K$8,$L$8)), 3)</f>
        <v/>
      </c>
      <c r="L809" s="78">
        <f>ROUND(K809*$G$5, 2)</f>
        <v/>
      </c>
      <c r="M809" s="93">
        <f>INT($G$6/H809)</f>
        <v/>
      </c>
      <c r="N809" s="93">
        <f>IF(M809=0, 0, IF(OR($K$6="Square Grid", M809=1), INT($G$7/H809), IF($G$7&lt;H809, 0, 1+INT(($G$7-H809)/(0.8660254*H809)))))</f>
        <v/>
      </c>
      <c r="O809" s="59">
        <f>IF(OR(M809=0,N809=0), 0, IF(OR($K$6="Square Grid", M809=1), M809*N809*$K$5, (INT((N809+1)/2)*M809 + INT(N809/2)*IF(($G$6-M809*H809)&gt;=0.5*H809, M809, M809-1))*$K$5))</f>
        <v/>
      </c>
      <c r="P809" s="59">
        <f>IF(L809&lt;=0, 0, INT($G$8/L809))</f>
        <v/>
      </c>
      <c r="Q809" s="95">
        <f>MIN(O809, P809)</f>
        <v/>
      </c>
      <c r="R809" s="96">
        <f>ROUND((Q809*L809)/1000, 2)</f>
        <v/>
      </c>
      <c r="S809" s="79">
        <f>IF($C$8&gt;0, R809/$C$8, 0)</f>
        <v/>
      </c>
      <c r="T809" s="79">
        <f>IF(O809&gt;0, Q809/O809, 0)</f>
        <v/>
      </c>
      <c r="U809" s="12">
        <f>IF(Q809=0, "Exceeds Limit", IF(P809&lt;=O809, "Weight Limited", "Volume Limited"))</f>
        <v/>
      </c>
      <c r="V809" s="97">
        <f>B809&amp;"|"&amp;D809&amp;"|"&amp;F809</f>
        <v/>
      </c>
    </row>
    <row r="810" ht="19" customHeight="1">
      <c r="A810" s="98" t="n">
        <v>800</v>
      </c>
      <c r="B810" s="102" t="inlineStr">
        <is>
          <t>Stainless Steel 316</t>
        </is>
      </c>
      <c r="C810" s="19" t="inlineStr">
        <is>
          <t>ASME B36.19M / B36.10M</t>
        </is>
      </c>
      <c r="D810" s="18" t="inlineStr">
        <is>
          <t>1/4''</t>
        </is>
      </c>
      <c r="E810" s="98" t="n">
        <v>8</v>
      </c>
      <c r="F810" s="18" t="inlineStr">
        <is>
          <t>80S</t>
        </is>
      </c>
      <c r="G810" s="20" t="n">
        <v>0.54</v>
      </c>
      <c r="H810" s="82" t="n">
        <v>13.72</v>
      </c>
      <c r="I810" s="20" t="n">
        <v>0.119</v>
      </c>
      <c r="J810" s="82" t="n">
        <v>3.02</v>
      </c>
      <c r="K810" s="20">
        <f>ROUND((H810-J810)*J810*IF(B810="Carbon Steel",$K$7,IF(B810="Stainless Steel 304",$K$8,$L$8)), 3)</f>
        <v/>
      </c>
      <c r="L810" s="82">
        <f>ROUND(K810*$G$5, 2)</f>
        <v/>
      </c>
      <c r="M810" s="98">
        <f>INT($G$6/H810)</f>
        <v/>
      </c>
      <c r="N810" s="98">
        <f>IF(M810=0, 0, IF(OR($K$6="Square Grid", M810=1), INT($G$7/H810), IF($G$7&lt;H810, 0, 1+INT(($G$7-H810)/(0.8660254*H810)))))</f>
        <v/>
      </c>
      <c r="O810" s="84">
        <f>IF(OR(M810=0,N810=0), 0, IF(OR($K$6="Square Grid", M810=1), M810*N810*$K$5, (INT((N810+1)/2)*M810 + INT(N810/2)*IF(($G$6-M810*H810)&gt;=0.5*H810, M810, M810-1))*$K$5))</f>
        <v/>
      </c>
      <c r="P810" s="84">
        <f>IF(L810&lt;=0, 0, INT($G$8/L810))</f>
        <v/>
      </c>
      <c r="Q810" s="95">
        <f>MIN(O810, P810)</f>
        <v/>
      </c>
      <c r="R810" s="96">
        <f>ROUND((Q810*L810)/1000, 2)</f>
        <v/>
      </c>
      <c r="S810" s="85">
        <f>IF($C$8&gt;0, R810/$C$8, 0)</f>
        <v/>
      </c>
      <c r="T810" s="85">
        <f>IF(O810&gt;0, Q810/O810, 0)</f>
        <v/>
      </c>
      <c r="U810" s="18">
        <f>IF(Q810=0, "Exceeds Limit", IF(P810&lt;=O810, "Weight Limited", "Volume Limited"))</f>
        <v/>
      </c>
      <c r="V810" s="100">
        <f>B810&amp;"|"&amp;D810&amp;"|"&amp;F810</f>
        <v/>
      </c>
    </row>
    <row r="811" ht="19" customHeight="1">
      <c r="A811" s="93" t="n">
        <v>801</v>
      </c>
      <c r="B811" s="101" t="inlineStr">
        <is>
          <t>Stainless Steel 316</t>
        </is>
      </c>
      <c r="C811" s="13" t="inlineStr">
        <is>
          <t>ASME B36.19M / B36.10M</t>
        </is>
      </c>
      <c r="D811" s="12" t="inlineStr">
        <is>
          <t>1/4''</t>
        </is>
      </c>
      <c r="E811" s="93" t="n">
        <v>8</v>
      </c>
      <c r="F811" s="12" t="inlineStr">
        <is>
          <t>XS</t>
        </is>
      </c>
      <c r="G811" s="14" t="n">
        <v>0.54</v>
      </c>
      <c r="H811" s="78" t="n">
        <v>13.72</v>
      </c>
      <c r="I811" s="14" t="n">
        <v>0.119</v>
      </c>
      <c r="J811" s="78" t="n">
        <v>3.02</v>
      </c>
      <c r="K811" s="14">
        <f>ROUND((H811-J811)*J811*IF(B811="Carbon Steel",$K$7,IF(B811="Stainless Steel 304",$K$8,$L$8)), 3)</f>
        <v/>
      </c>
      <c r="L811" s="78">
        <f>ROUND(K811*$G$5, 2)</f>
        <v/>
      </c>
      <c r="M811" s="93">
        <f>INT($G$6/H811)</f>
        <v/>
      </c>
      <c r="N811" s="93">
        <f>IF(M811=0, 0, IF(OR($K$6="Square Grid", M811=1), INT($G$7/H811), IF($G$7&lt;H811, 0, 1+INT(($G$7-H811)/(0.8660254*H811)))))</f>
        <v/>
      </c>
      <c r="O811" s="59">
        <f>IF(OR(M811=0,N811=0), 0, IF(OR($K$6="Square Grid", M811=1), M811*N811*$K$5, (INT((N811+1)/2)*M811 + INT(N811/2)*IF(($G$6-M811*H811)&gt;=0.5*H811, M811, M811-1))*$K$5))</f>
        <v/>
      </c>
      <c r="P811" s="59">
        <f>IF(L811&lt;=0, 0, INT($G$8/L811))</f>
        <v/>
      </c>
      <c r="Q811" s="95">
        <f>MIN(O811, P811)</f>
        <v/>
      </c>
      <c r="R811" s="96">
        <f>ROUND((Q811*L811)/1000, 2)</f>
        <v/>
      </c>
      <c r="S811" s="79">
        <f>IF($C$8&gt;0, R811/$C$8, 0)</f>
        <v/>
      </c>
      <c r="T811" s="79">
        <f>IF(O811&gt;0, Q811/O811, 0)</f>
        <v/>
      </c>
      <c r="U811" s="12">
        <f>IF(Q811=0, "Exceeds Limit", IF(P811&lt;=O811, "Weight Limited", "Volume Limited"))</f>
        <v/>
      </c>
      <c r="V811" s="97">
        <f>B811&amp;"|"&amp;D811&amp;"|"&amp;F811</f>
        <v/>
      </c>
    </row>
    <row r="812" ht="19" customHeight="1">
      <c r="A812" s="98" t="n">
        <v>802</v>
      </c>
      <c r="B812" s="102" t="inlineStr">
        <is>
          <t>Stainless Steel 316</t>
        </is>
      </c>
      <c r="C812" s="19" t="inlineStr">
        <is>
          <t>ASME B36.19M / B36.10M</t>
        </is>
      </c>
      <c r="D812" s="18" t="inlineStr">
        <is>
          <t>1/4''</t>
        </is>
      </c>
      <c r="E812" s="98" t="n">
        <v>8</v>
      </c>
      <c r="F812" s="18" t="inlineStr">
        <is>
          <t>80</t>
        </is>
      </c>
      <c r="G812" s="20" t="n">
        <v>0.54</v>
      </c>
      <c r="H812" s="82" t="n">
        <v>13.72</v>
      </c>
      <c r="I812" s="20" t="n">
        <v>0.119</v>
      </c>
      <c r="J812" s="82" t="n">
        <v>3.02</v>
      </c>
      <c r="K812" s="20">
        <f>ROUND((H812-J812)*J812*IF(B812="Carbon Steel",$K$7,IF(B812="Stainless Steel 304",$K$8,$L$8)), 3)</f>
        <v/>
      </c>
      <c r="L812" s="82">
        <f>ROUND(K812*$G$5, 2)</f>
        <v/>
      </c>
      <c r="M812" s="98">
        <f>INT($G$6/H812)</f>
        <v/>
      </c>
      <c r="N812" s="98">
        <f>IF(M812=0, 0, IF(OR($K$6="Square Grid", M812=1), INT($G$7/H812), IF($G$7&lt;H812, 0, 1+INT(($G$7-H812)/(0.8660254*H812)))))</f>
        <v/>
      </c>
      <c r="O812" s="84">
        <f>IF(OR(M812=0,N812=0), 0, IF(OR($K$6="Square Grid", M812=1), M812*N812*$K$5, (INT((N812+1)/2)*M812 + INT(N812/2)*IF(($G$6-M812*H812)&gt;=0.5*H812, M812, M812-1))*$K$5))</f>
        <v/>
      </c>
      <c r="P812" s="84">
        <f>IF(L812&lt;=0, 0, INT($G$8/L812))</f>
        <v/>
      </c>
      <c r="Q812" s="95">
        <f>MIN(O812, P812)</f>
        <v/>
      </c>
      <c r="R812" s="96">
        <f>ROUND((Q812*L812)/1000, 2)</f>
        <v/>
      </c>
      <c r="S812" s="85">
        <f>IF($C$8&gt;0, R812/$C$8, 0)</f>
        <v/>
      </c>
      <c r="T812" s="85">
        <f>IF(O812&gt;0, Q812/O812, 0)</f>
        <v/>
      </c>
      <c r="U812" s="18">
        <f>IF(Q812=0, "Exceeds Limit", IF(P812&lt;=O812, "Weight Limited", "Volume Limited"))</f>
        <v/>
      </c>
      <c r="V812" s="100">
        <f>B812&amp;"|"&amp;D812&amp;"|"&amp;F812</f>
        <v/>
      </c>
    </row>
    <row r="813" ht="19" customHeight="1">
      <c r="A813" s="93" t="n">
        <v>803</v>
      </c>
      <c r="B813" s="101" t="inlineStr">
        <is>
          <t>Stainless Steel 316</t>
        </is>
      </c>
      <c r="C813" s="13" t="inlineStr">
        <is>
          <t>ASME B36.19M / B36.10M</t>
        </is>
      </c>
      <c r="D813" s="12" t="inlineStr">
        <is>
          <t>3/8''</t>
        </is>
      </c>
      <c r="E813" s="93" t="n">
        <v>10</v>
      </c>
      <c r="F813" s="12" t="inlineStr">
        <is>
          <t>10S</t>
        </is>
      </c>
      <c r="G813" s="14" t="n">
        <v>0.675</v>
      </c>
      <c r="H813" s="78" t="n">
        <v>17.14</v>
      </c>
      <c r="I813" s="14" t="n">
        <v>0.065</v>
      </c>
      <c r="J813" s="78" t="n">
        <v>1.65</v>
      </c>
      <c r="K813" s="14">
        <f>ROUND((H813-J813)*J813*IF(B813="Carbon Steel",$K$7,IF(B813="Stainless Steel 304",$K$8,$L$8)), 3)</f>
        <v/>
      </c>
      <c r="L813" s="78">
        <f>ROUND(K813*$G$5, 2)</f>
        <v/>
      </c>
      <c r="M813" s="93">
        <f>INT($G$6/H813)</f>
        <v/>
      </c>
      <c r="N813" s="93">
        <f>IF(M813=0, 0, IF(OR($K$6="Square Grid", M813=1), INT($G$7/H813), IF($G$7&lt;H813, 0, 1+INT(($G$7-H813)/(0.8660254*H813)))))</f>
        <v/>
      </c>
      <c r="O813" s="59">
        <f>IF(OR(M813=0,N813=0), 0, IF(OR($K$6="Square Grid", M813=1), M813*N813*$K$5, (INT((N813+1)/2)*M813 + INT(N813/2)*IF(($G$6-M813*H813)&gt;=0.5*H813, M813, M813-1))*$K$5))</f>
        <v/>
      </c>
      <c r="P813" s="59">
        <f>IF(L813&lt;=0, 0, INT($G$8/L813))</f>
        <v/>
      </c>
      <c r="Q813" s="95">
        <f>MIN(O813, P813)</f>
        <v/>
      </c>
      <c r="R813" s="96">
        <f>ROUND((Q813*L813)/1000, 2)</f>
        <v/>
      </c>
      <c r="S813" s="79">
        <f>IF($C$8&gt;0, R813/$C$8, 0)</f>
        <v/>
      </c>
      <c r="T813" s="79">
        <f>IF(O813&gt;0, Q813/O813, 0)</f>
        <v/>
      </c>
      <c r="U813" s="12">
        <f>IF(Q813=0, "Exceeds Limit", IF(P813&lt;=O813, "Weight Limited", "Volume Limited"))</f>
        <v/>
      </c>
      <c r="V813" s="97">
        <f>B813&amp;"|"&amp;D813&amp;"|"&amp;F813</f>
        <v/>
      </c>
    </row>
    <row r="814" ht="19" customHeight="1">
      <c r="A814" s="98" t="n">
        <v>804</v>
      </c>
      <c r="B814" s="102" t="inlineStr">
        <is>
          <t>Stainless Steel 316</t>
        </is>
      </c>
      <c r="C814" s="19" t="inlineStr">
        <is>
          <t>ASME B36.19M / B36.10M</t>
        </is>
      </c>
      <c r="D814" s="18" t="inlineStr">
        <is>
          <t>3/8''</t>
        </is>
      </c>
      <c r="E814" s="98" t="n">
        <v>10</v>
      </c>
      <c r="F814" s="18" t="inlineStr">
        <is>
          <t>10</t>
        </is>
      </c>
      <c r="G814" s="20" t="n">
        <v>0.675</v>
      </c>
      <c r="H814" s="82" t="n">
        <v>17.14</v>
      </c>
      <c r="I814" s="20" t="n">
        <v>0.065</v>
      </c>
      <c r="J814" s="82" t="n">
        <v>1.65</v>
      </c>
      <c r="K814" s="20">
        <f>ROUND((H814-J814)*J814*IF(B814="Carbon Steel",$K$7,IF(B814="Stainless Steel 304",$K$8,$L$8)), 3)</f>
        <v/>
      </c>
      <c r="L814" s="82">
        <f>ROUND(K814*$G$5, 2)</f>
        <v/>
      </c>
      <c r="M814" s="98">
        <f>INT($G$6/H814)</f>
        <v/>
      </c>
      <c r="N814" s="98">
        <f>IF(M814=0, 0, IF(OR($K$6="Square Grid", M814=1), INT($G$7/H814), IF($G$7&lt;H814, 0, 1+INT(($G$7-H814)/(0.8660254*H814)))))</f>
        <v/>
      </c>
      <c r="O814" s="84">
        <f>IF(OR(M814=0,N814=0), 0, IF(OR($K$6="Square Grid", M814=1), M814*N814*$K$5, (INT((N814+1)/2)*M814 + INT(N814/2)*IF(($G$6-M814*H814)&gt;=0.5*H814, M814, M814-1))*$K$5))</f>
        <v/>
      </c>
      <c r="P814" s="84">
        <f>IF(L814&lt;=0, 0, INT($G$8/L814))</f>
        <v/>
      </c>
      <c r="Q814" s="95">
        <f>MIN(O814, P814)</f>
        <v/>
      </c>
      <c r="R814" s="96">
        <f>ROUND((Q814*L814)/1000, 2)</f>
        <v/>
      </c>
      <c r="S814" s="85">
        <f>IF($C$8&gt;0, R814/$C$8, 0)</f>
        <v/>
      </c>
      <c r="T814" s="85">
        <f>IF(O814&gt;0, Q814/O814, 0)</f>
        <v/>
      </c>
      <c r="U814" s="18">
        <f>IF(Q814=0, "Exceeds Limit", IF(P814&lt;=O814, "Weight Limited", "Volume Limited"))</f>
        <v/>
      </c>
      <c r="V814" s="100">
        <f>B814&amp;"|"&amp;D814&amp;"|"&amp;F814</f>
        <v/>
      </c>
    </row>
    <row r="815" ht="19" customHeight="1">
      <c r="A815" s="93" t="n">
        <v>805</v>
      </c>
      <c r="B815" s="101" t="inlineStr">
        <is>
          <t>Stainless Steel 316</t>
        </is>
      </c>
      <c r="C815" s="13" t="inlineStr">
        <is>
          <t>ASME B36.19M / B36.10M</t>
        </is>
      </c>
      <c r="D815" s="12" t="inlineStr">
        <is>
          <t>3/8''</t>
        </is>
      </c>
      <c r="E815" s="93" t="n">
        <v>10</v>
      </c>
      <c r="F815" s="12" t="inlineStr">
        <is>
          <t>30</t>
        </is>
      </c>
      <c r="G815" s="14" t="n">
        <v>0.675</v>
      </c>
      <c r="H815" s="78" t="n">
        <v>17.14</v>
      </c>
      <c r="I815" s="14" t="n">
        <v>0.073</v>
      </c>
      <c r="J815" s="78" t="n">
        <v>1.85</v>
      </c>
      <c r="K815" s="14">
        <f>ROUND((H815-J815)*J815*IF(B815="Carbon Steel",$K$7,IF(B815="Stainless Steel 304",$K$8,$L$8)), 3)</f>
        <v/>
      </c>
      <c r="L815" s="78">
        <f>ROUND(K815*$G$5, 2)</f>
        <v/>
      </c>
      <c r="M815" s="93">
        <f>INT($G$6/H815)</f>
        <v/>
      </c>
      <c r="N815" s="93">
        <f>IF(M815=0, 0, IF(OR($K$6="Square Grid", M815=1), INT($G$7/H815), IF($G$7&lt;H815, 0, 1+INT(($G$7-H815)/(0.8660254*H815)))))</f>
        <v/>
      </c>
      <c r="O815" s="59">
        <f>IF(OR(M815=0,N815=0), 0, IF(OR($K$6="Square Grid", M815=1), M815*N815*$K$5, (INT((N815+1)/2)*M815 + INT(N815/2)*IF(($G$6-M815*H815)&gt;=0.5*H815, M815, M815-1))*$K$5))</f>
        <v/>
      </c>
      <c r="P815" s="59">
        <f>IF(L815&lt;=0, 0, INT($G$8/L815))</f>
        <v/>
      </c>
      <c r="Q815" s="95">
        <f>MIN(O815, P815)</f>
        <v/>
      </c>
      <c r="R815" s="96">
        <f>ROUND((Q815*L815)/1000, 2)</f>
        <v/>
      </c>
      <c r="S815" s="79">
        <f>IF($C$8&gt;0, R815/$C$8, 0)</f>
        <v/>
      </c>
      <c r="T815" s="79">
        <f>IF(O815&gt;0, Q815/O815, 0)</f>
        <v/>
      </c>
      <c r="U815" s="12">
        <f>IF(Q815=0, "Exceeds Limit", IF(P815&lt;=O815, "Weight Limited", "Volume Limited"))</f>
        <v/>
      </c>
      <c r="V815" s="97">
        <f>B815&amp;"|"&amp;D815&amp;"|"&amp;F815</f>
        <v/>
      </c>
    </row>
    <row r="816" ht="19" customHeight="1">
      <c r="A816" s="98" t="n">
        <v>806</v>
      </c>
      <c r="B816" s="102" t="inlineStr">
        <is>
          <t>Stainless Steel 316</t>
        </is>
      </c>
      <c r="C816" s="19" t="inlineStr">
        <is>
          <t>ASME B36.19M / B36.10M</t>
        </is>
      </c>
      <c r="D816" s="18" t="inlineStr">
        <is>
          <t>3/8''</t>
        </is>
      </c>
      <c r="E816" s="98" t="n">
        <v>10</v>
      </c>
      <c r="F816" s="18" t="inlineStr">
        <is>
          <t>40S</t>
        </is>
      </c>
      <c r="G816" s="20" t="n">
        <v>0.675</v>
      </c>
      <c r="H816" s="82" t="n">
        <v>17.14</v>
      </c>
      <c r="I816" s="20" t="n">
        <v>0.091</v>
      </c>
      <c r="J816" s="82" t="n">
        <v>2.31</v>
      </c>
      <c r="K816" s="20">
        <f>ROUND((H816-J816)*J816*IF(B816="Carbon Steel",$K$7,IF(B816="Stainless Steel 304",$K$8,$L$8)), 3)</f>
        <v/>
      </c>
      <c r="L816" s="82">
        <f>ROUND(K816*$G$5, 2)</f>
        <v/>
      </c>
      <c r="M816" s="98">
        <f>INT($G$6/H816)</f>
        <v/>
      </c>
      <c r="N816" s="98">
        <f>IF(M816=0, 0, IF(OR($K$6="Square Grid", M816=1), INT($G$7/H816), IF($G$7&lt;H816, 0, 1+INT(($G$7-H816)/(0.8660254*H816)))))</f>
        <v/>
      </c>
      <c r="O816" s="84">
        <f>IF(OR(M816=0,N816=0), 0, IF(OR($K$6="Square Grid", M816=1), M816*N816*$K$5, (INT((N816+1)/2)*M816 + INT(N816/2)*IF(($G$6-M816*H816)&gt;=0.5*H816, M816, M816-1))*$K$5))</f>
        <v/>
      </c>
      <c r="P816" s="84">
        <f>IF(L816&lt;=0, 0, INT($G$8/L816))</f>
        <v/>
      </c>
      <c r="Q816" s="95">
        <f>MIN(O816, P816)</f>
        <v/>
      </c>
      <c r="R816" s="96">
        <f>ROUND((Q816*L816)/1000, 2)</f>
        <v/>
      </c>
      <c r="S816" s="85">
        <f>IF($C$8&gt;0, R816/$C$8, 0)</f>
        <v/>
      </c>
      <c r="T816" s="85">
        <f>IF(O816&gt;0, Q816/O816, 0)</f>
        <v/>
      </c>
      <c r="U816" s="18">
        <f>IF(Q816=0, "Exceeds Limit", IF(P816&lt;=O816, "Weight Limited", "Volume Limited"))</f>
        <v/>
      </c>
      <c r="V816" s="100">
        <f>B816&amp;"|"&amp;D816&amp;"|"&amp;F816</f>
        <v/>
      </c>
    </row>
    <row r="817" ht="19" customHeight="1">
      <c r="A817" s="93" t="n">
        <v>807</v>
      </c>
      <c r="B817" s="101" t="inlineStr">
        <is>
          <t>Stainless Steel 316</t>
        </is>
      </c>
      <c r="C817" s="13" t="inlineStr">
        <is>
          <t>ASME B36.19M / B36.10M</t>
        </is>
      </c>
      <c r="D817" s="12" t="inlineStr">
        <is>
          <t>3/8''</t>
        </is>
      </c>
      <c r="E817" s="93" t="n">
        <v>10</v>
      </c>
      <c r="F817" s="12" t="inlineStr">
        <is>
          <t>STD</t>
        </is>
      </c>
      <c r="G817" s="14" t="n">
        <v>0.675</v>
      </c>
      <c r="H817" s="78" t="n">
        <v>17.14</v>
      </c>
      <c r="I817" s="14" t="n">
        <v>0.091</v>
      </c>
      <c r="J817" s="78" t="n">
        <v>2.31</v>
      </c>
      <c r="K817" s="14">
        <f>ROUND((H817-J817)*J817*IF(B817="Carbon Steel",$K$7,IF(B817="Stainless Steel 304",$K$8,$L$8)), 3)</f>
        <v/>
      </c>
      <c r="L817" s="78">
        <f>ROUND(K817*$G$5, 2)</f>
        <v/>
      </c>
      <c r="M817" s="93">
        <f>INT($G$6/H817)</f>
        <v/>
      </c>
      <c r="N817" s="93">
        <f>IF(M817=0, 0, IF(OR($K$6="Square Grid", M817=1), INT($G$7/H817), IF($G$7&lt;H817, 0, 1+INT(($G$7-H817)/(0.8660254*H817)))))</f>
        <v/>
      </c>
      <c r="O817" s="59">
        <f>IF(OR(M817=0,N817=0), 0, IF(OR($K$6="Square Grid", M817=1), M817*N817*$K$5, (INT((N817+1)/2)*M817 + INT(N817/2)*IF(($G$6-M817*H817)&gt;=0.5*H817, M817, M817-1))*$K$5))</f>
        <v/>
      </c>
      <c r="P817" s="59">
        <f>IF(L817&lt;=0, 0, INT($G$8/L817))</f>
        <v/>
      </c>
      <c r="Q817" s="95">
        <f>MIN(O817, P817)</f>
        <v/>
      </c>
      <c r="R817" s="96">
        <f>ROUND((Q817*L817)/1000, 2)</f>
        <v/>
      </c>
      <c r="S817" s="79">
        <f>IF($C$8&gt;0, R817/$C$8, 0)</f>
        <v/>
      </c>
      <c r="T817" s="79">
        <f>IF(O817&gt;0, Q817/O817, 0)</f>
        <v/>
      </c>
      <c r="U817" s="12">
        <f>IF(Q817=0, "Exceeds Limit", IF(P817&lt;=O817, "Weight Limited", "Volume Limited"))</f>
        <v/>
      </c>
      <c r="V817" s="97">
        <f>B817&amp;"|"&amp;D817&amp;"|"&amp;F817</f>
        <v/>
      </c>
    </row>
    <row r="818" ht="19" customHeight="1">
      <c r="A818" s="98" t="n">
        <v>808</v>
      </c>
      <c r="B818" s="102" t="inlineStr">
        <is>
          <t>Stainless Steel 316</t>
        </is>
      </c>
      <c r="C818" s="19" t="inlineStr">
        <is>
          <t>ASME B36.19M / B36.10M</t>
        </is>
      </c>
      <c r="D818" s="18" t="inlineStr">
        <is>
          <t>3/8''</t>
        </is>
      </c>
      <c r="E818" s="98" t="n">
        <v>10</v>
      </c>
      <c r="F818" s="18" t="inlineStr">
        <is>
          <t>40</t>
        </is>
      </c>
      <c r="G818" s="20" t="n">
        <v>0.675</v>
      </c>
      <c r="H818" s="82" t="n">
        <v>17.14</v>
      </c>
      <c r="I818" s="20" t="n">
        <v>0.091</v>
      </c>
      <c r="J818" s="82" t="n">
        <v>2.31</v>
      </c>
      <c r="K818" s="20">
        <f>ROUND((H818-J818)*J818*IF(B818="Carbon Steel",$K$7,IF(B818="Stainless Steel 304",$K$8,$L$8)), 3)</f>
        <v/>
      </c>
      <c r="L818" s="82">
        <f>ROUND(K818*$G$5, 2)</f>
        <v/>
      </c>
      <c r="M818" s="98">
        <f>INT($G$6/H818)</f>
        <v/>
      </c>
      <c r="N818" s="98">
        <f>IF(M818=0, 0, IF(OR($K$6="Square Grid", M818=1), INT($G$7/H818), IF($G$7&lt;H818, 0, 1+INT(($G$7-H818)/(0.8660254*H818)))))</f>
        <v/>
      </c>
      <c r="O818" s="84">
        <f>IF(OR(M818=0,N818=0), 0, IF(OR($K$6="Square Grid", M818=1), M818*N818*$K$5, (INT((N818+1)/2)*M818 + INT(N818/2)*IF(($G$6-M818*H818)&gt;=0.5*H818, M818, M818-1))*$K$5))</f>
        <v/>
      </c>
      <c r="P818" s="84">
        <f>IF(L818&lt;=0, 0, INT($G$8/L818))</f>
        <v/>
      </c>
      <c r="Q818" s="95">
        <f>MIN(O818, P818)</f>
        <v/>
      </c>
      <c r="R818" s="96">
        <f>ROUND((Q818*L818)/1000, 2)</f>
        <v/>
      </c>
      <c r="S818" s="85">
        <f>IF($C$8&gt;0, R818/$C$8, 0)</f>
        <v/>
      </c>
      <c r="T818" s="85">
        <f>IF(O818&gt;0, Q818/O818, 0)</f>
        <v/>
      </c>
      <c r="U818" s="18">
        <f>IF(Q818=0, "Exceeds Limit", IF(P818&lt;=O818, "Weight Limited", "Volume Limited"))</f>
        <v/>
      </c>
      <c r="V818" s="100">
        <f>B818&amp;"|"&amp;D818&amp;"|"&amp;F818</f>
        <v/>
      </c>
    </row>
    <row r="819" ht="19" customHeight="1">
      <c r="A819" s="93" t="n">
        <v>809</v>
      </c>
      <c r="B819" s="101" t="inlineStr">
        <is>
          <t>Stainless Steel 316</t>
        </is>
      </c>
      <c r="C819" s="13" t="inlineStr">
        <is>
          <t>ASME B36.19M / B36.10M</t>
        </is>
      </c>
      <c r="D819" s="12" t="inlineStr">
        <is>
          <t>3/8''</t>
        </is>
      </c>
      <c r="E819" s="93" t="n">
        <v>10</v>
      </c>
      <c r="F819" s="12" t="inlineStr">
        <is>
          <t>80S</t>
        </is>
      </c>
      <c r="G819" s="14" t="n">
        <v>0.675</v>
      </c>
      <c r="H819" s="78" t="n">
        <v>17.14</v>
      </c>
      <c r="I819" s="14" t="n">
        <v>0.126</v>
      </c>
      <c r="J819" s="78" t="n">
        <v>3.2</v>
      </c>
      <c r="K819" s="14">
        <f>ROUND((H819-J819)*J819*IF(B819="Carbon Steel",$K$7,IF(B819="Stainless Steel 304",$K$8,$L$8)), 3)</f>
        <v/>
      </c>
      <c r="L819" s="78">
        <f>ROUND(K819*$G$5, 2)</f>
        <v/>
      </c>
      <c r="M819" s="93">
        <f>INT($G$6/H819)</f>
        <v/>
      </c>
      <c r="N819" s="93">
        <f>IF(M819=0, 0, IF(OR($K$6="Square Grid", M819=1), INT($G$7/H819), IF($G$7&lt;H819, 0, 1+INT(($G$7-H819)/(0.8660254*H819)))))</f>
        <v/>
      </c>
      <c r="O819" s="59">
        <f>IF(OR(M819=0,N819=0), 0, IF(OR($K$6="Square Grid", M819=1), M819*N819*$K$5, (INT((N819+1)/2)*M819 + INT(N819/2)*IF(($G$6-M819*H819)&gt;=0.5*H819, M819, M819-1))*$K$5))</f>
        <v/>
      </c>
      <c r="P819" s="59">
        <f>IF(L819&lt;=0, 0, INT($G$8/L819))</f>
        <v/>
      </c>
      <c r="Q819" s="95">
        <f>MIN(O819, P819)</f>
        <v/>
      </c>
      <c r="R819" s="96">
        <f>ROUND((Q819*L819)/1000, 2)</f>
        <v/>
      </c>
      <c r="S819" s="79">
        <f>IF($C$8&gt;0, R819/$C$8, 0)</f>
        <v/>
      </c>
      <c r="T819" s="79">
        <f>IF(O819&gt;0, Q819/O819, 0)</f>
        <v/>
      </c>
      <c r="U819" s="12">
        <f>IF(Q819=0, "Exceeds Limit", IF(P819&lt;=O819, "Weight Limited", "Volume Limited"))</f>
        <v/>
      </c>
      <c r="V819" s="97">
        <f>B819&amp;"|"&amp;D819&amp;"|"&amp;F819</f>
        <v/>
      </c>
    </row>
    <row r="820" ht="19" customHeight="1">
      <c r="A820" s="98" t="n">
        <v>810</v>
      </c>
      <c r="B820" s="102" t="inlineStr">
        <is>
          <t>Stainless Steel 316</t>
        </is>
      </c>
      <c r="C820" s="19" t="inlineStr">
        <is>
          <t>ASME B36.19M / B36.10M</t>
        </is>
      </c>
      <c r="D820" s="18" t="inlineStr">
        <is>
          <t>3/8''</t>
        </is>
      </c>
      <c r="E820" s="98" t="n">
        <v>10</v>
      </c>
      <c r="F820" s="18" t="inlineStr">
        <is>
          <t>XS</t>
        </is>
      </c>
      <c r="G820" s="20" t="n">
        <v>0.675</v>
      </c>
      <c r="H820" s="82" t="n">
        <v>17.14</v>
      </c>
      <c r="I820" s="20" t="n">
        <v>0.126</v>
      </c>
      <c r="J820" s="82" t="n">
        <v>3.2</v>
      </c>
      <c r="K820" s="20">
        <f>ROUND((H820-J820)*J820*IF(B820="Carbon Steel",$K$7,IF(B820="Stainless Steel 304",$K$8,$L$8)), 3)</f>
        <v/>
      </c>
      <c r="L820" s="82">
        <f>ROUND(K820*$G$5, 2)</f>
        <v/>
      </c>
      <c r="M820" s="98">
        <f>INT($G$6/H820)</f>
        <v/>
      </c>
      <c r="N820" s="98">
        <f>IF(M820=0, 0, IF(OR($K$6="Square Grid", M820=1), INT($G$7/H820), IF($G$7&lt;H820, 0, 1+INT(($G$7-H820)/(0.8660254*H820)))))</f>
        <v/>
      </c>
      <c r="O820" s="84">
        <f>IF(OR(M820=0,N820=0), 0, IF(OR($K$6="Square Grid", M820=1), M820*N820*$K$5, (INT((N820+1)/2)*M820 + INT(N820/2)*IF(($G$6-M820*H820)&gt;=0.5*H820, M820, M820-1))*$K$5))</f>
        <v/>
      </c>
      <c r="P820" s="84">
        <f>IF(L820&lt;=0, 0, INT($G$8/L820))</f>
        <v/>
      </c>
      <c r="Q820" s="95">
        <f>MIN(O820, P820)</f>
        <v/>
      </c>
      <c r="R820" s="96">
        <f>ROUND((Q820*L820)/1000, 2)</f>
        <v/>
      </c>
      <c r="S820" s="85">
        <f>IF($C$8&gt;0, R820/$C$8, 0)</f>
        <v/>
      </c>
      <c r="T820" s="85">
        <f>IF(O820&gt;0, Q820/O820, 0)</f>
        <v/>
      </c>
      <c r="U820" s="18">
        <f>IF(Q820=0, "Exceeds Limit", IF(P820&lt;=O820, "Weight Limited", "Volume Limited"))</f>
        <v/>
      </c>
      <c r="V820" s="100">
        <f>B820&amp;"|"&amp;D820&amp;"|"&amp;F820</f>
        <v/>
      </c>
    </row>
    <row r="821" ht="19" customHeight="1">
      <c r="A821" s="93" t="n">
        <v>811</v>
      </c>
      <c r="B821" s="101" t="inlineStr">
        <is>
          <t>Stainless Steel 316</t>
        </is>
      </c>
      <c r="C821" s="13" t="inlineStr">
        <is>
          <t>ASME B36.19M / B36.10M</t>
        </is>
      </c>
      <c r="D821" s="12" t="inlineStr">
        <is>
          <t>3/8''</t>
        </is>
      </c>
      <c r="E821" s="93" t="n">
        <v>10</v>
      </c>
      <c r="F821" s="12" t="inlineStr">
        <is>
          <t>80</t>
        </is>
      </c>
      <c r="G821" s="14" t="n">
        <v>0.675</v>
      </c>
      <c r="H821" s="78" t="n">
        <v>17.14</v>
      </c>
      <c r="I821" s="14" t="n">
        <v>0.126</v>
      </c>
      <c r="J821" s="78" t="n">
        <v>3.2</v>
      </c>
      <c r="K821" s="14">
        <f>ROUND((H821-J821)*J821*IF(B821="Carbon Steel",$K$7,IF(B821="Stainless Steel 304",$K$8,$L$8)), 3)</f>
        <v/>
      </c>
      <c r="L821" s="78">
        <f>ROUND(K821*$G$5, 2)</f>
        <v/>
      </c>
      <c r="M821" s="93">
        <f>INT($G$6/H821)</f>
        <v/>
      </c>
      <c r="N821" s="93">
        <f>IF(M821=0, 0, IF(OR($K$6="Square Grid", M821=1), INT($G$7/H821), IF($G$7&lt;H821, 0, 1+INT(($G$7-H821)/(0.8660254*H821)))))</f>
        <v/>
      </c>
      <c r="O821" s="59">
        <f>IF(OR(M821=0,N821=0), 0, IF(OR($K$6="Square Grid", M821=1), M821*N821*$K$5, (INT((N821+1)/2)*M821 + INT(N821/2)*IF(($G$6-M821*H821)&gt;=0.5*H821, M821, M821-1))*$K$5))</f>
        <v/>
      </c>
      <c r="P821" s="59">
        <f>IF(L821&lt;=0, 0, INT($G$8/L821))</f>
        <v/>
      </c>
      <c r="Q821" s="95">
        <f>MIN(O821, P821)</f>
        <v/>
      </c>
      <c r="R821" s="96">
        <f>ROUND((Q821*L821)/1000, 2)</f>
        <v/>
      </c>
      <c r="S821" s="79">
        <f>IF($C$8&gt;0, R821/$C$8, 0)</f>
        <v/>
      </c>
      <c r="T821" s="79">
        <f>IF(O821&gt;0, Q821/O821, 0)</f>
        <v/>
      </c>
      <c r="U821" s="12">
        <f>IF(Q821=0, "Exceeds Limit", IF(P821&lt;=O821, "Weight Limited", "Volume Limited"))</f>
        <v/>
      </c>
      <c r="V821" s="97">
        <f>B821&amp;"|"&amp;D821&amp;"|"&amp;F821</f>
        <v/>
      </c>
    </row>
    <row r="822" ht="19" customHeight="1">
      <c r="A822" s="98" t="n">
        <v>812</v>
      </c>
      <c r="B822" s="102" t="inlineStr">
        <is>
          <t>Stainless Steel 316</t>
        </is>
      </c>
      <c r="C822" s="19" t="inlineStr">
        <is>
          <t>ASME B36.19M / B36.10M</t>
        </is>
      </c>
      <c r="D822" s="18" t="inlineStr">
        <is>
          <t>1/2''</t>
        </is>
      </c>
      <c r="E822" s="98" t="n">
        <v>15</v>
      </c>
      <c r="F822" s="18" t="inlineStr">
        <is>
          <t>5S</t>
        </is>
      </c>
      <c r="G822" s="20" t="n">
        <v>0.84</v>
      </c>
      <c r="H822" s="82" t="n">
        <v>21.34</v>
      </c>
      <c r="I822" s="20" t="n">
        <v>0.065</v>
      </c>
      <c r="J822" s="82" t="n">
        <v>1.65</v>
      </c>
      <c r="K822" s="20">
        <f>ROUND((H822-J822)*J822*IF(B822="Carbon Steel",$K$7,IF(B822="Stainless Steel 304",$K$8,$L$8)), 3)</f>
        <v/>
      </c>
      <c r="L822" s="82">
        <f>ROUND(K822*$G$5, 2)</f>
        <v/>
      </c>
      <c r="M822" s="98">
        <f>INT($G$6/H822)</f>
        <v/>
      </c>
      <c r="N822" s="98">
        <f>IF(M822=0, 0, IF(OR($K$6="Square Grid", M822=1), INT($G$7/H822), IF($G$7&lt;H822, 0, 1+INT(($G$7-H822)/(0.8660254*H822)))))</f>
        <v/>
      </c>
      <c r="O822" s="84">
        <f>IF(OR(M822=0,N822=0), 0, IF(OR($K$6="Square Grid", M822=1), M822*N822*$K$5, (INT((N822+1)/2)*M822 + INT(N822/2)*IF(($G$6-M822*H822)&gt;=0.5*H822, M822, M822-1))*$K$5))</f>
        <v/>
      </c>
      <c r="P822" s="84">
        <f>IF(L822&lt;=0, 0, INT($G$8/L822))</f>
        <v/>
      </c>
      <c r="Q822" s="95">
        <f>MIN(O822, P822)</f>
        <v/>
      </c>
      <c r="R822" s="96">
        <f>ROUND((Q822*L822)/1000, 2)</f>
        <v/>
      </c>
      <c r="S822" s="85">
        <f>IF($C$8&gt;0, R822/$C$8, 0)</f>
        <v/>
      </c>
      <c r="T822" s="85">
        <f>IF(O822&gt;0, Q822/O822, 0)</f>
        <v/>
      </c>
      <c r="U822" s="18">
        <f>IF(Q822=0, "Exceeds Limit", IF(P822&lt;=O822, "Weight Limited", "Volume Limited"))</f>
        <v/>
      </c>
      <c r="V822" s="100">
        <f>B822&amp;"|"&amp;D822&amp;"|"&amp;F822</f>
        <v/>
      </c>
    </row>
    <row r="823" ht="19" customHeight="1">
      <c r="A823" s="93" t="n">
        <v>813</v>
      </c>
      <c r="B823" s="101" t="inlineStr">
        <is>
          <t>Stainless Steel 316</t>
        </is>
      </c>
      <c r="C823" s="13" t="inlineStr">
        <is>
          <t>ASME B36.19M / B36.10M</t>
        </is>
      </c>
      <c r="D823" s="12" t="inlineStr">
        <is>
          <t>1/2''</t>
        </is>
      </c>
      <c r="E823" s="93" t="n">
        <v>15</v>
      </c>
      <c r="F823" s="12" t="inlineStr">
        <is>
          <t>5</t>
        </is>
      </c>
      <c r="G823" s="14" t="n">
        <v>0.84</v>
      </c>
      <c r="H823" s="78" t="n">
        <v>21.34</v>
      </c>
      <c r="I823" s="14" t="n">
        <v>0.065</v>
      </c>
      <c r="J823" s="78" t="n">
        <v>1.65</v>
      </c>
      <c r="K823" s="14">
        <f>ROUND((H823-J823)*J823*IF(B823="Carbon Steel",$K$7,IF(B823="Stainless Steel 304",$K$8,$L$8)), 3)</f>
        <v/>
      </c>
      <c r="L823" s="78">
        <f>ROUND(K823*$G$5, 2)</f>
        <v/>
      </c>
      <c r="M823" s="93">
        <f>INT($G$6/H823)</f>
        <v/>
      </c>
      <c r="N823" s="93">
        <f>IF(M823=0, 0, IF(OR($K$6="Square Grid", M823=1), INT($G$7/H823), IF($G$7&lt;H823, 0, 1+INT(($G$7-H823)/(0.8660254*H823)))))</f>
        <v/>
      </c>
      <c r="O823" s="59">
        <f>IF(OR(M823=0,N823=0), 0, IF(OR($K$6="Square Grid", M823=1), M823*N823*$K$5, (INT((N823+1)/2)*M823 + INT(N823/2)*IF(($G$6-M823*H823)&gt;=0.5*H823, M823, M823-1))*$K$5))</f>
        <v/>
      </c>
      <c r="P823" s="59">
        <f>IF(L823&lt;=0, 0, INT($G$8/L823))</f>
        <v/>
      </c>
      <c r="Q823" s="95">
        <f>MIN(O823, P823)</f>
        <v/>
      </c>
      <c r="R823" s="96">
        <f>ROUND((Q823*L823)/1000, 2)</f>
        <v/>
      </c>
      <c r="S823" s="79">
        <f>IF($C$8&gt;0, R823/$C$8, 0)</f>
        <v/>
      </c>
      <c r="T823" s="79">
        <f>IF(O823&gt;0, Q823/O823, 0)</f>
        <v/>
      </c>
      <c r="U823" s="12">
        <f>IF(Q823=0, "Exceeds Limit", IF(P823&lt;=O823, "Weight Limited", "Volume Limited"))</f>
        <v/>
      </c>
      <c r="V823" s="97">
        <f>B823&amp;"|"&amp;D823&amp;"|"&amp;F823</f>
        <v/>
      </c>
    </row>
    <row r="824" ht="19" customHeight="1">
      <c r="A824" s="98" t="n">
        <v>814</v>
      </c>
      <c r="B824" s="102" t="inlineStr">
        <is>
          <t>Stainless Steel 316</t>
        </is>
      </c>
      <c r="C824" s="19" t="inlineStr">
        <is>
          <t>ASME B36.19M / B36.10M</t>
        </is>
      </c>
      <c r="D824" s="18" t="inlineStr">
        <is>
          <t>1/2''</t>
        </is>
      </c>
      <c r="E824" s="98" t="n">
        <v>15</v>
      </c>
      <c r="F824" s="18" t="inlineStr">
        <is>
          <t>10S</t>
        </is>
      </c>
      <c r="G824" s="20" t="n">
        <v>0.84</v>
      </c>
      <c r="H824" s="82" t="n">
        <v>21.34</v>
      </c>
      <c r="I824" s="20" t="n">
        <v>0.083</v>
      </c>
      <c r="J824" s="82" t="n">
        <v>2.11</v>
      </c>
      <c r="K824" s="20">
        <f>ROUND((H824-J824)*J824*IF(B824="Carbon Steel",$K$7,IF(B824="Stainless Steel 304",$K$8,$L$8)), 3)</f>
        <v/>
      </c>
      <c r="L824" s="82">
        <f>ROUND(K824*$G$5, 2)</f>
        <v/>
      </c>
      <c r="M824" s="98">
        <f>INT($G$6/H824)</f>
        <v/>
      </c>
      <c r="N824" s="98">
        <f>IF(M824=0, 0, IF(OR($K$6="Square Grid", M824=1), INT($G$7/H824), IF($G$7&lt;H824, 0, 1+INT(($G$7-H824)/(0.8660254*H824)))))</f>
        <v/>
      </c>
      <c r="O824" s="84">
        <f>IF(OR(M824=0,N824=0), 0, IF(OR($K$6="Square Grid", M824=1), M824*N824*$K$5, (INT((N824+1)/2)*M824 + INT(N824/2)*IF(($G$6-M824*H824)&gt;=0.5*H824, M824, M824-1))*$K$5))</f>
        <v/>
      </c>
      <c r="P824" s="84">
        <f>IF(L824&lt;=0, 0, INT($G$8/L824))</f>
        <v/>
      </c>
      <c r="Q824" s="95">
        <f>MIN(O824, P824)</f>
        <v/>
      </c>
      <c r="R824" s="96">
        <f>ROUND((Q824*L824)/1000, 2)</f>
        <v/>
      </c>
      <c r="S824" s="85">
        <f>IF($C$8&gt;0, R824/$C$8, 0)</f>
        <v/>
      </c>
      <c r="T824" s="85">
        <f>IF(O824&gt;0, Q824/O824, 0)</f>
        <v/>
      </c>
      <c r="U824" s="18">
        <f>IF(Q824=0, "Exceeds Limit", IF(P824&lt;=O824, "Weight Limited", "Volume Limited"))</f>
        <v/>
      </c>
      <c r="V824" s="100">
        <f>B824&amp;"|"&amp;D824&amp;"|"&amp;F824</f>
        <v/>
      </c>
    </row>
    <row r="825" ht="19" customHeight="1">
      <c r="A825" s="93" t="n">
        <v>815</v>
      </c>
      <c r="B825" s="101" t="inlineStr">
        <is>
          <t>Stainless Steel 316</t>
        </is>
      </c>
      <c r="C825" s="13" t="inlineStr">
        <is>
          <t>ASME B36.19M / B36.10M</t>
        </is>
      </c>
      <c r="D825" s="12" t="inlineStr">
        <is>
          <t>1/2''</t>
        </is>
      </c>
      <c r="E825" s="93" t="n">
        <v>15</v>
      </c>
      <c r="F825" s="12" t="inlineStr">
        <is>
          <t>10</t>
        </is>
      </c>
      <c r="G825" s="14" t="n">
        <v>0.84</v>
      </c>
      <c r="H825" s="78" t="n">
        <v>21.34</v>
      </c>
      <c r="I825" s="14" t="n">
        <v>0.083</v>
      </c>
      <c r="J825" s="78" t="n">
        <v>2.11</v>
      </c>
      <c r="K825" s="14">
        <f>ROUND((H825-J825)*J825*IF(B825="Carbon Steel",$K$7,IF(B825="Stainless Steel 304",$K$8,$L$8)), 3)</f>
        <v/>
      </c>
      <c r="L825" s="78">
        <f>ROUND(K825*$G$5, 2)</f>
        <v/>
      </c>
      <c r="M825" s="93">
        <f>INT($G$6/H825)</f>
        <v/>
      </c>
      <c r="N825" s="93">
        <f>IF(M825=0, 0, IF(OR($K$6="Square Grid", M825=1), INT($G$7/H825), IF($G$7&lt;H825, 0, 1+INT(($G$7-H825)/(0.8660254*H825)))))</f>
        <v/>
      </c>
      <c r="O825" s="59">
        <f>IF(OR(M825=0,N825=0), 0, IF(OR($K$6="Square Grid", M825=1), M825*N825*$K$5, (INT((N825+1)/2)*M825 + INT(N825/2)*IF(($G$6-M825*H825)&gt;=0.5*H825, M825, M825-1))*$K$5))</f>
        <v/>
      </c>
      <c r="P825" s="59">
        <f>IF(L825&lt;=0, 0, INT($G$8/L825))</f>
        <v/>
      </c>
      <c r="Q825" s="95">
        <f>MIN(O825, P825)</f>
        <v/>
      </c>
      <c r="R825" s="96">
        <f>ROUND((Q825*L825)/1000, 2)</f>
        <v/>
      </c>
      <c r="S825" s="79">
        <f>IF($C$8&gt;0, R825/$C$8, 0)</f>
        <v/>
      </c>
      <c r="T825" s="79">
        <f>IF(O825&gt;0, Q825/O825, 0)</f>
        <v/>
      </c>
      <c r="U825" s="12">
        <f>IF(Q825=0, "Exceeds Limit", IF(P825&lt;=O825, "Weight Limited", "Volume Limited"))</f>
        <v/>
      </c>
      <c r="V825" s="97">
        <f>B825&amp;"|"&amp;D825&amp;"|"&amp;F825</f>
        <v/>
      </c>
    </row>
    <row r="826" ht="19" customHeight="1">
      <c r="A826" s="98" t="n">
        <v>816</v>
      </c>
      <c r="B826" s="102" t="inlineStr">
        <is>
          <t>Stainless Steel 316</t>
        </is>
      </c>
      <c r="C826" s="19" t="inlineStr">
        <is>
          <t>ASME B36.19M / B36.10M</t>
        </is>
      </c>
      <c r="D826" s="18" t="inlineStr">
        <is>
          <t>1/2''</t>
        </is>
      </c>
      <c r="E826" s="98" t="n">
        <v>15</v>
      </c>
      <c r="F826" s="18" t="inlineStr">
        <is>
          <t>30</t>
        </is>
      </c>
      <c r="G826" s="20" t="n">
        <v>0.84</v>
      </c>
      <c r="H826" s="82" t="n">
        <v>21.34</v>
      </c>
      <c r="I826" s="20" t="n">
        <v>0.095</v>
      </c>
      <c r="J826" s="82" t="n">
        <v>2.41</v>
      </c>
      <c r="K826" s="20">
        <f>ROUND((H826-J826)*J826*IF(B826="Carbon Steel",$K$7,IF(B826="Stainless Steel 304",$K$8,$L$8)), 3)</f>
        <v/>
      </c>
      <c r="L826" s="82">
        <f>ROUND(K826*$G$5, 2)</f>
        <v/>
      </c>
      <c r="M826" s="98">
        <f>INT($G$6/H826)</f>
        <v/>
      </c>
      <c r="N826" s="98">
        <f>IF(M826=0, 0, IF(OR($K$6="Square Grid", M826=1), INT($G$7/H826), IF($G$7&lt;H826, 0, 1+INT(($G$7-H826)/(0.8660254*H826)))))</f>
        <v/>
      </c>
      <c r="O826" s="84">
        <f>IF(OR(M826=0,N826=0), 0, IF(OR($K$6="Square Grid", M826=1), M826*N826*$K$5, (INT((N826+1)/2)*M826 + INT(N826/2)*IF(($G$6-M826*H826)&gt;=0.5*H826, M826, M826-1))*$K$5))</f>
        <v/>
      </c>
      <c r="P826" s="84">
        <f>IF(L826&lt;=0, 0, INT($G$8/L826))</f>
        <v/>
      </c>
      <c r="Q826" s="95">
        <f>MIN(O826, P826)</f>
        <v/>
      </c>
      <c r="R826" s="96">
        <f>ROUND((Q826*L826)/1000, 2)</f>
        <v/>
      </c>
      <c r="S826" s="85">
        <f>IF($C$8&gt;0, R826/$C$8, 0)</f>
        <v/>
      </c>
      <c r="T826" s="85">
        <f>IF(O826&gt;0, Q826/O826, 0)</f>
        <v/>
      </c>
      <c r="U826" s="18">
        <f>IF(Q826=0, "Exceeds Limit", IF(P826&lt;=O826, "Weight Limited", "Volume Limited"))</f>
        <v/>
      </c>
      <c r="V826" s="100">
        <f>B826&amp;"|"&amp;D826&amp;"|"&amp;F826</f>
        <v/>
      </c>
    </row>
    <row r="827" ht="19" customHeight="1">
      <c r="A827" s="93" t="n">
        <v>817</v>
      </c>
      <c r="B827" s="101" t="inlineStr">
        <is>
          <t>Stainless Steel 316</t>
        </is>
      </c>
      <c r="C827" s="13" t="inlineStr">
        <is>
          <t>ASME B36.19M / B36.10M</t>
        </is>
      </c>
      <c r="D827" s="12" t="inlineStr">
        <is>
          <t>1/2''</t>
        </is>
      </c>
      <c r="E827" s="93" t="n">
        <v>15</v>
      </c>
      <c r="F827" s="12" t="inlineStr">
        <is>
          <t>40S</t>
        </is>
      </c>
      <c r="G827" s="14" t="n">
        <v>0.84</v>
      </c>
      <c r="H827" s="78" t="n">
        <v>21.34</v>
      </c>
      <c r="I827" s="14" t="n">
        <v>0.109</v>
      </c>
      <c r="J827" s="78" t="n">
        <v>2.77</v>
      </c>
      <c r="K827" s="14">
        <f>ROUND((H827-J827)*J827*IF(B827="Carbon Steel",$K$7,IF(B827="Stainless Steel 304",$K$8,$L$8)), 3)</f>
        <v/>
      </c>
      <c r="L827" s="78">
        <f>ROUND(K827*$G$5, 2)</f>
        <v/>
      </c>
      <c r="M827" s="93">
        <f>INT($G$6/H827)</f>
        <v/>
      </c>
      <c r="N827" s="93">
        <f>IF(M827=0, 0, IF(OR($K$6="Square Grid", M827=1), INT($G$7/H827), IF($G$7&lt;H827, 0, 1+INT(($G$7-H827)/(0.8660254*H827)))))</f>
        <v/>
      </c>
      <c r="O827" s="59">
        <f>IF(OR(M827=0,N827=0), 0, IF(OR($K$6="Square Grid", M827=1), M827*N827*$K$5, (INT((N827+1)/2)*M827 + INT(N827/2)*IF(($G$6-M827*H827)&gt;=0.5*H827, M827, M827-1))*$K$5))</f>
        <v/>
      </c>
      <c r="P827" s="59">
        <f>IF(L827&lt;=0, 0, INT($G$8/L827))</f>
        <v/>
      </c>
      <c r="Q827" s="95">
        <f>MIN(O827, P827)</f>
        <v/>
      </c>
      <c r="R827" s="96">
        <f>ROUND((Q827*L827)/1000, 2)</f>
        <v/>
      </c>
      <c r="S827" s="79">
        <f>IF($C$8&gt;0, R827/$C$8, 0)</f>
        <v/>
      </c>
      <c r="T827" s="79">
        <f>IF(O827&gt;0, Q827/O827, 0)</f>
        <v/>
      </c>
      <c r="U827" s="12">
        <f>IF(Q827=0, "Exceeds Limit", IF(P827&lt;=O827, "Weight Limited", "Volume Limited"))</f>
        <v/>
      </c>
      <c r="V827" s="97">
        <f>B827&amp;"|"&amp;D827&amp;"|"&amp;F827</f>
        <v/>
      </c>
    </row>
    <row r="828" ht="19" customHeight="1">
      <c r="A828" s="98" t="n">
        <v>818</v>
      </c>
      <c r="B828" s="102" t="inlineStr">
        <is>
          <t>Stainless Steel 316</t>
        </is>
      </c>
      <c r="C828" s="19" t="inlineStr">
        <is>
          <t>ASME B36.19M / B36.10M</t>
        </is>
      </c>
      <c r="D828" s="18" t="inlineStr">
        <is>
          <t>1/2''</t>
        </is>
      </c>
      <c r="E828" s="98" t="n">
        <v>15</v>
      </c>
      <c r="F828" s="18" t="inlineStr">
        <is>
          <t>STD</t>
        </is>
      </c>
      <c r="G828" s="20" t="n">
        <v>0.84</v>
      </c>
      <c r="H828" s="82" t="n">
        <v>21.34</v>
      </c>
      <c r="I828" s="20" t="n">
        <v>0.109</v>
      </c>
      <c r="J828" s="82" t="n">
        <v>2.77</v>
      </c>
      <c r="K828" s="20">
        <f>ROUND((H828-J828)*J828*IF(B828="Carbon Steel",$K$7,IF(B828="Stainless Steel 304",$K$8,$L$8)), 3)</f>
        <v/>
      </c>
      <c r="L828" s="82">
        <f>ROUND(K828*$G$5, 2)</f>
        <v/>
      </c>
      <c r="M828" s="98">
        <f>INT($G$6/H828)</f>
        <v/>
      </c>
      <c r="N828" s="98">
        <f>IF(M828=0, 0, IF(OR($K$6="Square Grid", M828=1), INT($G$7/H828), IF($G$7&lt;H828, 0, 1+INT(($G$7-H828)/(0.8660254*H828)))))</f>
        <v/>
      </c>
      <c r="O828" s="84">
        <f>IF(OR(M828=0,N828=0), 0, IF(OR($K$6="Square Grid", M828=1), M828*N828*$K$5, (INT((N828+1)/2)*M828 + INT(N828/2)*IF(($G$6-M828*H828)&gt;=0.5*H828, M828, M828-1))*$K$5))</f>
        <v/>
      </c>
      <c r="P828" s="84">
        <f>IF(L828&lt;=0, 0, INT($G$8/L828))</f>
        <v/>
      </c>
      <c r="Q828" s="95">
        <f>MIN(O828, P828)</f>
        <v/>
      </c>
      <c r="R828" s="96">
        <f>ROUND((Q828*L828)/1000, 2)</f>
        <v/>
      </c>
      <c r="S828" s="85">
        <f>IF($C$8&gt;0, R828/$C$8, 0)</f>
        <v/>
      </c>
      <c r="T828" s="85">
        <f>IF(O828&gt;0, Q828/O828, 0)</f>
        <v/>
      </c>
      <c r="U828" s="18">
        <f>IF(Q828=0, "Exceeds Limit", IF(P828&lt;=O828, "Weight Limited", "Volume Limited"))</f>
        <v/>
      </c>
      <c r="V828" s="100">
        <f>B828&amp;"|"&amp;D828&amp;"|"&amp;F828</f>
        <v/>
      </c>
    </row>
    <row r="829" ht="19" customHeight="1">
      <c r="A829" s="93" t="n">
        <v>819</v>
      </c>
      <c r="B829" s="101" t="inlineStr">
        <is>
          <t>Stainless Steel 316</t>
        </is>
      </c>
      <c r="C829" s="13" t="inlineStr">
        <is>
          <t>ASME B36.19M / B36.10M</t>
        </is>
      </c>
      <c r="D829" s="12" t="inlineStr">
        <is>
          <t>1/2''</t>
        </is>
      </c>
      <c r="E829" s="93" t="n">
        <v>15</v>
      </c>
      <c r="F829" s="12" t="inlineStr">
        <is>
          <t>40</t>
        </is>
      </c>
      <c r="G829" s="14" t="n">
        <v>0.84</v>
      </c>
      <c r="H829" s="78" t="n">
        <v>21.34</v>
      </c>
      <c r="I829" s="14" t="n">
        <v>0.109</v>
      </c>
      <c r="J829" s="78" t="n">
        <v>2.77</v>
      </c>
      <c r="K829" s="14">
        <f>ROUND((H829-J829)*J829*IF(B829="Carbon Steel",$K$7,IF(B829="Stainless Steel 304",$K$8,$L$8)), 3)</f>
        <v/>
      </c>
      <c r="L829" s="78">
        <f>ROUND(K829*$G$5, 2)</f>
        <v/>
      </c>
      <c r="M829" s="93">
        <f>INT($G$6/H829)</f>
        <v/>
      </c>
      <c r="N829" s="93">
        <f>IF(M829=0, 0, IF(OR($K$6="Square Grid", M829=1), INT($G$7/H829), IF($G$7&lt;H829, 0, 1+INT(($G$7-H829)/(0.8660254*H829)))))</f>
        <v/>
      </c>
      <c r="O829" s="59">
        <f>IF(OR(M829=0,N829=0), 0, IF(OR($K$6="Square Grid", M829=1), M829*N829*$K$5, (INT((N829+1)/2)*M829 + INT(N829/2)*IF(($G$6-M829*H829)&gt;=0.5*H829, M829, M829-1))*$K$5))</f>
        <v/>
      </c>
      <c r="P829" s="59">
        <f>IF(L829&lt;=0, 0, INT($G$8/L829))</f>
        <v/>
      </c>
      <c r="Q829" s="95">
        <f>MIN(O829, P829)</f>
        <v/>
      </c>
      <c r="R829" s="96">
        <f>ROUND((Q829*L829)/1000, 2)</f>
        <v/>
      </c>
      <c r="S829" s="79">
        <f>IF($C$8&gt;0, R829/$C$8, 0)</f>
        <v/>
      </c>
      <c r="T829" s="79">
        <f>IF(O829&gt;0, Q829/O829, 0)</f>
        <v/>
      </c>
      <c r="U829" s="12">
        <f>IF(Q829=0, "Exceeds Limit", IF(P829&lt;=O829, "Weight Limited", "Volume Limited"))</f>
        <v/>
      </c>
      <c r="V829" s="97">
        <f>B829&amp;"|"&amp;D829&amp;"|"&amp;F829</f>
        <v/>
      </c>
    </row>
    <row r="830" ht="19" customHeight="1">
      <c r="A830" s="98" t="n">
        <v>820</v>
      </c>
      <c r="B830" s="102" t="inlineStr">
        <is>
          <t>Stainless Steel 316</t>
        </is>
      </c>
      <c r="C830" s="19" t="inlineStr">
        <is>
          <t>ASME B36.19M / B36.10M</t>
        </is>
      </c>
      <c r="D830" s="18" t="inlineStr">
        <is>
          <t>1/2''</t>
        </is>
      </c>
      <c r="E830" s="98" t="n">
        <v>15</v>
      </c>
      <c r="F830" s="18" t="inlineStr">
        <is>
          <t>80S</t>
        </is>
      </c>
      <c r="G830" s="20" t="n">
        <v>0.84</v>
      </c>
      <c r="H830" s="82" t="n">
        <v>21.34</v>
      </c>
      <c r="I830" s="20" t="n">
        <v>0.147</v>
      </c>
      <c r="J830" s="82" t="n">
        <v>3.73</v>
      </c>
      <c r="K830" s="20">
        <f>ROUND((H830-J830)*J830*IF(B830="Carbon Steel",$K$7,IF(B830="Stainless Steel 304",$K$8,$L$8)), 3)</f>
        <v/>
      </c>
      <c r="L830" s="82">
        <f>ROUND(K830*$G$5, 2)</f>
        <v/>
      </c>
      <c r="M830" s="98">
        <f>INT($G$6/H830)</f>
        <v/>
      </c>
      <c r="N830" s="98">
        <f>IF(M830=0, 0, IF(OR($K$6="Square Grid", M830=1), INT($G$7/H830), IF($G$7&lt;H830, 0, 1+INT(($G$7-H830)/(0.8660254*H830)))))</f>
        <v/>
      </c>
      <c r="O830" s="84">
        <f>IF(OR(M830=0,N830=0), 0, IF(OR($K$6="Square Grid", M830=1), M830*N830*$K$5, (INT((N830+1)/2)*M830 + INT(N830/2)*IF(($G$6-M830*H830)&gt;=0.5*H830, M830, M830-1))*$K$5))</f>
        <v/>
      </c>
      <c r="P830" s="84">
        <f>IF(L830&lt;=0, 0, INT($G$8/L830))</f>
        <v/>
      </c>
      <c r="Q830" s="95">
        <f>MIN(O830, P830)</f>
        <v/>
      </c>
      <c r="R830" s="96">
        <f>ROUND((Q830*L830)/1000, 2)</f>
        <v/>
      </c>
      <c r="S830" s="85">
        <f>IF($C$8&gt;0, R830/$C$8, 0)</f>
        <v/>
      </c>
      <c r="T830" s="85">
        <f>IF(O830&gt;0, Q830/O830, 0)</f>
        <v/>
      </c>
      <c r="U830" s="18">
        <f>IF(Q830=0, "Exceeds Limit", IF(P830&lt;=O830, "Weight Limited", "Volume Limited"))</f>
        <v/>
      </c>
      <c r="V830" s="100">
        <f>B830&amp;"|"&amp;D830&amp;"|"&amp;F830</f>
        <v/>
      </c>
    </row>
    <row r="831" ht="19" customHeight="1">
      <c r="A831" s="93" t="n">
        <v>821</v>
      </c>
      <c r="B831" s="101" t="inlineStr">
        <is>
          <t>Stainless Steel 316</t>
        </is>
      </c>
      <c r="C831" s="13" t="inlineStr">
        <is>
          <t>ASME B36.19M / B36.10M</t>
        </is>
      </c>
      <c r="D831" s="12" t="inlineStr">
        <is>
          <t>1/2''</t>
        </is>
      </c>
      <c r="E831" s="93" t="n">
        <v>15</v>
      </c>
      <c r="F831" s="12" t="inlineStr">
        <is>
          <t>XS</t>
        </is>
      </c>
      <c r="G831" s="14" t="n">
        <v>0.84</v>
      </c>
      <c r="H831" s="78" t="n">
        <v>21.34</v>
      </c>
      <c r="I831" s="14" t="n">
        <v>0.147</v>
      </c>
      <c r="J831" s="78" t="n">
        <v>3.73</v>
      </c>
      <c r="K831" s="14">
        <f>ROUND((H831-J831)*J831*IF(B831="Carbon Steel",$K$7,IF(B831="Stainless Steel 304",$K$8,$L$8)), 3)</f>
        <v/>
      </c>
      <c r="L831" s="78">
        <f>ROUND(K831*$G$5, 2)</f>
        <v/>
      </c>
      <c r="M831" s="93">
        <f>INT($G$6/H831)</f>
        <v/>
      </c>
      <c r="N831" s="93">
        <f>IF(M831=0, 0, IF(OR($K$6="Square Grid", M831=1), INT($G$7/H831), IF($G$7&lt;H831, 0, 1+INT(($G$7-H831)/(0.8660254*H831)))))</f>
        <v/>
      </c>
      <c r="O831" s="59">
        <f>IF(OR(M831=0,N831=0), 0, IF(OR($K$6="Square Grid", M831=1), M831*N831*$K$5, (INT((N831+1)/2)*M831 + INT(N831/2)*IF(($G$6-M831*H831)&gt;=0.5*H831, M831, M831-1))*$K$5))</f>
        <v/>
      </c>
      <c r="P831" s="59">
        <f>IF(L831&lt;=0, 0, INT($G$8/L831))</f>
        <v/>
      </c>
      <c r="Q831" s="95">
        <f>MIN(O831, P831)</f>
        <v/>
      </c>
      <c r="R831" s="96">
        <f>ROUND((Q831*L831)/1000, 2)</f>
        <v/>
      </c>
      <c r="S831" s="79">
        <f>IF($C$8&gt;0, R831/$C$8, 0)</f>
        <v/>
      </c>
      <c r="T831" s="79">
        <f>IF(O831&gt;0, Q831/O831, 0)</f>
        <v/>
      </c>
      <c r="U831" s="12">
        <f>IF(Q831=0, "Exceeds Limit", IF(P831&lt;=O831, "Weight Limited", "Volume Limited"))</f>
        <v/>
      </c>
      <c r="V831" s="97">
        <f>B831&amp;"|"&amp;D831&amp;"|"&amp;F831</f>
        <v/>
      </c>
    </row>
    <row r="832" ht="19" customHeight="1">
      <c r="A832" s="98" t="n">
        <v>822</v>
      </c>
      <c r="B832" s="102" t="inlineStr">
        <is>
          <t>Stainless Steel 316</t>
        </is>
      </c>
      <c r="C832" s="19" t="inlineStr">
        <is>
          <t>ASME B36.19M / B36.10M</t>
        </is>
      </c>
      <c r="D832" s="18" t="inlineStr">
        <is>
          <t>1/2''</t>
        </is>
      </c>
      <c r="E832" s="98" t="n">
        <v>15</v>
      </c>
      <c r="F832" s="18" t="inlineStr">
        <is>
          <t>80</t>
        </is>
      </c>
      <c r="G832" s="20" t="n">
        <v>0.84</v>
      </c>
      <c r="H832" s="82" t="n">
        <v>21.34</v>
      </c>
      <c r="I832" s="20" t="n">
        <v>0.147</v>
      </c>
      <c r="J832" s="82" t="n">
        <v>3.73</v>
      </c>
      <c r="K832" s="20">
        <f>ROUND((H832-J832)*J832*IF(B832="Carbon Steel",$K$7,IF(B832="Stainless Steel 304",$K$8,$L$8)), 3)</f>
        <v/>
      </c>
      <c r="L832" s="82">
        <f>ROUND(K832*$G$5, 2)</f>
        <v/>
      </c>
      <c r="M832" s="98">
        <f>INT($G$6/H832)</f>
        <v/>
      </c>
      <c r="N832" s="98">
        <f>IF(M832=0, 0, IF(OR($K$6="Square Grid", M832=1), INT($G$7/H832), IF($G$7&lt;H832, 0, 1+INT(($G$7-H832)/(0.8660254*H832)))))</f>
        <v/>
      </c>
      <c r="O832" s="84">
        <f>IF(OR(M832=0,N832=0), 0, IF(OR($K$6="Square Grid", M832=1), M832*N832*$K$5, (INT((N832+1)/2)*M832 + INT(N832/2)*IF(($G$6-M832*H832)&gt;=0.5*H832, M832, M832-1))*$K$5))</f>
        <v/>
      </c>
      <c r="P832" s="84">
        <f>IF(L832&lt;=0, 0, INT($G$8/L832))</f>
        <v/>
      </c>
      <c r="Q832" s="95">
        <f>MIN(O832, P832)</f>
        <v/>
      </c>
      <c r="R832" s="96">
        <f>ROUND((Q832*L832)/1000, 2)</f>
        <v/>
      </c>
      <c r="S832" s="85">
        <f>IF($C$8&gt;0, R832/$C$8, 0)</f>
        <v/>
      </c>
      <c r="T832" s="85">
        <f>IF(O832&gt;0, Q832/O832, 0)</f>
        <v/>
      </c>
      <c r="U832" s="18">
        <f>IF(Q832=0, "Exceeds Limit", IF(P832&lt;=O832, "Weight Limited", "Volume Limited"))</f>
        <v/>
      </c>
      <c r="V832" s="100">
        <f>B832&amp;"|"&amp;D832&amp;"|"&amp;F832</f>
        <v/>
      </c>
    </row>
    <row r="833" ht="19" customHeight="1">
      <c r="A833" s="93" t="n">
        <v>823</v>
      </c>
      <c r="B833" s="101" t="inlineStr">
        <is>
          <t>Stainless Steel 316</t>
        </is>
      </c>
      <c r="C833" s="13" t="inlineStr">
        <is>
          <t>ASME B36.19M / B36.10M</t>
        </is>
      </c>
      <c r="D833" s="12" t="inlineStr">
        <is>
          <t>1/2''</t>
        </is>
      </c>
      <c r="E833" s="93" t="n">
        <v>15</v>
      </c>
      <c r="F833" s="12" t="inlineStr">
        <is>
          <t>160</t>
        </is>
      </c>
      <c r="G833" s="14" t="n">
        <v>0.84</v>
      </c>
      <c r="H833" s="78" t="n">
        <v>21.34</v>
      </c>
      <c r="I833" s="14" t="n">
        <v>0.188</v>
      </c>
      <c r="J833" s="78" t="n">
        <v>4.78</v>
      </c>
      <c r="K833" s="14">
        <f>ROUND((H833-J833)*J833*IF(B833="Carbon Steel",$K$7,IF(B833="Stainless Steel 304",$K$8,$L$8)), 3)</f>
        <v/>
      </c>
      <c r="L833" s="78">
        <f>ROUND(K833*$G$5, 2)</f>
        <v/>
      </c>
      <c r="M833" s="93">
        <f>INT($G$6/H833)</f>
        <v/>
      </c>
      <c r="N833" s="93">
        <f>IF(M833=0, 0, IF(OR($K$6="Square Grid", M833=1), INT($G$7/H833), IF($G$7&lt;H833, 0, 1+INT(($G$7-H833)/(0.8660254*H833)))))</f>
        <v/>
      </c>
      <c r="O833" s="59">
        <f>IF(OR(M833=0,N833=0), 0, IF(OR($K$6="Square Grid", M833=1), M833*N833*$K$5, (INT((N833+1)/2)*M833 + INT(N833/2)*IF(($G$6-M833*H833)&gt;=0.5*H833, M833, M833-1))*$K$5))</f>
        <v/>
      </c>
      <c r="P833" s="59">
        <f>IF(L833&lt;=0, 0, INT($G$8/L833))</f>
        <v/>
      </c>
      <c r="Q833" s="95">
        <f>MIN(O833, P833)</f>
        <v/>
      </c>
      <c r="R833" s="96">
        <f>ROUND((Q833*L833)/1000, 2)</f>
        <v/>
      </c>
      <c r="S833" s="79">
        <f>IF($C$8&gt;0, R833/$C$8, 0)</f>
        <v/>
      </c>
      <c r="T833" s="79">
        <f>IF(O833&gt;0, Q833/O833, 0)</f>
        <v/>
      </c>
      <c r="U833" s="12">
        <f>IF(Q833=0, "Exceeds Limit", IF(P833&lt;=O833, "Weight Limited", "Volume Limited"))</f>
        <v/>
      </c>
      <c r="V833" s="97">
        <f>B833&amp;"|"&amp;D833&amp;"|"&amp;F833</f>
        <v/>
      </c>
    </row>
    <row r="834" ht="19" customHeight="1">
      <c r="A834" s="98" t="n">
        <v>824</v>
      </c>
      <c r="B834" s="102" t="inlineStr">
        <is>
          <t>Stainless Steel 316</t>
        </is>
      </c>
      <c r="C834" s="19" t="inlineStr">
        <is>
          <t>ASME B36.19M / B36.10M</t>
        </is>
      </c>
      <c r="D834" s="18" t="inlineStr">
        <is>
          <t>1/2''</t>
        </is>
      </c>
      <c r="E834" s="98" t="n">
        <v>15</v>
      </c>
      <c r="F834" s="18" t="inlineStr">
        <is>
          <t>XXS</t>
        </is>
      </c>
      <c r="G834" s="20" t="n">
        <v>0.84</v>
      </c>
      <c r="H834" s="82" t="n">
        <v>21.34</v>
      </c>
      <c r="I834" s="20" t="n">
        <v>0.294</v>
      </c>
      <c r="J834" s="82" t="n">
        <v>7.47</v>
      </c>
      <c r="K834" s="20">
        <f>ROUND((H834-J834)*J834*IF(B834="Carbon Steel",$K$7,IF(B834="Stainless Steel 304",$K$8,$L$8)), 3)</f>
        <v/>
      </c>
      <c r="L834" s="82">
        <f>ROUND(K834*$G$5, 2)</f>
        <v/>
      </c>
      <c r="M834" s="98">
        <f>INT($G$6/H834)</f>
        <v/>
      </c>
      <c r="N834" s="98">
        <f>IF(M834=0, 0, IF(OR($K$6="Square Grid", M834=1), INT($G$7/H834), IF($G$7&lt;H834, 0, 1+INT(($G$7-H834)/(0.8660254*H834)))))</f>
        <v/>
      </c>
      <c r="O834" s="84">
        <f>IF(OR(M834=0,N834=0), 0, IF(OR($K$6="Square Grid", M834=1), M834*N834*$K$5, (INT((N834+1)/2)*M834 + INT(N834/2)*IF(($G$6-M834*H834)&gt;=0.5*H834, M834, M834-1))*$K$5))</f>
        <v/>
      </c>
      <c r="P834" s="84">
        <f>IF(L834&lt;=0, 0, INT($G$8/L834))</f>
        <v/>
      </c>
      <c r="Q834" s="95">
        <f>MIN(O834, P834)</f>
        <v/>
      </c>
      <c r="R834" s="96">
        <f>ROUND((Q834*L834)/1000, 2)</f>
        <v/>
      </c>
      <c r="S834" s="85">
        <f>IF($C$8&gt;0, R834/$C$8, 0)</f>
        <v/>
      </c>
      <c r="T834" s="85">
        <f>IF(O834&gt;0, Q834/O834, 0)</f>
        <v/>
      </c>
      <c r="U834" s="18">
        <f>IF(Q834=0, "Exceeds Limit", IF(P834&lt;=O834, "Weight Limited", "Volume Limited"))</f>
        <v/>
      </c>
      <c r="V834" s="100">
        <f>B834&amp;"|"&amp;D834&amp;"|"&amp;F834</f>
        <v/>
      </c>
    </row>
    <row r="835" ht="19" customHeight="1">
      <c r="A835" s="93" t="n">
        <v>825</v>
      </c>
      <c r="B835" s="101" t="inlineStr">
        <is>
          <t>Stainless Steel 316</t>
        </is>
      </c>
      <c r="C835" s="13" t="inlineStr">
        <is>
          <t>ASME B36.19M / B36.10M</t>
        </is>
      </c>
      <c r="D835" s="12" t="inlineStr">
        <is>
          <t>3/4''</t>
        </is>
      </c>
      <c r="E835" s="93" t="n">
        <v>20</v>
      </c>
      <c r="F835" s="12" t="inlineStr">
        <is>
          <t>5S</t>
        </is>
      </c>
      <c r="G835" s="14" t="n">
        <v>1.05</v>
      </c>
      <c r="H835" s="78" t="n">
        <v>26.67</v>
      </c>
      <c r="I835" s="14" t="n">
        <v>0.065</v>
      </c>
      <c r="J835" s="78" t="n">
        <v>1.65</v>
      </c>
      <c r="K835" s="14">
        <f>ROUND((H835-J835)*J835*IF(B835="Carbon Steel",$K$7,IF(B835="Stainless Steel 304",$K$8,$L$8)), 3)</f>
        <v/>
      </c>
      <c r="L835" s="78">
        <f>ROUND(K835*$G$5, 2)</f>
        <v/>
      </c>
      <c r="M835" s="93">
        <f>INT($G$6/H835)</f>
        <v/>
      </c>
      <c r="N835" s="93">
        <f>IF(M835=0, 0, IF(OR($K$6="Square Grid", M835=1), INT($G$7/H835), IF($G$7&lt;H835, 0, 1+INT(($G$7-H835)/(0.8660254*H835)))))</f>
        <v/>
      </c>
      <c r="O835" s="59">
        <f>IF(OR(M835=0,N835=0), 0, IF(OR($K$6="Square Grid", M835=1), M835*N835*$K$5, (INT((N835+1)/2)*M835 + INT(N835/2)*IF(($G$6-M835*H835)&gt;=0.5*H835, M835, M835-1))*$K$5))</f>
        <v/>
      </c>
      <c r="P835" s="59">
        <f>IF(L835&lt;=0, 0, INT($G$8/L835))</f>
        <v/>
      </c>
      <c r="Q835" s="95">
        <f>MIN(O835, P835)</f>
        <v/>
      </c>
      <c r="R835" s="96">
        <f>ROUND((Q835*L835)/1000, 2)</f>
        <v/>
      </c>
      <c r="S835" s="79">
        <f>IF($C$8&gt;0, R835/$C$8, 0)</f>
        <v/>
      </c>
      <c r="T835" s="79">
        <f>IF(O835&gt;0, Q835/O835, 0)</f>
        <v/>
      </c>
      <c r="U835" s="12">
        <f>IF(Q835=0, "Exceeds Limit", IF(P835&lt;=O835, "Weight Limited", "Volume Limited"))</f>
        <v/>
      </c>
      <c r="V835" s="97">
        <f>B835&amp;"|"&amp;D835&amp;"|"&amp;F835</f>
        <v/>
      </c>
    </row>
    <row r="836" ht="19" customHeight="1">
      <c r="A836" s="98" t="n">
        <v>826</v>
      </c>
      <c r="B836" s="102" t="inlineStr">
        <is>
          <t>Stainless Steel 316</t>
        </is>
      </c>
      <c r="C836" s="19" t="inlineStr">
        <is>
          <t>ASME B36.19M / B36.10M</t>
        </is>
      </c>
      <c r="D836" s="18" t="inlineStr">
        <is>
          <t>3/4''</t>
        </is>
      </c>
      <c r="E836" s="98" t="n">
        <v>20</v>
      </c>
      <c r="F836" s="18" t="inlineStr">
        <is>
          <t>5</t>
        </is>
      </c>
      <c r="G836" s="20" t="n">
        <v>1.05</v>
      </c>
      <c r="H836" s="82" t="n">
        <v>26.67</v>
      </c>
      <c r="I836" s="20" t="n">
        <v>0.065</v>
      </c>
      <c r="J836" s="82" t="n">
        <v>1.65</v>
      </c>
      <c r="K836" s="20">
        <f>ROUND((H836-J836)*J836*IF(B836="Carbon Steel",$K$7,IF(B836="Stainless Steel 304",$K$8,$L$8)), 3)</f>
        <v/>
      </c>
      <c r="L836" s="82">
        <f>ROUND(K836*$G$5, 2)</f>
        <v/>
      </c>
      <c r="M836" s="98">
        <f>INT($G$6/H836)</f>
        <v/>
      </c>
      <c r="N836" s="98">
        <f>IF(M836=0, 0, IF(OR($K$6="Square Grid", M836=1), INT($G$7/H836), IF($G$7&lt;H836, 0, 1+INT(($G$7-H836)/(0.8660254*H836)))))</f>
        <v/>
      </c>
      <c r="O836" s="84">
        <f>IF(OR(M836=0,N836=0), 0, IF(OR($K$6="Square Grid", M836=1), M836*N836*$K$5, (INT((N836+1)/2)*M836 + INT(N836/2)*IF(($G$6-M836*H836)&gt;=0.5*H836, M836, M836-1))*$K$5))</f>
        <v/>
      </c>
      <c r="P836" s="84">
        <f>IF(L836&lt;=0, 0, INT($G$8/L836))</f>
        <v/>
      </c>
      <c r="Q836" s="95">
        <f>MIN(O836, P836)</f>
        <v/>
      </c>
      <c r="R836" s="96">
        <f>ROUND((Q836*L836)/1000, 2)</f>
        <v/>
      </c>
      <c r="S836" s="85">
        <f>IF($C$8&gt;0, R836/$C$8, 0)</f>
        <v/>
      </c>
      <c r="T836" s="85">
        <f>IF(O836&gt;0, Q836/O836, 0)</f>
        <v/>
      </c>
      <c r="U836" s="18">
        <f>IF(Q836=0, "Exceeds Limit", IF(P836&lt;=O836, "Weight Limited", "Volume Limited"))</f>
        <v/>
      </c>
      <c r="V836" s="100">
        <f>B836&amp;"|"&amp;D836&amp;"|"&amp;F836</f>
        <v/>
      </c>
    </row>
    <row r="837" ht="19" customHeight="1">
      <c r="A837" s="93" t="n">
        <v>827</v>
      </c>
      <c r="B837" s="101" t="inlineStr">
        <is>
          <t>Stainless Steel 316</t>
        </is>
      </c>
      <c r="C837" s="13" t="inlineStr">
        <is>
          <t>ASME B36.19M / B36.10M</t>
        </is>
      </c>
      <c r="D837" s="12" t="inlineStr">
        <is>
          <t>3/4''</t>
        </is>
      </c>
      <c r="E837" s="93" t="n">
        <v>20</v>
      </c>
      <c r="F837" s="12" t="inlineStr">
        <is>
          <t>10S</t>
        </is>
      </c>
      <c r="G837" s="14" t="n">
        <v>1.05</v>
      </c>
      <c r="H837" s="78" t="n">
        <v>26.67</v>
      </c>
      <c r="I837" s="14" t="n">
        <v>0.083</v>
      </c>
      <c r="J837" s="78" t="n">
        <v>2.11</v>
      </c>
      <c r="K837" s="14">
        <f>ROUND((H837-J837)*J837*IF(B837="Carbon Steel",$K$7,IF(B837="Stainless Steel 304",$K$8,$L$8)), 3)</f>
        <v/>
      </c>
      <c r="L837" s="78">
        <f>ROUND(K837*$G$5, 2)</f>
        <v/>
      </c>
      <c r="M837" s="93">
        <f>INT($G$6/H837)</f>
        <v/>
      </c>
      <c r="N837" s="93">
        <f>IF(M837=0, 0, IF(OR($K$6="Square Grid", M837=1), INT($G$7/H837), IF($G$7&lt;H837, 0, 1+INT(($G$7-H837)/(0.8660254*H837)))))</f>
        <v/>
      </c>
      <c r="O837" s="59">
        <f>IF(OR(M837=0,N837=0), 0, IF(OR($K$6="Square Grid", M837=1), M837*N837*$K$5, (INT((N837+1)/2)*M837 + INT(N837/2)*IF(($G$6-M837*H837)&gt;=0.5*H837, M837, M837-1))*$K$5))</f>
        <v/>
      </c>
      <c r="P837" s="59">
        <f>IF(L837&lt;=0, 0, INT($G$8/L837))</f>
        <v/>
      </c>
      <c r="Q837" s="95">
        <f>MIN(O837, P837)</f>
        <v/>
      </c>
      <c r="R837" s="96">
        <f>ROUND((Q837*L837)/1000, 2)</f>
        <v/>
      </c>
      <c r="S837" s="79">
        <f>IF($C$8&gt;0, R837/$C$8, 0)</f>
        <v/>
      </c>
      <c r="T837" s="79">
        <f>IF(O837&gt;0, Q837/O837, 0)</f>
        <v/>
      </c>
      <c r="U837" s="12">
        <f>IF(Q837=0, "Exceeds Limit", IF(P837&lt;=O837, "Weight Limited", "Volume Limited"))</f>
        <v/>
      </c>
      <c r="V837" s="97">
        <f>B837&amp;"|"&amp;D837&amp;"|"&amp;F837</f>
        <v/>
      </c>
    </row>
    <row r="838" ht="19" customHeight="1">
      <c r="A838" s="98" t="n">
        <v>828</v>
      </c>
      <c r="B838" s="102" t="inlineStr">
        <is>
          <t>Stainless Steel 316</t>
        </is>
      </c>
      <c r="C838" s="19" t="inlineStr">
        <is>
          <t>ASME B36.19M / B36.10M</t>
        </is>
      </c>
      <c r="D838" s="18" t="inlineStr">
        <is>
          <t>3/4''</t>
        </is>
      </c>
      <c r="E838" s="98" t="n">
        <v>20</v>
      </c>
      <c r="F838" s="18" t="inlineStr">
        <is>
          <t>10</t>
        </is>
      </c>
      <c r="G838" s="20" t="n">
        <v>1.05</v>
      </c>
      <c r="H838" s="82" t="n">
        <v>26.67</v>
      </c>
      <c r="I838" s="20" t="n">
        <v>0.083</v>
      </c>
      <c r="J838" s="82" t="n">
        <v>2.11</v>
      </c>
      <c r="K838" s="20">
        <f>ROUND((H838-J838)*J838*IF(B838="Carbon Steel",$K$7,IF(B838="Stainless Steel 304",$K$8,$L$8)), 3)</f>
        <v/>
      </c>
      <c r="L838" s="82">
        <f>ROUND(K838*$G$5, 2)</f>
        <v/>
      </c>
      <c r="M838" s="98">
        <f>INT($G$6/H838)</f>
        <v/>
      </c>
      <c r="N838" s="98">
        <f>IF(M838=0, 0, IF(OR($K$6="Square Grid", M838=1), INT($G$7/H838), IF($G$7&lt;H838, 0, 1+INT(($G$7-H838)/(0.8660254*H838)))))</f>
        <v/>
      </c>
      <c r="O838" s="84">
        <f>IF(OR(M838=0,N838=0), 0, IF(OR($K$6="Square Grid", M838=1), M838*N838*$K$5, (INT((N838+1)/2)*M838 + INT(N838/2)*IF(($G$6-M838*H838)&gt;=0.5*H838, M838, M838-1))*$K$5))</f>
        <v/>
      </c>
      <c r="P838" s="84">
        <f>IF(L838&lt;=0, 0, INT($G$8/L838))</f>
        <v/>
      </c>
      <c r="Q838" s="95">
        <f>MIN(O838, P838)</f>
        <v/>
      </c>
      <c r="R838" s="96">
        <f>ROUND((Q838*L838)/1000, 2)</f>
        <v/>
      </c>
      <c r="S838" s="85">
        <f>IF($C$8&gt;0, R838/$C$8, 0)</f>
        <v/>
      </c>
      <c r="T838" s="85">
        <f>IF(O838&gt;0, Q838/O838, 0)</f>
        <v/>
      </c>
      <c r="U838" s="18">
        <f>IF(Q838=0, "Exceeds Limit", IF(P838&lt;=O838, "Weight Limited", "Volume Limited"))</f>
        <v/>
      </c>
      <c r="V838" s="100">
        <f>B838&amp;"|"&amp;D838&amp;"|"&amp;F838</f>
        <v/>
      </c>
    </row>
    <row r="839" ht="19" customHeight="1">
      <c r="A839" s="93" t="n">
        <v>829</v>
      </c>
      <c r="B839" s="101" t="inlineStr">
        <is>
          <t>Stainless Steel 316</t>
        </is>
      </c>
      <c r="C839" s="13" t="inlineStr">
        <is>
          <t>ASME B36.19M / B36.10M</t>
        </is>
      </c>
      <c r="D839" s="12" t="inlineStr">
        <is>
          <t>3/4''</t>
        </is>
      </c>
      <c r="E839" s="93" t="n">
        <v>20</v>
      </c>
      <c r="F839" s="12" t="inlineStr">
        <is>
          <t>30</t>
        </is>
      </c>
      <c r="G839" s="14" t="n">
        <v>1.05</v>
      </c>
      <c r="H839" s="78" t="n">
        <v>26.67</v>
      </c>
      <c r="I839" s="14" t="n">
        <v>0.095</v>
      </c>
      <c r="J839" s="78" t="n">
        <v>2.41</v>
      </c>
      <c r="K839" s="14">
        <f>ROUND((H839-J839)*J839*IF(B839="Carbon Steel",$K$7,IF(B839="Stainless Steel 304",$K$8,$L$8)), 3)</f>
        <v/>
      </c>
      <c r="L839" s="78">
        <f>ROUND(K839*$G$5, 2)</f>
        <v/>
      </c>
      <c r="M839" s="93">
        <f>INT($G$6/H839)</f>
        <v/>
      </c>
      <c r="N839" s="93">
        <f>IF(M839=0, 0, IF(OR($K$6="Square Grid", M839=1), INT($G$7/H839), IF($G$7&lt;H839, 0, 1+INT(($G$7-H839)/(0.8660254*H839)))))</f>
        <v/>
      </c>
      <c r="O839" s="59">
        <f>IF(OR(M839=0,N839=0), 0, IF(OR($K$6="Square Grid", M839=1), M839*N839*$K$5, (INT((N839+1)/2)*M839 + INT(N839/2)*IF(($G$6-M839*H839)&gt;=0.5*H839, M839, M839-1))*$K$5))</f>
        <v/>
      </c>
      <c r="P839" s="59">
        <f>IF(L839&lt;=0, 0, INT($G$8/L839))</f>
        <v/>
      </c>
      <c r="Q839" s="95">
        <f>MIN(O839, P839)</f>
        <v/>
      </c>
      <c r="R839" s="96">
        <f>ROUND((Q839*L839)/1000, 2)</f>
        <v/>
      </c>
      <c r="S839" s="79">
        <f>IF($C$8&gt;0, R839/$C$8, 0)</f>
        <v/>
      </c>
      <c r="T839" s="79">
        <f>IF(O839&gt;0, Q839/O839, 0)</f>
        <v/>
      </c>
      <c r="U839" s="12">
        <f>IF(Q839=0, "Exceeds Limit", IF(P839&lt;=O839, "Weight Limited", "Volume Limited"))</f>
        <v/>
      </c>
      <c r="V839" s="97">
        <f>B839&amp;"|"&amp;D839&amp;"|"&amp;F839</f>
        <v/>
      </c>
    </row>
    <row r="840" ht="19" customHeight="1">
      <c r="A840" s="98" t="n">
        <v>830</v>
      </c>
      <c r="B840" s="102" t="inlineStr">
        <is>
          <t>Stainless Steel 316</t>
        </is>
      </c>
      <c r="C840" s="19" t="inlineStr">
        <is>
          <t>ASME B36.19M / B36.10M</t>
        </is>
      </c>
      <c r="D840" s="18" t="inlineStr">
        <is>
          <t>3/4''</t>
        </is>
      </c>
      <c r="E840" s="98" t="n">
        <v>20</v>
      </c>
      <c r="F840" s="18" t="inlineStr">
        <is>
          <t>40S</t>
        </is>
      </c>
      <c r="G840" s="20" t="n">
        <v>1.05</v>
      </c>
      <c r="H840" s="82" t="n">
        <v>26.67</v>
      </c>
      <c r="I840" s="20" t="n">
        <v>0.113</v>
      </c>
      <c r="J840" s="82" t="n">
        <v>2.87</v>
      </c>
      <c r="K840" s="20">
        <f>ROUND((H840-J840)*J840*IF(B840="Carbon Steel",$K$7,IF(B840="Stainless Steel 304",$K$8,$L$8)), 3)</f>
        <v/>
      </c>
      <c r="L840" s="82">
        <f>ROUND(K840*$G$5, 2)</f>
        <v/>
      </c>
      <c r="M840" s="98">
        <f>INT($G$6/H840)</f>
        <v/>
      </c>
      <c r="N840" s="98">
        <f>IF(M840=0, 0, IF(OR($K$6="Square Grid", M840=1), INT($G$7/H840), IF($G$7&lt;H840, 0, 1+INT(($G$7-H840)/(0.8660254*H840)))))</f>
        <v/>
      </c>
      <c r="O840" s="84">
        <f>IF(OR(M840=0,N840=0), 0, IF(OR($K$6="Square Grid", M840=1), M840*N840*$K$5, (INT((N840+1)/2)*M840 + INT(N840/2)*IF(($G$6-M840*H840)&gt;=0.5*H840, M840, M840-1))*$K$5))</f>
        <v/>
      </c>
      <c r="P840" s="84">
        <f>IF(L840&lt;=0, 0, INT($G$8/L840))</f>
        <v/>
      </c>
      <c r="Q840" s="95">
        <f>MIN(O840, P840)</f>
        <v/>
      </c>
      <c r="R840" s="96">
        <f>ROUND((Q840*L840)/1000, 2)</f>
        <v/>
      </c>
      <c r="S840" s="85">
        <f>IF($C$8&gt;0, R840/$C$8, 0)</f>
        <v/>
      </c>
      <c r="T840" s="85">
        <f>IF(O840&gt;0, Q840/O840, 0)</f>
        <v/>
      </c>
      <c r="U840" s="18">
        <f>IF(Q840=0, "Exceeds Limit", IF(P840&lt;=O840, "Weight Limited", "Volume Limited"))</f>
        <v/>
      </c>
      <c r="V840" s="100">
        <f>B840&amp;"|"&amp;D840&amp;"|"&amp;F840</f>
        <v/>
      </c>
    </row>
    <row r="841" ht="19" customHeight="1">
      <c r="A841" s="93" t="n">
        <v>831</v>
      </c>
      <c r="B841" s="101" t="inlineStr">
        <is>
          <t>Stainless Steel 316</t>
        </is>
      </c>
      <c r="C841" s="13" t="inlineStr">
        <is>
          <t>ASME B36.19M / B36.10M</t>
        </is>
      </c>
      <c r="D841" s="12" t="inlineStr">
        <is>
          <t>3/4''</t>
        </is>
      </c>
      <c r="E841" s="93" t="n">
        <v>20</v>
      </c>
      <c r="F841" s="12" t="inlineStr">
        <is>
          <t>STD</t>
        </is>
      </c>
      <c r="G841" s="14" t="n">
        <v>1.05</v>
      </c>
      <c r="H841" s="78" t="n">
        <v>26.67</v>
      </c>
      <c r="I841" s="14" t="n">
        <v>0.113</v>
      </c>
      <c r="J841" s="78" t="n">
        <v>2.87</v>
      </c>
      <c r="K841" s="14">
        <f>ROUND((H841-J841)*J841*IF(B841="Carbon Steel",$K$7,IF(B841="Stainless Steel 304",$K$8,$L$8)), 3)</f>
        <v/>
      </c>
      <c r="L841" s="78">
        <f>ROUND(K841*$G$5, 2)</f>
        <v/>
      </c>
      <c r="M841" s="93">
        <f>INT($G$6/H841)</f>
        <v/>
      </c>
      <c r="N841" s="93">
        <f>IF(M841=0, 0, IF(OR($K$6="Square Grid", M841=1), INT($G$7/H841), IF($G$7&lt;H841, 0, 1+INT(($G$7-H841)/(0.8660254*H841)))))</f>
        <v/>
      </c>
      <c r="O841" s="59">
        <f>IF(OR(M841=0,N841=0), 0, IF(OR($K$6="Square Grid", M841=1), M841*N841*$K$5, (INT((N841+1)/2)*M841 + INT(N841/2)*IF(($G$6-M841*H841)&gt;=0.5*H841, M841, M841-1))*$K$5))</f>
        <v/>
      </c>
      <c r="P841" s="59">
        <f>IF(L841&lt;=0, 0, INT($G$8/L841))</f>
        <v/>
      </c>
      <c r="Q841" s="95">
        <f>MIN(O841, P841)</f>
        <v/>
      </c>
      <c r="R841" s="96">
        <f>ROUND((Q841*L841)/1000, 2)</f>
        <v/>
      </c>
      <c r="S841" s="79">
        <f>IF($C$8&gt;0, R841/$C$8, 0)</f>
        <v/>
      </c>
      <c r="T841" s="79">
        <f>IF(O841&gt;0, Q841/O841, 0)</f>
        <v/>
      </c>
      <c r="U841" s="12">
        <f>IF(Q841=0, "Exceeds Limit", IF(P841&lt;=O841, "Weight Limited", "Volume Limited"))</f>
        <v/>
      </c>
      <c r="V841" s="97">
        <f>B841&amp;"|"&amp;D841&amp;"|"&amp;F841</f>
        <v/>
      </c>
    </row>
    <row r="842" ht="19" customHeight="1">
      <c r="A842" s="98" t="n">
        <v>832</v>
      </c>
      <c r="B842" s="102" t="inlineStr">
        <is>
          <t>Stainless Steel 316</t>
        </is>
      </c>
      <c r="C842" s="19" t="inlineStr">
        <is>
          <t>ASME B36.19M / B36.10M</t>
        </is>
      </c>
      <c r="D842" s="18" t="inlineStr">
        <is>
          <t>3/4''</t>
        </is>
      </c>
      <c r="E842" s="98" t="n">
        <v>20</v>
      </c>
      <c r="F842" s="18" t="inlineStr">
        <is>
          <t>40</t>
        </is>
      </c>
      <c r="G842" s="20" t="n">
        <v>1.05</v>
      </c>
      <c r="H842" s="82" t="n">
        <v>26.67</v>
      </c>
      <c r="I842" s="20" t="n">
        <v>0.113</v>
      </c>
      <c r="J842" s="82" t="n">
        <v>2.87</v>
      </c>
      <c r="K842" s="20">
        <f>ROUND((H842-J842)*J842*IF(B842="Carbon Steel",$K$7,IF(B842="Stainless Steel 304",$K$8,$L$8)), 3)</f>
        <v/>
      </c>
      <c r="L842" s="82">
        <f>ROUND(K842*$G$5, 2)</f>
        <v/>
      </c>
      <c r="M842" s="98">
        <f>INT($G$6/H842)</f>
        <v/>
      </c>
      <c r="N842" s="98">
        <f>IF(M842=0, 0, IF(OR($K$6="Square Grid", M842=1), INT($G$7/H842), IF($G$7&lt;H842, 0, 1+INT(($G$7-H842)/(0.8660254*H842)))))</f>
        <v/>
      </c>
      <c r="O842" s="84">
        <f>IF(OR(M842=0,N842=0), 0, IF(OR($K$6="Square Grid", M842=1), M842*N842*$K$5, (INT((N842+1)/2)*M842 + INT(N842/2)*IF(($G$6-M842*H842)&gt;=0.5*H842, M842, M842-1))*$K$5))</f>
        <v/>
      </c>
      <c r="P842" s="84">
        <f>IF(L842&lt;=0, 0, INT($G$8/L842))</f>
        <v/>
      </c>
      <c r="Q842" s="95">
        <f>MIN(O842, P842)</f>
        <v/>
      </c>
      <c r="R842" s="96">
        <f>ROUND((Q842*L842)/1000, 2)</f>
        <v/>
      </c>
      <c r="S842" s="85">
        <f>IF($C$8&gt;0, R842/$C$8, 0)</f>
        <v/>
      </c>
      <c r="T842" s="85">
        <f>IF(O842&gt;0, Q842/O842, 0)</f>
        <v/>
      </c>
      <c r="U842" s="18">
        <f>IF(Q842=0, "Exceeds Limit", IF(P842&lt;=O842, "Weight Limited", "Volume Limited"))</f>
        <v/>
      </c>
      <c r="V842" s="100">
        <f>B842&amp;"|"&amp;D842&amp;"|"&amp;F842</f>
        <v/>
      </c>
    </row>
    <row r="843" ht="19" customHeight="1">
      <c r="A843" s="93" t="n">
        <v>833</v>
      </c>
      <c r="B843" s="101" t="inlineStr">
        <is>
          <t>Stainless Steel 316</t>
        </is>
      </c>
      <c r="C843" s="13" t="inlineStr">
        <is>
          <t>ASME B36.19M / B36.10M</t>
        </is>
      </c>
      <c r="D843" s="12" t="inlineStr">
        <is>
          <t>3/4''</t>
        </is>
      </c>
      <c r="E843" s="93" t="n">
        <v>20</v>
      </c>
      <c r="F843" s="12" t="inlineStr">
        <is>
          <t>80S</t>
        </is>
      </c>
      <c r="G843" s="14" t="n">
        <v>1.05</v>
      </c>
      <c r="H843" s="78" t="n">
        <v>26.67</v>
      </c>
      <c r="I843" s="14" t="n">
        <v>0.154</v>
      </c>
      <c r="J843" s="78" t="n">
        <v>3.91</v>
      </c>
      <c r="K843" s="14">
        <f>ROUND((H843-J843)*J843*IF(B843="Carbon Steel",$K$7,IF(B843="Stainless Steel 304",$K$8,$L$8)), 3)</f>
        <v/>
      </c>
      <c r="L843" s="78">
        <f>ROUND(K843*$G$5, 2)</f>
        <v/>
      </c>
      <c r="M843" s="93">
        <f>INT($G$6/H843)</f>
        <v/>
      </c>
      <c r="N843" s="93">
        <f>IF(M843=0, 0, IF(OR($K$6="Square Grid", M843=1), INT($G$7/H843), IF($G$7&lt;H843, 0, 1+INT(($G$7-H843)/(0.8660254*H843)))))</f>
        <v/>
      </c>
      <c r="O843" s="59">
        <f>IF(OR(M843=0,N843=0), 0, IF(OR($K$6="Square Grid", M843=1), M843*N843*$K$5, (INT((N843+1)/2)*M843 + INT(N843/2)*IF(($G$6-M843*H843)&gt;=0.5*H843, M843, M843-1))*$K$5))</f>
        <v/>
      </c>
      <c r="P843" s="59">
        <f>IF(L843&lt;=0, 0, INT($G$8/L843))</f>
        <v/>
      </c>
      <c r="Q843" s="95">
        <f>MIN(O843, P843)</f>
        <v/>
      </c>
      <c r="R843" s="96">
        <f>ROUND((Q843*L843)/1000, 2)</f>
        <v/>
      </c>
      <c r="S843" s="79">
        <f>IF($C$8&gt;0, R843/$C$8, 0)</f>
        <v/>
      </c>
      <c r="T843" s="79">
        <f>IF(O843&gt;0, Q843/O843, 0)</f>
        <v/>
      </c>
      <c r="U843" s="12">
        <f>IF(Q843=0, "Exceeds Limit", IF(P843&lt;=O843, "Weight Limited", "Volume Limited"))</f>
        <v/>
      </c>
      <c r="V843" s="97">
        <f>B843&amp;"|"&amp;D843&amp;"|"&amp;F843</f>
        <v/>
      </c>
    </row>
    <row r="844" ht="19" customHeight="1">
      <c r="A844" s="98" t="n">
        <v>834</v>
      </c>
      <c r="B844" s="102" t="inlineStr">
        <is>
          <t>Stainless Steel 316</t>
        </is>
      </c>
      <c r="C844" s="19" t="inlineStr">
        <is>
          <t>ASME B36.19M / B36.10M</t>
        </is>
      </c>
      <c r="D844" s="18" t="inlineStr">
        <is>
          <t>3/4''</t>
        </is>
      </c>
      <c r="E844" s="98" t="n">
        <v>20</v>
      </c>
      <c r="F844" s="18" t="inlineStr">
        <is>
          <t>XS</t>
        </is>
      </c>
      <c r="G844" s="20" t="n">
        <v>1.05</v>
      </c>
      <c r="H844" s="82" t="n">
        <v>26.67</v>
      </c>
      <c r="I844" s="20" t="n">
        <v>0.154</v>
      </c>
      <c r="J844" s="82" t="n">
        <v>3.91</v>
      </c>
      <c r="K844" s="20">
        <f>ROUND((H844-J844)*J844*IF(B844="Carbon Steel",$K$7,IF(B844="Stainless Steel 304",$K$8,$L$8)), 3)</f>
        <v/>
      </c>
      <c r="L844" s="82">
        <f>ROUND(K844*$G$5, 2)</f>
        <v/>
      </c>
      <c r="M844" s="98">
        <f>INT($G$6/H844)</f>
        <v/>
      </c>
      <c r="N844" s="98">
        <f>IF(M844=0, 0, IF(OR($K$6="Square Grid", M844=1), INT($G$7/H844), IF($G$7&lt;H844, 0, 1+INT(($G$7-H844)/(0.8660254*H844)))))</f>
        <v/>
      </c>
      <c r="O844" s="84">
        <f>IF(OR(M844=0,N844=0), 0, IF(OR($K$6="Square Grid", M844=1), M844*N844*$K$5, (INT((N844+1)/2)*M844 + INT(N844/2)*IF(($G$6-M844*H844)&gt;=0.5*H844, M844, M844-1))*$K$5))</f>
        <v/>
      </c>
      <c r="P844" s="84">
        <f>IF(L844&lt;=0, 0, INT($G$8/L844))</f>
        <v/>
      </c>
      <c r="Q844" s="95">
        <f>MIN(O844, P844)</f>
        <v/>
      </c>
      <c r="R844" s="96">
        <f>ROUND((Q844*L844)/1000, 2)</f>
        <v/>
      </c>
      <c r="S844" s="85">
        <f>IF($C$8&gt;0, R844/$C$8, 0)</f>
        <v/>
      </c>
      <c r="T844" s="85">
        <f>IF(O844&gt;0, Q844/O844, 0)</f>
        <v/>
      </c>
      <c r="U844" s="18">
        <f>IF(Q844=0, "Exceeds Limit", IF(P844&lt;=O844, "Weight Limited", "Volume Limited"))</f>
        <v/>
      </c>
      <c r="V844" s="100">
        <f>B844&amp;"|"&amp;D844&amp;"|"&amp;F844</f>
        <v/>
      </c>
    </row>
    <row r="845" ht="19" customHeight="1">
      <c r="A845" s="93" t="n">
        <v>835</v>
      </c>
      <c r="B845" s="101" t="inlineStr">
        <is>
          <t>Stainless Steel 316</t>
        </is>
      </c>
      <c r="C845" s="13" t="inlineStr">
        <is>
          <t>ASME B36.19M / B36.10M</t>
        </is>
      </c>
      <c r="D845" s="12" t="inlineStr">
        <is>
          <t>3/4''</t>
        </is>
      </c>
      <c r="E845" s="93" t="n">
        <v>20</v>
      </c>
      <c r="F845" s="12" t="inlineStr">
        <is>
          <t>80</t>
        </is>
      </c>
      <c r="G845" s="14" t="n">
        <v>1.05</v>
      </c>
      <c r="H845" s="78" t="n">
        <v>26.67</v>
      </c>
      <c r="I845" s="14" t="n">
        <v>0.154</v>
      </c>
      <c r="J845" s="78" t="n">
        <v>3.91</v>
      </c>
      <c r="K845" s="14">
        <f>ROUND((H845-J845)*J845*IF(B845="Carbon Steel",$K$7,IF(B845="Stainless Steel 304",$K$8,$L$8)), 3)</f>
        <v/>
      </c>
      <c r="L845" s="78">
        <f>ROUND(K845*$G$5, 2)</f>
        <v/>
      </c>
      <c r="M845" s="93">
        <f>INT($G$6/H845)</f>
        <v/>
      </c>
      <c r="N845" s="93">
        <f>IF(M845=0, 0, IF(OR($K$6="Square Grid", M845=1), INT($G$7/H845), IF($G$7&lt;H845, 0, 1+INT(($G$7-H845)/(0.8660254*H845)))))</f>
        <v/>
      </c>
      <c r="O845" s="59">
        <f>IF(OR(M845=0,N845=0), 0, IF(OR($K$6="Square Grid", M845=1), M845*N845*$K$5, (INT((N845+1)/2)*M845 + INT(N845/2)*IF(($G$6-M845*H845)&gt;=0.5*H845, M845, M845-1))*$K$5))</f>
        <v/>
      </c>
      <c r="P845" s="59">
        <f>IF(L845&lt;=0, 0, INT($G$8/L845))</f>
        <v/>
      </c>
      <c r="Q845" s="95">
        <f>MIN(O845, P845)</f>
        <v/>
      </c>
      <c r="R845" s="96">
        <f>ROUND((Q845*L845)/1000, 2)</f>
        <v/>
      </c>
      <c r="S845" s="79">
        <f>IF($C$8&gt;0, R845/$C$8, 0)</f>
        <v/>
      </c>
      <c r="T845" s="79">
        <f>IF(O845&gt;0, Q845/O845, 0)</f>
        <v/>
      </c>
      <c r="U845" s="12">
        <f>IF(Q845=0, "Exceeds Limit", IF(P845&lt;=O845, "Weight Limited", "Volume Limited"))</f>
        <v/>
      </c>
      <c r="V845" s="97">
        <f>B845&amp;"|"&amp;D845&amp;"|"&amp;F845</f>
        <v/>
      </c>
    </row>
    <row r="846" ht="19" customHeight="1">
      <c r="A846" s="98" t="n">
        <v>836</v>
      </c>
      <c r="B846" s="102" t="inlineStr">
        <is>
          <t>Stainless Steel 316</t>
        </is>
      </c>
      <c r="C846" s="19" t="inlineStr">
        <is>
          <t>ASME B36.19M / B36.10M</t>
        </is>
      </c>
      <c r="D846" s="18" t="inlineStr">
        <is>
          <t>3/4''</t>
        </is>
      </c>
      <c r="E846" s="98" t="n">
        <v>20</v>
      </c>
      <c r="F846" s="18" t="inlineStr">
        <is>
          <t>160</t>
        </is>
      </c>
      <c r="G846" s="20" t="n">
        <v>1.05</v>
      </c>
      <c r="H846" s="82" t="n">
        <v>26.67</v>
      </c>
      <c r="I846" s="20" t="n">
        <v>0.219</v>
      </c>
      <c r="J846" s="82" t="n">
        <v>5.56</v>
      </c>
      <c r="K846" s="20">
        <f>ROUND((H846-J846)*J846*IF(B846="Carbon Steel",$K$7,IF(B846="Stainless Steel 304",$K$8,$L$8)), 3)</f>
        <v/>
      </c>
      <c r="L846" s="82">
        <f>ROUND(K846*$G$5, 2)</f>
        <v/>
      </c>
      <c r="M846" s="98">
        <f>INT($G$6/H846)</f>
        <v/>
      </c>
      <c r="N846" s="98">
        <f>IF(M846=0, 0, IF(OR($K$6="Square Grid", M846=1), INT($G$7/H846), IF($G$7&lt;H846, 0, 1+INT(($G$7-H846)/(0.8660254*H846)))))</f>
        <v/>
      </c>
      <c r="O846" s="84">
        <f>IF(OR(M846=0,N846=0), 0, IF(OR($K$6="Square Grid", M846=1), M846*N846*$K$5, (INT((N846+1)/2)*M846 + INT(N846/2)*IF(($G$6-M846*H846)&gt;=0.5*H846, M846, M846-1))*$K$5))</f>
        <v/>
      </c>
      <c r="P846" s="84">
        <f>IF(L846&lt;=0, 0, INT($G$8/L846))</f>
        <v/>
      </c>
      <c r="Q846" s="95">
        <f>MIN(O846, P846)</f>
        <v/>
      </c>
      <c r="R846" s="96">
        <f>ROUND((Q846*L846)/1000, 2)</f>
        <v/>
      </c>
      <c r="S846" s="85">
        <f>IF($C$8&gt;0, R846/$C$8, 0)</f>
        <v/>
      </c>
      <c r="T846" s="85">
        <f>IF(O846&gt;0, Q846/O846, 0)</f>
        <v/>
      </c>
      <c r="U846" s="18">
        <f>IF(Q846=0, "Exceeds Limit", IF(P846&lt;=O846, "Weight Limited", "Volume Limited"))</f>
        <v/>
      </c>
      <c r="V846" s="100">
        <f>B846&amp;"|"&amp;D846&amp;"|"&amp;F846</f>
        <v/>
      </c>
    </row>
    <row r="847" ht="19" customHeight="1">
      <c r="A847" s="93" t="n">
        <v>837</v>
      </c>
      <c r="B847" s="101" t="inlineStr">
        <is>
          <t>Stainless Steel 316</t>
        </is>
      </c>
      <c r="C847" s="13" t="inlineStr">
        <is>
          <t>ASME B36.19M / B36.10M</t>
        </is>
      </c>
      <c r="D847" s="12" t="inlineStr">
        <is>
          <t>3/4''</t>
        </is>
      </c>
      <c r="E847" s="93" t="n">
        <v>20</v>
      </c>
      <c r="F847" s="12" t="inlineStr">
        <is>
          <t>XXS</t>
        </is>
      </c>
      <c r="G847" s="14" t="n">
        <v>1.05</v>
      </c>
      <c r="H847" s="78" t="n">
        <v>26.67</v>
      </c>
      <c r="I847" s="14" t="n">
        <v>0.308</v>
      </c>
      <c r="J847" s="78" t="n">
        <v>7.82</v>
      </c>
      <c r="K847" s="14">
        <f>ROUND((H847-J847)*J847*IF(B847="Carbon Steel",$K$7,IF(B847="Stainless Steel 304",$K$8,$L$8)), 3)</f>
        <v/>
      </c>
      <c r="L847" s="78">
        <f>ROUND(K847*$G$5, 2)</f>
        <v/>
      </c>
      <c r="M847" s="93">
        <f>INT($G$6/H847)</f>
        <v/>
      </c>
      <c r="N847" s="93">
        <f>IF(M847=0, 0, IF(OR($K$6="Square Grid", M847=1), INT($G$7/H847), IF($G$7&lt;H847, 0, 1+INT(($G$7-H847)/(0.8660254*H847)))))</f>
        <v/>
      </c>
      <c r="O847" s="59">
        <f>IF(OR(M847=0,N847=0), 0, IF(OR($K$6="Square Grid", M847=1), M847*N847*$K$5, (INT((N847+1)/2)*M847 + INT(N847/2)*IF(($G$6-M847*H847)&gt;=0.5*H847, M847, M847-1))*$K$5))</f>
        <v/>
      </c>
      <c r="P847" s="59">
        <f>IF(L847&lt;=0, 0, INT($G$8/L847))</f>
        <v/>
      </c>
      <c r="Q847" s="95">
        <f>MIN(O847, P847)</f>
        <v/>
      </c>
      <c r="R847" s="96">
        <f>ROUND((Q847*L847)/1000, 2)</f>
        <v/>
      </c>
      <c r="S847" s="79">
        <f>IF($C$8&gt;0, R847/$C$8, 0)</f>
        <v/>
      </c>
      <c r="T847" s="79">
        <f>IF(O847&gt;0, Q847/O847, 0)</f>
        <v/>
      </c>
      <c r="U847" s="12">
        <f>IF(Q847=0, "Exceeds Limit", IF(P847&lt;=O847, "Weight Limited", "Volume Limited"))</f>
        <v/>
      </c>
      <c r="V847" s="97">
        <f>B847&amp;"|"&amp;D847&amp;"|"&amp;F847</f>
        <v/>
      </c>
    </row>
    <row r="848" ht="19" customHeight="1">
      <c r="A848" s="98" t="n">
        <v>838</v>
      </c>
      <c r="B848" s="102" t="inlineStr">
        <is>
          <t>Stainless Steel 316</t>
        </is>
      </c>
      <c r="C848" s="19" t="inlineStr">
        <is>
          <t>ASME B36.19M / B36.10M</t>
        </is>
      </c>
      <c r="D848" s="18" t="inlineStr">
        <is>
          <t>1''</t>
        </is>
      </c>
      <c r="E848" s="98" t="n">
        <v>25</v>
      </c>
      <c r="F848" s="18" t="inlineStr">
        <is>
          <t>5S</t>
        </is>
      </c>
      <c r="G848" s="20" t="n">
        <v>1.315</v>
      </c>
      <c r="H848" s="82" t="n">
        <v>33.4</v>
      </c>
      <c r="I848" s="20" t="n">
        <v>0.065</v>
      </c>
      <c r="J848" s="82" t="n">
        <v>1.65</v>
      </c>
      <c r="K848" s="20">
        <f>ROUND((H848-J848)*J848*IF(B848="Carbon Steel",$K$7,IF(B848="Stainless Steel 304",$K$8,$L$8)), 3)</f>
        <v/>
      </c>
      <c r="L848" s="82">
        <f>ROUND(K848*$G$5, 2)</f>
        <v/>
      </c>
      <c r="M848" s="98">
        <f>INT($G$6/H848)</f>
        <v/>
      </c>
      <c r="N848" s="98">
        <f>IF(M848=0, 0, IF(OR($K$6="Square Grid", M848=1), INT($G$7/H848), IF($G$7&lt;H848, 0, 1+INT(($G$7-H848)/(0.8660254*H848)))))</f>
        <v/>
      </c>
      <c r="O848" s="84">
        <f>IF(OR(M848=0,N848=0), 0, IF(OR($K$6="Square Grid", M848=1), M848*N848*$K$5, (INT((N848+1)/2)*M848 + INT(N848/2)*IF(($G$6-M848*H848)&gt;=0.5*H848, M848, M848-1))*$K$5))</f>
        <v/>
      </c>
      <c r="P848" s="84">
        <f>IF(L848&lt;=0, 0, INT($G$8/L848))</f>
        <v/>
      </c>
      <c r="Q848" s="95">
        <f>MIN(O848, P848)</f>
        <v/>
      </c>
      <c r="R848" s="96">
        <f>ROUND((Q848*L848)/1000, 2)</f>
        <v/>
      </c>
      <c r="S848" s="85">
        <f>IF($C$8&gt;0, R848/$C$8, 0)</f>
        <v/>
      </c>
      <c r="T848" s="85">
        <f>IF(O848&gt;0, Q848/O848, 0)</f>
        <v/>
      </c>
      <c r="U848" s="18">
        <f>IF(Q848=0, "Exceeds Limit", IF(P848&lt;=O848, "Weight Limited", "Volume Limited"))</f>
        <v/>
      </c>
      <c r="V848" s="100">
        <f>B848&amp;"|"&amp;D848&amp;"|"&amp;F848</f>
        <v/>
      </c>
    </row>
    <row r="849" ht="19" customHeight="1">
      <c r="A849" s="93" t="n">
        <v>839</v>
      </c>
      <c r="B849" s="101" t="inlineStr">
        <is>
          <t>Stainless Steel 316</t>
        </is>
      </c>
      <c r="C849" s="13" t="inlineStr">
        <is>
          <t>ASME B36.19M / B36.10M</t>
        </is>
      </c>
      <c r="D849" s="12" t="inlineStr">
        <is>
          <t>1''</t>
        </is>
      </c>
      <c r="E849" s="93" t="n">
        <v>25</v>
      </c>
      <c r="F849" s="12" t="inlineStr">
        <is>
          <t>5</t>
        </is>
      </c>
      <c r="G849" s="14" t="n">
        <v>1.315</v>
      </c>
      <c r="H849" s="78" t="n">
        <v>33.4</v>
      </c>
      <c r="I849" s="14" t="n">
        <v>0.065</v>
      </c>
      <c r="J849" s="78" t="n">
        <v>1.65</v>
      </c>
      <c r="K849" s="14">
        <f>ROUND((H849-J849)*J849*IF(B849="Carbon Steel",$K$7,IF(B849="Stainless Steel 304",$K$8,$L$8)), 3)</f>
        <v/>
      </c>
      <c r="L849" s="78">
        <f>ROUND(K849*$G$5, 2)</f>
        <v/>
      </c>
      <c r="M849" s="93">
        <f>INT($G$6/H849)</f>
        <v/>
      </c>
      <c r="N849" s="93">
        <f>IF(M849=0, 0, IF(OR($K$6="Square Grid", M849=1), INT($G$7/H849), IF($G$7&lt;H849, 0, 1+INT(($G$7-H849)/(0.8660254*H849)))))</f>
        <v/>
      </c>
      <c r="O849" s="59">
        <f>IF(OR(M849=0,N849=0), 0, IF(OR($K$6="Square Grid", M849=1), M849*N849*$K$5, (INT((N849+1)/2)*M849 + INT(N849/2)*IF(($G$6-M849*H849)&gt;=0.5*H849, M849, M849-1))*$K$5))</f>
        <v/>
      </c>
      <c r="P849" s="59">
        <f>IF(L849&lt;=0, 0, INT($G$8/L849))</f>
        <v/>
      </c>
      <c r="Q849" s="95">
        <f>MIN(O849, P849)</f>
        <v/>
      </c>
      <c r="R849" s="96">
        <f>ROUND((Q849*L849)/1000, 2)</f>
        <v/>
      </c>
      <c r="S849" s="79">
        <f>IF($C$8&gt;0, R849/$C$8, 0)</f>
        <v/>
      </c>
      <c r="T849" s="79">
        <f>IF(O849&gt;0, Q849/O849, 0)</f>
        <v/>
      </c>
      <c r="U849" s="12">
        <f>IF(Q849=0, "Exceeds Limit", IF(P849&lt;=O849, "Weight Limited", "Volume Limited"))</f>
        <v/>
      </c>
      <c r="V849" s="97">
        <f>B849&amp;"|"&amp;D849&amp;"|"&amp;F849</f>
        <v/>
      </c>
    </row>
    <row r="850" ht="19" customHeight="1">
      <c r="A850" s="98" t="n">
        <v>840</v>
      </c>
      <c r="B850" s="102" t="inlineStr">
        <is>
          <t>Stainless Steel 316</t>
        </is>
      </c>
      <c r="C850" s="19" t="inlineStr">
        <is>
          <t>ASME B36.19M / B36.10M</t>
        </is>
      </c>
      <c r="D850" s="18" t="inlineStr">
        <is>
          <t>1''</t>
        </is>
      </c>
      <c r="E850" s="98" t="n">
        <v>25</v>
      </c>
      <c r="F850" s="18" t="inlineStr">
        <is>
          <t>10S</t>
        </is>
      </c>
      <c r="G850" s="20" t="n">
        <v>1.315</v>
      </c>
      <c r="H850" s="82" t="n">
        <v>33.4</v>
      </c>
      <c r="I850" s="20" t="n">
        <v>0.109</v>
      </c>
      <c r="J850" s="82" t="n">
        <v>2.77</v>
      </c>
      <c r="K850" s="20">
        <f>ROUND((H850-J850)*J850*IF(B850="Carbon Steel",$K$7,IF(B850="Stainless Steel 304",$K$8,$L$8)), 3)</f>
        <v/>
      </c>
      <c r="L850" s="82">
        <f>ROUND(K850*$G$5, 2)</f>
        <v/>
      </c>
      <c r="M850" s="98">
        <f>INT($G$6/H850)</f>
        <v/>
      </c>
      <c r="N850" s="98">
        <f>IF(M850=0, 0, IF(OR($K$6="Square Grid", M850=1), INT($G$7/H850), IF($G$7&lt;H850, 0, 1+INT(($G$7-H850)/(0.8660254*H850)))))</f>
        <v/>
      </c>
      <c r="O850" s="84">
        <f>IF(OR(M850=0,N850=0), 0, IF(OR($K$6="Square Grid", M850=1), M850*N850*$K$5, (INT((N850+1)/2)*M850 + INT(N850/2)*IF(($G$6-M850*H850)&gt;=0.5*H850, M850, M850-1))*$K$5))</f>
        <v/>
      </c>
      <c r="P850" s="84">
        <f>IF(L850&lt;=0, 0, INT($G$8/L850))</f>
        <v/>
      </c>
      <c r="Q850" s="95">
        <f>MIN(O850, P850)</f>
        <v/>
      </c>
      <c r="R850" s="96">
        <f>ROUND((Q850*L850)/1000, 2)</f>
        <v/>
      </c>
      <c r="S850" s="85">
        <f>IF($C$8&gt;0, R850/$C$8, 0)</f>
        <v/>
      </c>
      <c r="T850" s="85">
        <f>IF(O850&gt;0, Q850/O850, 0)</f>
        <v/>
      </c>
      <c r="U850" s="18">
        <f>IF(Q850=0, "Exceeds Limit", IF(P850&lt;=O850, "Weight Limited", "Volume Limited"))</f>
        <v/>
      </c>
      <c r="V850" s="100">
        <f>B850&amp;"|"&amp;D850&amp;"|"&amp;F850</f>
        <v/>
      </c>
    </row>
    <row r="851" ht="19" customHeight="1">
      <c r="A851" s="93" t="n">
        <v>841</v>
      </c>
      <c r="B851" s="101" t="inlineStr">
        <is>
          <t>Stainless Steel 316</t>
        </is>
      </c>
      <c r="C851" s="13" t="inlineStr">
        <is>
          <t>ASME B36.19M / B36.10M</t>
        </is>
      </c>
      <c r="D851" s="12" t="inlineStr">
        <is>
          <t>1''</t>
        </is>
      </c>
      <c r="E851" s="93" t="n">
        <v>25</v>
      </c>
      <c r="F851" s="12" t="inlineStr">
        <is>
          <t>10</t>
        </is>
      </c>
      <c r="G851" s="14" t="n">
        <v>1.315</v>
      </c>
      <c r="H851" s="78" t="n">
        <v>33.4</v>
      </c>
      <c r="I851" s="14" t="n">
        <v>0.109</v>
      </c>
      <c r="J851" s="78" t="n">
        <v>2.77</v>
      </c>
      <c r="K851" s="14">
        <f>ROUND((H851-J851)*J851*IF(B851="Carbon Steel",$K$7,IF(B851="Stainless Steel 304",$K$8,$L$8)), 3)</f>
        <v/>
      </c>
      <c r="L851" s="78">
        <f>ROUND(K851*$G$5, 2)</f>
        <v/>
      </c>
      <c r="M851" s="93">
        <f>INT($G$6/H851)</f>
        <v/>
      </c>
      <c r="N851" s="93">
        <f>IF(M851=0, 0, IF(OR($K$6="Square Grid", M851=1), INT($G$7/H851), IF($G$7&lt;H851, 0, 1+INT(($G$7-H851)/(0.8660254*H851)))))</f>
        <v/>
      </c>
      <c r="O851" s="59">
        <f>IF(OR(M851=0,N851=0), 0, IF(OR($K$6="Square Grid", M851=1), M851*N851*$K$5, (INT((N851+1)/2)*M851 + INT(N851/2)*IF(($G$6-M851*H851)&gt;=0.5*H851, M851, M851-1))*$K$5))</f>
        <v/>
      </c>
      <c r="P851" s="59">
        <f>IF(L851&lt;=0, 0, INT($G$8/L851))</f>
        <v/>
      </c>
      <c r="Q851" s="95">
        <f>MIN(O851, P851)</f>
        <v/>
      </c>
      <c r="R851" s="96">
        <f>ROUND((Q851*L851)/1000, 2)</f>
        <v/>
      </c>
      <c r="S851" s="79">
        <f>IF($C$8&gt;0, R851/$C$8, 0)</f>
        <v/>
      </c>
      <c r="T851" s="79">
        <f>IF(O851&gt;0, Q851/O851, 0)</f>
        <v/>
      </c>
      <c r="U851" s="12">
        <f>IF(Q851=0, "Exceeds Limit", IF(P851&lt;=O851, "Weight Limited", "Volume Limited"))</f>
        <v/>
      </c>
      <c r="V851" s="97">
        <f>B851&amp;"|"&amp;D851&amp;"|"&amp;F851</f>
        <v/>
      </c>
    </row>
    <row r="852" ht="19" customHeight="1">
      <c r="A852" s="98" t="n">
        <v>842</v>
      </c>
      <c r="B852" s="102" t="inlineStr">
        <is>
          <t>Stainless Steel 316</t>
        </is>
      </c>
      <c r="C852" s="19" t="inlineStr">
        <is>
          <t>ASME B36.19M / B36.10M</t>
        </is>
      </c>
      <c r="D852" s="18" t="inlineStr">
        <is>
          <t>1''</t>
        </is>
      </c>
      <c r="E852" s="98" t="n">
        <v>25</v>
      </c>
      <c r="F852" s="18" t="inlineStr">
        <is>
          <t>30</t>
        </is>
      </c>
      <c r="G852" s="20" t="n">
        <v>1.315</v>
      </c>
      <c r="H852" s="82" t="n">
        <v>33.4</v>
      </c>
      <c r="I852" s="20" t="n">
        <v>0.114</v>
      </c>
      <c r="J852" s="82" t="n">
        <v>2.9</v>
      </c>
      <c r="K852" s="20">
        <f>ROUND((H852-J852)*J852*IF(B852="Carbon Steel",$K$7,IF(B852="Stainless Steel 304",$K$8,$L$8)), 3)</f>
        <v/>
      </c>
      <c r="L852" s="82">
        <f>ROUND(K852*$G$5, 2)</f>
        <v/>
      </c>
      <c r="M852" s="98">
        <f>INT($G$6/H852)</f>
        <v/>
      </c>
      <c r="N852" s="98">
        <f>IF(M852=0, 0, IF(OR($K$6="Square Grid", M852=1), INT($G$7/H852), IF($G$7&lt;H852, 0, 1+INT(($G$7-H852)/(0.8660254*H852)))))</f>
        <v/>
      </c>
      <c r="O852" s="84">
        <f>IF(OR(M852=0,N852=0), 0, IF(OR($K$6="Square Grid", M852=1), M852*N852*$K$5, (INT((N852+1)/2)*M852 + INT(N852/2)*IF(($G$6-M852*H852)&gt;=0.5*H852, M852, M852-1))*$K$5))</f>
        <v/>
      </c>
      <c r="P852" s="84">
        <f>IF(L852&lt;=0, 0, INT($G$8/L852))</f>
        <v/>
      </c>
      <c r="Q852" s="95">
        <f>MIN(O852, P852)</f>
        <v/>
      </c>
      <c r="R852" s="96">
        <f>ROUND((Q852*L852)/1000, 2)</f>
        <v/>
      </c>
      <c r="S852" s="85">
        <f>IF($C$8&gt;0, R852/$C$8, 0)</f>
        <v/>
      </c>
      <c r="T852" s="85">
        <f>IF(O852&gt;0, Q852/O852, 0)</f>
        <v/>
      </c>
      <c r="U852" s="18">
        <f>IF(Q852=0, "Exceeds Limit", IF(P852&lt;=O852, "Weight Limited", "Volume Limited"))</f>
        <v/>
      </c>
      <c r="V852" s="100">
        <f>B852&amp;"|"&amp;D852&amp;"|"&amp;F852</f>
        <v/>
      </c>
    </row>
    <row r="853" ht="19" customHeight="1">
      <c r="A853" s="93" t="n">
        <v>843</v>
      </c>
      <c r="B853" s="101" t="inlineStr">
        <is>
          <t>Stainless Steel 316</t>
        </is>
      </c>
      <c r="C853" s="13" t="inlineStr">
        <is>
          <t>ASME B36.19M / B36.10M</t>
        </is>
      </c>
      <c r="D853" s="12" t="inlineStr">
        <is>
          <t>1''</t>
        </is>
      </c>
      <c r="E853" s="93" t="n">
        <v>25</v>
      </c>
      <c r="F853" s="12" t="inlineStr">
        <is>
          <t>40S</t>
        </is>
      </c>
      <c r="G853" s="14" t="n">
        <v>1.315</v>
      </c>
      <c r="H853" s="78" t="n">
        <v>33.4</v>
      </c>
      <c r="I853" s="14" t="n">
        <v>0.133</v>
      </c>
      <c r="J853" s="78" t="n">
        <v>3.38</v>
      </c>
      <c r="K853" s="14">
        <f>ROUND((H853-J853)*J853*IF(B853="Carbon Steel",$K$7,IF(B853="Stainless Steel 304",$K$8,$L$8)), 3)</f>
        <v/>
      </c>
      <c r="L853" s="78">
        <f>ROUND(K853*$G$5, 2)</f>
        <v/>
      </c>
      <c r="M853" s="93">
        <f>INT($G$6/H853)</f>
        <v/>
      </c>
      <c r="N853" s="93">
        <f>IF(M853=0, 0, IF(OR($K$6="Square Grid", M853=1), INT($G$7/H853), IF($G$7&lt;H853, 0, 1+INT(($G$7-H853)/(0.8660254*H853)))))</f>
        <v/>
      </c>
      <c r="O853" s="59">
        <f>IF(OR(M853=0,N853=0), 0, IF(OR($K$6="Square Grid", M853=1), M853*N853*$K$5, (INT((N853+1)/2)*M853 + INT(N853/2)*IF(($G$6-M853*H853)&gt;=0.5*H853, M853, M853-1))*$K$5))</f>
        <v/>
      </c>
      <c r="P853" s="59">
        <f>IF(L853&lt;=0, 0, INT($G$8/L853))</f>
        <v/>
      </c>
      <c r="Q853" s="95">
        <f>MIN(O853, P853)</f>
        <v/>
      </c>
      <c r="R853" s="96">
        <f>ROUND((Q853*L853)/1000, 2)</f>
        <v/>
      </c>
      <c r="S853" s="79">
        <f>IF($C$8&gt;0, R853/$C$8, 0)</f>
        <v/>
      </c>
      <c r="T853" s="79">
        <f>IF(O853&gt;0, Q853/O853, 0)</f>
        <v/>
      </c>
      <c r="U853" s="12">
        <f>IF(Q853=0, "Exceeds Limit", IF(P853&lt;=O853, "Weight Limited", "Volume Limited"))</f>
        <v/>
      </c>
      <c r="V853" s="97">
        <f>B853&amp;"|"&amp;D853&amp;"|"&amp;F853</f>
        <v/>
      </c>
    </row>
    <row r="854" ht="19" customHeight="1">
      <c r="A854" s="98" t="n">
        <v>844</v>
      </c>
      <c r="B854" s="102" t="inlineStr">
        <is>
          <t>Stainless Steel 316</t>
        </is>
      </c>
      <c r="C854" s="19" t="inlineStr">
        <is>
          <t>ASME B36.19M / B36.10M</t>
        </is>
      </c>
      <c r="D854" s="18" t="inlineStr">
        <is>
          <t>1''</t>
        </is>
      </c>
      <c r="E854" s="98" t="n">
        <v>25</v>
      </c>
      <c r="F854" s="18" t="inlineStr">
        <is>
          <t>STD</t>
        </is>
      </c>
      <c r="G854" s="20" t="n">
        <v>1.315</v>
      </c>
      <c r="H854" s="82" t="n">
        <v>33.4</v>
      </c>
      <c r="I854" s="20" t="n">
        <v>0.133</v>
      </c>
      <c r="J854" s="82" t="n">
        <v>3.38</v>
      </c>
      <c r="K854" s="20">
        <f>ROUND((H854-J854)*J854*IF(B854="Carbon Steel",$K$7,IF(B854="Stainless Steel 304",$K$8,$L$8)), 3)</f>
        <v/>
      </c>
      <c r="L854" s="82">
        <f>ROUND(K854*$G$5, 2)</f>
        <v/>
      </c>
      <c r="M854" s="98">
        <f>INT($G$6/H854)</f>
        <v/>
      </c>
      <c r="N854" s="98">
        <f>IF(M854=0, 0, IF(OR($K$6="Square Grid", M854=1), INT($G$7/H854), IF($G$7&lt;H854, 0, 1+INT(($G$7-H854)/(0.8660254*H854)))))</f>
        <v/>
      </c>
      <c r="O854" s="84">
        <f>IF(OR(M854=0,N854=0), 0, IF(OR($K$6="Square Grid", M854=1), M854*N854*$K$5, (INT((N854+1)/2)*M854 + INT(N854/2)*IF(($G$6-M854*H854)&gt;=0.5*H854, M854, M854-1))*$K$5))</f>
        <v/>
      </c>
      <c r="P854" s="84">
        <f>IF(L854&lt;=0, 0, INT($G$8/L854))</f>
        <v/>
      </c>
      <c r="Q854" s="95">
        <f>MIN(O854, P854)</f>
        <v/>
      </c>
      <c r="R854" s="96">
        <f>ROUND((Q854*L854)/1000, 2)</f>
        <v/>
      </c>
      <c r="S854" s="85">
        <f>IF($C$8&gt;0, R854/$C$8, 0)</f>
        <v/>
      </c>
      <c r="T854" s="85">
        <f>IF(O854&gt;0, Q854/O854, 0)</f>
        <v/>
      </c>
      <c r="U854" s="18">
        <f>IF(Q854=0, "Exceeds Limit", IF(P854&lt;=O854, "Weight Limited", "Volume Limited"))</f>
        <v/>
      </c>
      <c r="V854" s="100">
        <f>B854&amp;"|"&amp;D854&amp;"|"&amp;F854</f>
        <v/>
      </c>
    </row>
    <row r="855" ht="19" customHeight="1">
      <c r="A855" s="93" t="n">
        <v>845</v>
      </c>
      <c r="B855" s="101" t="inlineStr">
        <is>
          <t>Stainless Steel 316</t>
        </is>
      </c>
      <c r="C855" s="13" t="inlineStr">
        <is>
          <t>ASME B36.19M / B36.10M</t>
        </is>
      </c>
      <c r="D855" s="12" t="inlineStr">
        <is>
          <t>1''</t>
        </is>
      </c>
      <c r="E855" s="93" t="n">
        <v>25</v>
      </c>
      <c r="F855" s="12" t="inlineStr">
        <is>
          <t>40</t>
        </is>
      </c>
      <c r="G855" s="14" t="n">
        <v>1.315</v>
      </c>
      <c r="H855" s="78" t="n">
        <v>33.4</v>
      </c>
      <c r="I855" s="14" t="n">
        <v>0.133</v>
      </c>
      <c r="J855" s="78" t="n">
        <v>3.38</v>
      </c>
      <c r="K855" s="14">
        <f>ROUND((H855-J855)*J855*IF(B855="Carbon Steel",$K$7,IF(B855="Stainless Steel 304",$K$8,$L$8)), 3)</f>
        <v/>
      </c>
      <c r="L855" s="78">
        <f>ROUND(K855*$G$5, 2)</f>
        <v/>
      </c>
      <c r="M855" s="93">
        <f>INT($G$6/H855)</f>
        <v/>
      </c>
      <c r="N855" s="93">
        <f>IF(M855=0, 0, IF(OR($K$6="Square Grid", M855=1), INT($G$7/H855), IF($G$7&lt;H855, 0, 1+INT(($G$7-H855)/(0.8660254*H855)))))</f>
        <v/>
      </c>
      <c r="O855" s="59">
        <f>IF(OR(M855=0,N855=0), 0, IF(OR($K$6="Square Grid", M855=1), M855*N855*$K$5, (INT((N855+1)/2)*M855 + INT(N855/2)*IF(($G$6-M855*H855)&gt;=0.5*H855, M855, M855-1))*$K$5))</f>
        <v/>
      </c>
      <c r="P855" s="59">
        <f>IF(L855&lt;=0, 0, INT($G$8/L855))</f>
        <v/>
      </c>
      <c r="Q855" s="95">
        <f>MIN(O855, P855)</f>
        <v/>
      </c>
      <c r="R855" s="96">
        <f>ROUND((Q855*L855)/1000, 2)</f>
        <v/>
      </c>
      <c r="S855" s="79">
        <f>IF($C$8&gt;0, R855/$C$8, 0)</f>
        <v/>
      </c>
      <c r="T855" s="79">
        <f>IF(O855&gt;0, Q855/O855, 0)</f>
        <v/>
      </c>
      <c r="U855" s="12">
        <f>IF(Q855=0, "Exceeds Limit", IF(P855&lt;=O855, "Weight Limited", "Volume Limited"))</f>
        <v/>
      </c>
      <c r="V855" s="97">
        <f>B855&amp;"|"&amp;D855&amp;"|"&amp;F855</f>
        <v/>
      </c>
    </row>
    <row r="856" ht="19" customHeight="1">
      <c r="A856" s="98" t="n">
        <v>846</v>
      </c>
      <c r="B856" s="102" t="inlineStr">
        <is>
          <t>Stainless Steel 316</t>
        </is>
      </c>
      <c r="C856" s="19" t="inlineStr">
        <is>
          <t>ASME B36.19M / B36.10M</t>
        </is>
      </c>
      <c r="D856" s="18" t="inlineStr">
        <is>
          <t>1''</t>
        </is>
      </c>
      <c r="E856" s="98" t="n">
        <v>25</v>
      </c>
      <c r="F856" s="18" t="inlineStr">
        <is>
          <t>80S</t>
        </is>
      </c>
      <c r="G856" s="20" t="n">
        <v>1.315</v>
      </c>
      <c r="H856" s="82" t="n">
        <v>33.4</v>
      </c>
      <c r="I856" s="20" t="n">
        <v>0.179</v>
      </c>
      <c r="J856" s="82" t="n">
        <v>4.55</v>
      </c>
      <c r="K856" s="20">
        <f>ROUND((H856-J856)*J856*IF(B856="Carbon Steel",$K$7,IF(B856="Stainless Steel 304",$K$8,$L$8)), 3)</f>
        <v/>
      </c>
      <c r="L856" s="82">
        <f>ROUND(K856*$G$5, 2)</f>
        <v/>
      </c>
      <c r="M856" s="98">
        <f>INT($G$6/H856)</f>
        <v/>
      </c>
      <c r="N856" s="98">
        <f>IF(M856=0, 0, IF(OR($K$6="Square Grid", M856=1), INT($G$7/H856), IF($G$7&lt;H856, 0, 1+INT(($G$7-H856)/(0.8660254*H856)))))</f>
        <v/>
      </c>
      <c r="O856" s="84">
        <f>IF(OR(M856=0,N856=0), 0, IF(OR($K$6="Square Grid", M856=1), M856*N856*$K$5, (INT((N856+1)/2)*M856 + INT(N856/2)*IF(($G$6-M856*H856)&gt;=0.5*H856, M856, M856-1))*$K$5))</f>
        <v/>
      </c>
      <c r="P856" s="84">
        <f>IF(L856&lt;=0, 0, INT($G$8/L856))</f>
        <v/>
      </c>
      <c r="Q856" s="95">
        <f>MIN(O856, P856)</f>
        <v/>
      </c>
      <c r="R856" s="96">
        <f>ROUND((Q856*L856)/1000, 2)</f>
        <v/>
      </c>
      <c r="S856" s="85">
        <f>IF($C$8&gt;0, R856/$C$8, 0)</f>
        <v/>
      </c>
      <c r="T856" s="85">
        <f>IF(O856&gt;0, Q856/O856, 0)</f>
        <v/>
      </c>
      <c r="U856" s="18">
        <f>IF(Q856=0, "Exceeds Limit", IF(P856&lt;=O856, "Weight Limited", "Volume Limited"))</f>
        <v/>
      </c>
      <c r="V856" s="100">
        <f>B856&amp;"|"&amp;D856&amp;"|"&amp;F856</f>
        <v/>
      </c>
    </row>
    <row r="857" ht="19" customHeight="1">
      <c r="A857" s="93" t="n">
        <v>847</v>
      </c>
      <c r="B857" s="101" t="inlineStr">
        <is>
          <t>Stainless Steel 316</t>
        </is>
      </c>
      <c r="C857" s="13" t="inlineStr">
        <is>
          <t>ASME B36.19M / B36.10M</t>
        </is>
      </c>
      <c r="D857" s="12" t="inlineStr">
        <is>
          <t>1''</t>
        </is>
      </c>
      <c r="E857" s="93" t="n">
        <v>25</v>
      </c>
      <c r="F857" s="12" t="inlineStr">
        <is>
          <t>XS</t>
        </is>
      </c>
      <c r="G857" s="14" t="n">
        <v>1.315</v>
      </c>
      <c r="H857" s="78" t="n">
        <v>33.4</v>
      </c>
      <c r="I857" s="14" t="n">
        <v>0.179</v>
      </c>
      <c r="J857" s="78" t="n">
        <v>4.55</v>
      </c>
      <c r="K857" s="14">
        <f>ROUND((H857-J857)*J857*IF(B857="Carbon Steel",$K$7,IF(B857="Stainless Steel 304",$K$8,$L$8)), 3)</f>
        <v/>
      </c>
      <c r="L857" s="78">
        <f>ROUND(K857*$G$5, 2)</f>
        <v/>
      </c>
      <c r="M857" s="93">
        <f>INT($G$6/H857)</f>
        <v/>
      </c>
      <c r="N857" s="93">
        <f>IF(M857=0, 0, IF(OR($K$6="Square Grid", M857=1), INT($G$7/H857), IF($G$7&lt;H857, 0, 1+INT(($G$7-H857)/(0.8660254*H857)))))</f>
        <v/>
      </c>
      <c r="O857" s="59">
        <f>IF(OR(M857=0,N857=0), 0, IF(OR($K$6="Square Grid", M857=1), M857*N857*$K$5, (INT((N857+1)/2)*M857 + INT(N857/2)*IF(($G$6-M857*H857)&gt;=0.5*H857, M857, M857-1))*$K$5))</f>
        <v/>
      </c>
      <c r="P857" s="59">
        <f>IF(L857&lt;=0, 0, INT($G$8/L857))</f>
        <v/>
      </c>
      <c r="Q857" s="95">
        <f>MIN(O857, P857)</f>
        <v/>
      </c>
      <c r="R857" s="96">
        <f>ROUND((Q857*L857)/1000, 2)</f>
        <v/>
      </c>
      <c r="S857" s="79">
        <f>IF($C$8&gt;0, R857/$C$8, 0)</f>
        <v/>
      </c>
      <c r="T857" s="79">
        <f>IF(O857&gt;0, Q857/O857, 0)</f>
        <v/>
      </c>
      <c r="U857" s="12">
        <f>IF(Q857=0, "Exceeds Limit", IF(P857&lt;=O857, "Weight Limited", "Volume Limited"))</f>
        <v/>
      </c>
      <c r="V857" s="97">
        <f>B857&amp;"|"&amp;D857&amp;"|"&amp;F857</f>
        <v/>
      </c>
    </row>
    <row r="858" ht="19" customHeight="1">
      <c r="A858" s="98" t="n">
        <v>848</v>
      </c>
      <c r="B858" s="102" t="inlineStr">
        <is>
          <t>Stainless Steel 316</t>
        </is>
      </c>
      <c r="C858" s="19" t="inlineStr">
        <is>
          <t>ASME B36.19M / B36.10M</t>
        </is>
      </c>
      <c r="D858" s="18" t="inlineStr">
        <is>
          <t>1''</t>
        </is>
      </c>
      <c r="E858" s="98" t="n">
        <v>25</v>
      </c>
      <c r="F858" s="18" t="inlineStr">
        <is>
          <t>80</t>
        </is>
      </c>
      <c r="G858" s="20" t="n">
        <v>1.315</v>
      </c>
      <c r="H858" s="82" t="n">
        <v>33.4</v>
      </c>
      <c r="I858" s="20" t="n">
        <v>0.179</v>
      </c>
      <c r="J858" s="82" t="n">
        <v>4.55</v>
      </c>
      <c r="K858" s="20">
        <f>ROUND((H858-J858)*J858*IF(B858="Carbon Steel",$K$7,IF(B858="Stainless Steel 304",$K$8,$L$8)), 3)</f>
        <v/>
      </c>
      <c r="L858" s="82">
        <f>ROUND(K858*$G$5, 2)</f>
        <v/>
      </c>
      <c r="M858" s="98">
        <f>INT($G$6/H858)</f>
        <v/>
      </c>
      <c r="N858" s="98">
        <f>IF(M858=0, 0, IF(OR($K$6="Square Grid", M858=1), INT($G$7/H858), IF($G$7&lt;H858, 0, 1+INT(($G$7-H858)/(0.8660254*H858)))))</f>
        <v/>
      </c>
      <c r="O858" s="84">
        <f>IF(OR(M858=0,N858=0), 0, IF(OR($K$6="Square Grid", M858=1), M858*N858*$K$5, (INT((N858+1)/2)*M858 + INT(N858/2)*IF(($G$6-M858*H858)&gt;=0.5*H858, M858, M858-1))*$K$5))</f>
        <v/>
      </c>
      <c r="P858" s="84">
        <f>IF(L858&lt;=0, 0, INT($G$8/L858))</f>
        <v/>
      </c>
      <c r="Q858" s="95">
        <f>MIN(O858, P858)</f>
        <v/>
      </c>
      <c r="R858" s="96">
        <f>ROUND((Q858*L858)/1000, 2)</f>
        <v/>
      </c>
      <c r="S858" s="85">
        <f>IF($C$8&gt;0, R858/$C$8, 0)</f>
        <v/>
      </c>
      <c r="T858" s="85">
        <f>IF(O858&gt;0, Q858/O858, 0)</f>
        <v/>
      </c>
      <c r="U858" s="18">
        <f>IF(Q858=0, "Exceeds Limit", IF(P858&lt;=O858, "Weight Limited", "Volume Limited"))</f>
        <v/>
      </c>
      <c r="V858" s="100">
        <f>B858&amp;"|"&amp;D858&amp;"|"&amp;F858</f>
        <v/>
      </c>
    </row>
    <row r="859" ht="19" customHeight="1">
      <c r="A859" s="93" t="n">
        <v>849</v>
      </c>
      <c r="B859" s="101" t="inlineStr">
        <is>
          <t>Stainless Steel 316</t>
        </is>
      </c>
      <c r="C859" s="13" t="inlineStr">
        <is>
          <t>ASME B36.19M / B36.10M</t>
        </is>
      </c>
      <c r="D859" s="12" t="inlineStr">
        <is>
          <t>1''</t>
        </is>
      </c>
      <c r="E859" s="93" t="n">
        <v>25</v>
      </c>
      <c r="F859" s="12" t="inlineStr">
        <is>
          <t>160</t>
        </is>
      </c>
      <c r="G859" s="14" t="n">
        <v>1.315</v>
      </c>
      <c r="H859" s="78" t="n">
        <v>33.4</v>
      </c>
      <c r="I859" s="14" t="n">
        <v>0.25</v>
      </c>
      <c r="J859" s="78" t="n">
        <v>6.35</v>
      </c>
      <c r="K859" s="14">
        <f>ROUND((H859-J859)*J859*IF(B859="Carbon Steel",$K$7,IF(B859="Stainless Steel 304",$K$8,$L$8)), 3)</f>
        <v/>
      </c>
      <c r="L859" s="78">
        <f>ROUND(K859*$G$5, 2)</f>
        <v/>
      </c>
      <c r="M859" s="93">
        <f>INT($G$6/H859)</f>
        <v/>
      </c>
      <c r="N859" s="93">
        <f>IF(M859=0, 0, IF(OR($K$6="Square Grid", M859=1), INT($G$7/H859), IF($G$7&lt;H859, 0, 1+INT(($G$7-H859)/(0.8660254*H859)))))</f>
        <v/>
      </c>
      <c r="O859" s="59">
        <f>IF(OR(M859=0,N859=0), 0, IF(OR($K$6="Square Grid", M859=1), M859*N859*$K$5, (INT((N859+1)/2)*M859 + INT(N859/2)*IF(($G$6-M859*H859)&gt;=0.5*H859, M859, M859-1))*$K$5))</f>
        <v/>
      </c>
      <c r="P859" s="59">
        <f>IF(L859&lt;=0, 0, INT($G$8/L859))</f>
        <v/>
      </c>
      <c r="Q859" s="95">
        <f>MIN(O859, P859)</f>
        <v/>
      </c>
      <c r="R859" s="96">
        <f>ROUND((Q859*L859)/1000, 2)</f>
        <v/>
      </c>
      <c r="S859" s="79">
        <f>IF($C$8&gt;0, R859/$C$8, 0)</f>
        <v/>
      </c>
      <c r="T859" s="79">
        <f>IF(O859&gt;0, Q859/O859, 0)</f>
        <v/>
      </c>
      <c r="U859" s="12">
        <f>IF(Q859=0, "Exceeds Limit", IF(P859&lt;=O859, "Weight Limited", "Volume Limited"))</f>
        <v/>
      </c>
      <c r="V859" s="97">
        <f>B859&amp;"|"&amp;D859&amp;"|"&amp;F859</f>
        <v/>
      </c>
    </row>
    <row r="860" ht="19" customHeight="1">
      <c r="A860" s="98" t="n">
        <v>850</v>
      </c>
      <c r="B860" s="102" t="inlineStr">
        <is>
          <t>Stainless Steel 316</t>
        </is>
      </c>
      <c r="C860" s="19" t="inlineStr">
        <is>
          <t>ASME B36.19M / B36.10M</t>
        </is>
      </c>
      <c r="D860" s="18" t="inlineStr">
        <is>
          <t>1''</t>
        </is>
      </c>
      <c r="E860" s="98" t="n">
        <v>25</v>
      </c>
      <c r="F860" s="18" t="inlineStr">
        <is>
          <t>XXS</t>
        </is>
      </c>
      <c r="G860" s="20" t="n">
        <v>1.315</v>
      </c>
      <c r="H860" s="82" t="n">
        <v>33.4</v>
      </c>
      <c r="I860" s="20" t="n">
        <v>0.358</v>
      </c>
      <c r="J860" s="82" t="n">
        <v>9.09</v>
      </c>
      <c r="K860" s="20">
        <f>ROUND((H860-J860)*J860*IF(B860="Carbon Steel",$K$7,IF(B860="Stainless Steel 304",$K$8,$L$8)), 3)</f>
        <v/>
      </c>
      <c r="L860" s="82">
        <f>ROUND(K860*$G$5, 2)</f>
        <v/>
      </c>
      <c r="M860" s="98">
        <f>INT($G$6/H860)</f>
        <v/>
      </c>
      <c r="N860" s="98">
        <f>IF(M860=0, 0, IF(OR($K$6="Square Grid", M860=1), INT($G$7/H860), IF($G$7&lt;H860, 0, 1+INT(($G$7-H860)/(0.8660254*H860)))))</f>
        <v/>
      </c>
      <c r="O860" s="84">
        <f>IF(OR(M860=0,N860=0), 0, IF(OR($K$6="Square Grid", M860=1), M860*N860*$K$5, (INT((N860+1)/2)*M860 + INT(N860/2)*IF(($G$6-M860*H860)&gt;=0.5*H860, M860, M860-1))*$K$5))</f>
        <v/>
      </c>
      <c r="P860" s="84">
        <f>IF(L860&lt;=0, 0, INT($G$8/L860))</f>
        <v/>
      </c>
      <c r="Q860" s="95">
        <f>MIN(O860, P860)</f>
        <v/>
      </c>
      <c r="R860" s="96">
        <f>ROUND((Q860*L860)/1000, 2)</f>
        <v/>
      </c>
      <c r="S860" s="85">
        <f>IF($C$8&gt;0, R860/$C$8, 0)</f>
        <v/>
      </c>
      <c r="T860" s="85">
        <f>IF(O860&gt;0, Q860/O860, 0)</f>
        <v/>
      </c>
      <c r="U860" s="18">
        <f>IF(Q860=0, "Exceeds Limit", IF(P860&lt;=O860, "Weight Limited", "Volume Limited"))</f>
        <v/>
      </c>
      <c r="V860" s="100">
        <f>B860&amp;"|"&amp;D860&amp;"|"&amp;F860</f>
        <v/>
      </c>
    </row>
    <row r="861" ht="19" customHeight="1">
      <c r="A861" s="93" t="n">
        <v>851</v>
      </c>
      <c r="B861" s="101" t="inlineStr">
        <is>
          <t>Stainless Steel 316</t>
        </is>
      </c>
      <c r="C861" s="13" t="inlineStr">
        <is>
          <t>ASME B36.19M / B36.10M</t>
        </is>
      </c>
      <c r="D861" s="12" t="inlineStr">
        <is>
          <t>1-1/4''</t>
        </is>
      </c>
      <c r="E861" s="93" t="n">
        <v>32</v>
      </c>
      <c r="F861" s="12" t="inlineStr">
        <is>
          <t>5S</t>
        </is>
      </c>
      <c r="G861" s="14" t="n">
        <v>1.66</v>
      </c>
      <c r="H861" s="78" t="n">
        <v>42.16</v>
      </c>
      <c r="I861" s="14" t="n">
        <v>0.065</v>
      </c>
      <c r="J861" s="78" t="n">
        <v>1.65</v>
      </c>
      <c r="K861" s="14">
        <f>ROUND((H861-J861)*J861*IF(B861="Carbon Steel",$K$7,IF(B861="Stainless Steel 304",$K$8,$L$8)), 3)</f>
        <v/>
      </c>
      <c r="L861" s="78">
        <f>ROUND(K861*$G$5, 2)</f>
        <v/>
      </c>
      <c r="M861" s="93">
        <f>INT($G$6/H861)</f>
        <v/>
      </c>
      <c r="N861" s="93">
        <f>IF(M861=0, 0, IF(OR($K$6="Square Grid", M861=1), INT($G$7/H861), IF($G$7&lt;H861, 0, 1+INT(($G$7-H861)/(0.8660254*H861)))))</f>
        <v/>
      </c>
      <c r="O861" s="59">
        <f>IF(OR(M861=0,N861=0), 0, IF(OR($K$6="Square Grid", M861=1), M861*N861*$K$5, (INT((N861+1)/2)*M861 + INT(N861/2)*IF(($G$6-M861*H861)&gt;=0.5*H861, M861, M861-1))*$K$5))</f>
        <v/>
      </c>
      <c r="P861" s="59">
        <f>IF(L861&lt;=0, 0, INT($G$8/L861))</f>
        <v/>
      </c>
      <c r="Q861" s="95">
        <f>MIN(O861, P861)</f>
        <v/>
      </c>
      <c r="R861" s="96">
        <f>ROUND((Q861*L861)/1000, 2)</f>
        <v/>
      </c>
      <c r="S861" s="79">
        <f>IF($C$8&gt;0, R861/$C$8, 0)</f>
        <v/>
      </c>
      <c r="T861" s="79">
        <f>IF(O861&gt;0, Q861/O861, 0)</f>
        <v/>
      </c>
      <c r="U861" s="12">
        <f>IF(Q861=0, "Exceeds Limit", IF(P861&lt;=O861, "Weight Limited", "Volume Limited"))</f>
        <v/>
      </c>
      <c r="V861" s="97">
        <f>B861&amp;"|"&amp;D861&amp;"|"&amp;F861</f>
        <v/>
      </c>
    </row>
    <row r="862" ht="19" customHeight="1">
      <c r="A862" s="98" t="n">
        <v>852</v>
      </c>
      <c r="B862" s="102" t="inlineStr">
        <is>
          <t>Stainless Steel 316</t>
        </is>
      </c>
      <c r="C862" s="19" t="inlineStr">
        <is>
          <t>ASME B36.19M / B36.10M</t>
        </is>
      </c>
      <c r="D862" s="18" t="inlineStr">
        <is>
          <t>1-1/4''</t>
        </is>
      </c>
      <c r="E862" s="98" t="n">
        <v>32</v>
      </c>
      <c r="F862" s="18" t="inlineStr">
        <is>
          <t>5</t>
        </is>
      </c>
      <c r="G862" s="20" t="n">
        <v>1.66</v>
      </c>
      <c r="H862" s="82" t="n">
        <v>42.16</v>
      </c>
      <c r="I862" s="20" t="n">
        <v>0.065</v>
      </c>
      <c r="J862" s="82" t="n">
        <v>1.65</v>
      </c>
      <c r="K862" s="20">
        <f>ROUND((H862-J862)*J862*IF(B862="Carbon Steel",$K$7,IF(B862="Stainless Steel 304",$K$8,$L$8)), 3)</f>
        <v/>
      </c>
      <c r="L862" s="82">
        <f>ROUND(K862*$G$5, 2)</f>
        <v/>
      </c>
      <c r="M862" s="98">
        <f>INT($G$6/H862)</f>
        <v/>
      </c>
      <c r="N862" s="98">
        <f>IF(M862=0, 0, IF(OR($K$6="Square Grid", M862=1), INT($G$7/H862), IF($G$7&lt;H862, 0, 1+INT(($G$7-H862)/(0.8660254*H862)))))</f>
        <v/>
      </c>
      <c r="O862" s="84">
        <f>IF(OR(M862=0,N862=0), 0, IF(OR($K$6="Square Grid", M862=1), M862*N862*$K$5, (INT((N862+1)/2)*M862 + INT(N862/2)*IF(($G$6-M862*H862)&gt;=0.5*H862, M862, M862-1))*$K$5))</f>
        <v/>
      </c>
      <c r="P862" s="84">
        <f>IF(L862&lt;=0, 0, INT($G$8/L862))</f>
        <v/>
      </c>
      <c r="Q862" s="95">
        <f>MIN(O862, P862)</f>
        <v/>
      </c>
      <c r="R862" s="96">
        <f>ROUND((Q862*L862)/1000, 2)</f>
        <v/>
      </c>
      <c r="S862" s="85">
        <f>IF($C$8&gt;0, R862/$C$8, 0)</f>
        <v/>
      </c>
      <c r="T862" s="85">
        <f>IF(O862&gt;0, Q862/O862, 0)</f>
        <v/>
      </c>
      <c r="U862" s="18">
        <f>IF(Q862=0, "Exceeds Limit", IF(P862&lt;=O862, "Weight Limited", "Volume Limited"))</f>
        <v/>
      </c>
      <c r="V862" s="100">
        <f>B862&amp;"|"&amp;D862&amp;"|"&amp;F862</f>
        <v/>
      </c>
    </row>
    <row r="863" ht="19" customHeight="1">
      <c r="A863" s="93" t="n">
        <v>853</v>
      </c>
      <c r="B863" s="101" t="inlineStr">
        <is>
          <t>Stainless Steel 316</t>
        </is>
      </c>
      <c r="C863" s="13" t="inlineStr">
        <is>
          <t>ASME B36.19M / B36.10M</t>
        </is>
      </c>
      <c r="D863" s="12" t="inlineStr">
        <is>
          <t>1-1/4''</t>
        </is>
      </c>
      <c r="E863" s="93" t="n">
        <v>32</v>
      </c>
      <c r="F863" s="12" t="inlineStr">
        <is>
          <t>10S</t>
        </is>
      </c>
      <c r="G863" s="14" t="n">
        <v>1.66</v>
      </c>
      <c r="H863" s="78" t="n">
        <v>42.16</v>
      </c>
      <c r="I863" s="14" t="n">
        <v>0.109</v>
      </c>
      <c r="J863" s="78" t="n">
        <v>2.77</v>
      </c>
      <c r="K863" s="14">
        <f>ROUND((H863-J863)*J863*IF(B863="Carbon Steel",$K$7,IF(B863="Stainless Steel 304",$K$8,$L$8)), 3)</f>
        <v/>
      </c>
      <c r="L863" s="78">
        <f>ROUND(K863*$G$5, 2)</f>
        <v/>
      </c>
      <c r="M863" s="93">
        <f>INT($G$6/H863)</f>
        <v/>
      </c>
      <c r="N863" s="93">
        <f>IF(M863=0, 0, IF(OR($K$6="Square Grid", M863=1), INT($G$7/H863), IF($G$7&lt;H863, 0, 1+INT(($G$7-H863)/(0.8660254*H863)))))</f>
        <v/>
      </c>
      <c r="O863" s="59">
        <f>IF(OR(M863=0,N863=0), 0, IF(OR($K$6="Square Grid", M863=1), M863*N863*$K$5, (INT((N863+1)/2)*M863 + INT(N863/2)*IF(($G$6-M863*H863)&gt;=0.5*H863, M863, M863-1))*$K$5))</f>
        <v/>
      </c>
      <c r="P863" s="59">
        <f>IF(L863&lt;=0, 0, INT($G$8/L863))</f>
        <v/>
      </c>
      <c r="Q863" s="95">
        <f>MIN(O863, P863)</f>
        <v/>
      </c>
      <c r="R863" s="96">
        <f>ROUND((Q863*L863)/1000, 2)</f>
        <v/>
      </c>
      <c r="S863" s="79">
        <f>IF($C$8&gt;0, R863/$C$8, 0)</f>
        <v/>
      </c>
      <c r="T863" s="79">
        <f>IF(O863&gt;0, Q863/O863, 0)</f>
        <v/>
      </c>
      <c r="U863" s="12">
        <f>IF(Q863=0, "Exceeds Limit", IF(P863&lt;=O863, "Weight Limited", "Volume Limited"))</f>
        <v/>
      </c>
      <c r="V863" s="97">
        <f>B863&amp;"|"&amp;D863&amp;"|"&amp;F863</f>
        <v/>
      </c>
    </row>
    <row r="864" ht="19" customHeight="1">
      <c r="A864" s="98" t="n">
        <v>854</v>
      </c>
      <c r="B864" s="102" t="inlineStr">
        <is>
          <t>Stainless Steel 316</t>
        </is>
      </c>
      <c r="C864" s="19" t="inlineStr">
        <is>
          <t>ASME B36.19M / B36.10M</t>
        </is>
      </c>
      <c r="D864" s="18" t="inlineStr">
        <is>
          <t>1-1/4''</t>
        </is>
      </c>
      <c r="E864" s="98" t="n">
        <v>32</v>
      </c>
      <c r="F864" s="18" t="inlineStr">
        <is>
          <t>10</t>
        </is>
      </c>
      <c r="G864" s="20" t="n">
        <v>1.66</v>
      </c>
      <c r="H864" s="82" t="n">
        <v>42.16</v>
      </c>
      <c r="I864" s="20" t="n">
        <v>0.109</v>
      </c>
      <c r="J864" s="82" t="n">
        <v>2.77</v>
      </c>
      <c r="K864" s="20">
        <f>ROUND((H864-J864)*J864*IF(B864="Carbon Steel",$K$7,IF(B864="Stainless Steel 304",$K$8,$L$8)), 3)</f>
        <v/>
      </c>
      <c r="L864" s="82">
        <f>ROUND(K864*$G$5, 2)</f>
        <v/>
      </c>
      <c r="M864" s="98">
        <f>INT($G$6/H864)</f>
        <v/>
      </c>
      <c r="N864" s="98">
        <f>IF(M864=0, 0, IF(OR($K$6="Square Grid", M864=1), INT($G$7/H864), IF($G$7&lt;H864, 0, 1+INT(($G$7-H864)/(0.8660254*H864)))))</f>
        <v/>
      </c>
      <c r="O864" s="84">
        <f>IF(OR(M864=0,N864=0), 0, IF(OR($K$6="Square Grid", M864=1), M864*N864*$K$5, (INT((N864+1)/2)*M864 + INT(N864/2)*IF(($G$6-M864*H864)&gt;=0.5*H864, M864, M864-1))*$K$5))</f>
        <v/>
      </c>
      <c r="P864" s="84">
        <f>IF(L864&lt;=0, 0, INT($G$8/L864))</f>
        <v/>
      </c>
      <c r="Q864" s="95">
        <f>MIN(O864, P864)</f>
        <v/>
      </c>
      <c r="R864" s="96">
        <f>ROUND((Q864*L864)/1000, 2)</f>
        <v/>
      </c>
      <c r="S864" s="85">
        <f>IF($C$8&gt;0, R864/$C$8, 0)</f>
        <v/>
      </c>
      <c r="T864" s="85">
        <f>IF(O864&gt;0, Q864/O864, 0)</f>
        <v/>
      </c>
      <c r="U864" s="18">
        <f>IF(Q864=0, "Exceeds Limit", IF(P864&lt;=O864, "Weight Limited", "Volume Limited"))</f>
        <v/>
      </c>
      <c r="V864" s="100">
        <f>B864&amp;"|"&amp;D864&amp;"|"&amp;F864</f>
        <v/>
      </c>
    </row>
    <row r="865" ht="19" customHeight="1">
      <c r="A865" s="93" t="n">
        <v>855</v>
      </c>
      <c r="B865" s="101" t="inlineStr">
        <is>
          <t>Stainless Steel 316</t>
        </is>
      </c>
      <c r="C865" s="13" t="inlineStr">
        <is>
          <t>ASME B36.19M / B36.10M</t>
        </is>
      </c>
      <c r="D865" s="12" t="inlineStr">
        <is>
          <t>1-1/4''</t>
        </is>
      </c>
      <c r="E865" s="93" t="n">
        <v>32</v>
      </c>
      <c r="F865" s="12" t="inlineStr">
        <is>
          <t>30</t>
        </is>
      </c>
      <c r="G865" s="14" t="n">
        <v>1.66</v>
      </c>
      <c r="H865" s="78" t="n">
        <v>42.16</v>
      </c>
      <c r="I865" s="14" t="n">
        <v>0.117</v>
      </c>
      <c r="J865" s="78" t="n">
        <v>2.97</v>
      </c>
      <c r="K865" s="14">
        <f>ROUND((H865-J865)*J865*IF(B865="Carbon Steel",$K$7,IF(B865="Stainless Steel 304",$K$8,$L$8)), 3)</f>
        <v/>
      </c>
      <c r="L865" s="78">
        <f>ROUND(K865*$G$5, 2)</f>
        <v/>
      </c>
      <c r="M865" s="93">
        <f>INT($G$6/H865)</f>
        <v/>
      </c>
      <c r="N865" s="93">
        <f>IF(M865=0, 0, IF(OR($K$6="Square Grid", M865=1), INT($G$7/H865), IF($G$7&lt;H865, 0, 1+INT(($G$7-H865)/(0.8660254*H865)))))</f>
        <v/>
      </c>
      <c r="O865" s="59">
        <f>IF(OR(M865=0,N865=0), 0, IF(OR($K$6="Square Grid", M865=1), M865*N865*$K$5, (INT((N865+1)/2)*M865 + INT(N865/2)*IF(($G$6-M865*H865)&gt;=0.5*H865, M865, M865-1))*$K$5))</f>
        <v/>
      </c>
      <c r="P865" s="59">
        <f>IF(L865&lt;=0, 0, INT($G$8/L865))</f>
        <v/>
      </c>
      <c r="Q865" s="95">
        <f>MIN(O865, P865)</f>
        <v/>
      </c>
      <c r="R865" s="96">
        <f>ROUND((Q865*L865)/1000, 2)</f>
        <v/>
      </c>
      <c r="S865" s="79">
        <f>IF($C$8&gt;0, R865/$C$8, 0)</f>
        <v/>
      </c>
      <c r="T865" s="79">
        <f>IF(O865&gt;0, Q865/O865, 0)</f>
        <v/>
      </c>
      <c r="U865" s="12">
        <f>IF(Q865=0, "Exceeds Limit", IF(P865&lt;=O865, "Weight Limited", "Volume Limited"))</f>
        <v/>
      </c>
      <c r="V865" s="97">
        <f>B865&amp;"|"&amp;D865&amp;"|"&amp;F865</f>
        <v/>
      </c>
    </row>
    <row r="866" ht="19" customHeight="1">
      <c r="A866" s="98" t="n">
        <v>856</v>
      </c>
      <c r="B866" s="102" t="inlineStr">
        <is>
          <t>Stainless Steel 316</t>
        </is>
      </c>
      <c r="C866" s="19" t="inlineStr">
        <is>
          <t>ASME B36.19M / B36.10M</t>
        </is>
      </c>
      <c r="D866" s="18" t="inlineStr">
        <is>
          <t>1-1/4''</t>
        </is>
      </c>
      <c r="E866" s="98" t="n">
        <v>32</v>
      </c>
      <c r="F866" s="18" t="inlineStr">
        <is>
          <t>40S</t>
        </is>
      </c>
      <c r="G866" s="20" t="n">
        <v>1.66</v>
      </c>
      <c r="H866" s="82" t="n">
        <v>42.16</v>
      </c>
      <c r="I866" s="20" t="n">
        <v>0.14</v>
      </c>
      <c r="J866" s="82" t="n">
        <v>3.56</v>
      </c>
      <c r="K866" s="20">
        <f>ROUND((H866-J866)*J866*IF(B866="Carbon Steel",$K$7,IF(B866="Stainless Steel 304",$K$8,$L$8)), 3)</f>
        <v/>
      </c>
      <c r="L866" s="82">
        <f>ROUND(K866*$G$5, 2)</f>
        <v/>
      </c>
      <c r="M866" s="98">
        <f>INT($G$6/H866)</f>
        <v/>
      </c>
      <c r="N866" s="98">
        <f>IF(M866=0, 0, IF(OR($K$6="Square Grid", M866=1), INT($G$7/H866), IF($G$7&lt;H866, 0, 1+INT(($G$7-H866)/(0.8660254*H866)))))</f>
        <v/>
      </c>
      <c r="O866" s="84">
        <f>IF(OR(M866=0,N866=0), 0, IF(OR($K$6="Square Grid", M866=1), M866*N866*$K$5, (INT((N866+1)/2)*M866 + INT(N866/2)*IF(($G$6-M866*H866)&gt;=0.5*H866, M866, M866-1))*$K$5))</f>
        <v/>
      </c>
      <c r="P866" s="84">
        <f>IF(L866&lt;=0, 0, INT($G$8/L866))</f>
        <v/>
      </c>
      <c r="Q866" s="95">
        <f>MIN(O866, P866)</f>
        <v/>
      </c>
      <c r="R866" s="96">
        <f>ROUND((Q866*L866)/1000, 2)</f>
        <v/>
      </c>
      <c r="S866" s="85">
        <f>IF($C$8&gt;0, R866/$C$8, 0)</f>
        <v/>
      </c>
      <c r="T866" s="85">
        <f>IF(O866&gt;0, Q866/O866, 0)</f>
        <v/>
      </c>
      <c r="U866" s="18">
        <f>IF(Q866=0, "Exceeds Limit", IF(P866&lt;=O866, "Weight Limited", "Volume Limited"))</f>
        <v/>
      </c>
      <c r="V866" s="100">
        <f>B866&amp;"|"&amp;D866&amp;"|"&amp;F866</f>
        <v/>
      </c>
    </row>
    <row r="867" ht="19" customHeight="1">
      <c r="A867" s="93" t="n">
        <v>857</v>
      </c>
      <c r="B867" s="101" t="inlineStr">
        <is>
          <t>Stainless Steel 316</t>
        </is>
      </c>
      <c r="C867" s="13" t="inlineStr">
        <is>
          <t>ASME B36.19M / B36.10M</t>
        </is>
      </c>
      <c r="D867" s="12" t="inlineStr">
        <is>
          <t>1-1/4''</t>
        </is>
      </c>
      <c r="E867" s="93" t="n">
        <v>32</v>
      </c>
      <c r="F867" s="12" t="inlineStr">
        <is>
          <t>STD</t>
        </is>
      </c>
      <c r="G867" s="14" t="n">
        <v>1.66</v>
      </c>
      <c r="H867" s="78" t="n">
        <v>42.16</v>
      </c>
      <c r="I867" s="14" t="n">
        <v>0.14</v>
      </c>
      <c r="J867" s="78" t="n">
        <v>3.56</v>
      </c>
      <c r="K867" s="14">
        <f>ROUND((H867-J867)*J867*IF(B867="Carbon Steel",$K$7,IF(B867="Stainless Steel 304",$K$8,$L$8)), 3)</f>
        <v/>
      </c>
      <c r="L867" s="78">
        <f>ROUND(K867*$G$5, 2)</f>
        <v/>
      </c>
      <c r="M867" s="93">
        <f>INT($G$6/H867)</f>
        <v/>
      </c>
      <c r="N867" s="93">
        <f>IF(M867=0, 0, IF(OR($K$6="Square Grid", M867=1), INT($G$7/H867), IF($G$7&lt;H867, 0, 1+INT(($G$7-H867)/(0.8660254*H867)))))</f>
        <v/>
      </c>
      <c r="O867" s="59">
        <f>IF(OR(M867=0,N867=0), 0, IF(OR($K$6="Square Grid", M867=1), M867*N867*$K$5, (INT((N867+1)/2)*M867 + INT(N867/2)*IF(($G$6-M867*H867)&gt;=0.5*H867, M867, M867-1))*$K$5))</f>
        <v/>
      </c>
      <c r="P867" s="59">
        <f>IF(L867&lt;=0, 0, INT($G$8/L867))</f>
        <v/>
      </c>
      <c r="Q867" s="95">
        <f>MIN(O867, P867)</f>
        <v/>
      </c>
      <c r="R867" s="96">
        <f>ROUND((Q867*L867)/1000, 2)</f>
        <v/>
      </c>
      <c r="S867" s="79">
        <f>IF($C$8&gt;0, R867/$C$8, 0)</f>
        <v/>
      </c>
      <c r="T867" s="79">
        <f>IF(O867&gt;0, Q867/O867, 0)</f>
        <v/>
      </c>
      <c r="U867" s="12">
        <f>IF(Q867=0, "Exceeds Limit", IF(P867&lt;=O867, "Weight Limited", "Volume Limited"))</f>
        <v/>
      </c>
      <c r="V867" s="97">
        <f>B867&amp;"|"&amp;D867&amp;"|"&amp;F867</f>
        <v/>
      </c>
    </row>
    <row r="868" ht="19" customHeight="1">
      <c r="A868" s="98" t="n">
        <v>858</v>
      </c>
      <c r="B868" s="102" t="inlineStr">
        <is>
          <t>Stainless Steel 316</t>
        </is>
      </c>
      <c r="C868" s="19" t="inlineStr">
        <is>
          <t>ASME B36.19M / B36.10M</t>
        </is>
      </c>
      <c r="D868" s="18" t="inlineStr">
        <is>
          <t>1-1/4''</t>
        </is>
      </c>
      <c r="E868" s="98" t="n">
        <v>32</v>
      </c>
      <c r="F868" s="18" t="inlineStr">
        <is>
          <t>40</t>
        </is>
      </c>
      <c r="G868" s="20" t="n">
        <v>1.66</v>
      </c>
      <c r="H868" s="82" t="n">
        <v>42.16</v>
      </c>
      <c r="I868" s="20" t="n">
        <v>0.14</v>
      </c>
      <c r="J868" s="82" t="n">
        <v>3.56</v>
      </c>
      <c r="K868" s="20">
        <f>ROUND((H868-J868)*J868*IF(B868="Carbon Steel",$K$7,IF(B868="Stainless Steel 304",$K$8,$L$8)), 3)</f>
        <v/>
      </c>
      <c r="L868" s="82">
        <f>ROUND(K868*$G$5, 2)</f>
        <v/>
      </c>
      <c r="M868" s="98">
        <f>INT($G$6/H868)</f>
        <v/>
      </c>
      <c r="N868" s="98">
        <f>IF(M868=0, 0, IF(OR($K$6="Square Grid", M868=1), INT($G$7/H868), IF($G$7&lt;H868, 0, 1+INT(($G$7-H868)/(0.8660254*H868)))))</f>
        <v/>
      </c>
      <c r="O868" s="84">
        <f>IF(OR(M868=0,N868=0), 0, IF(OR($K$6="Square Grid", M868=1), M868*N868*$K$5, (INT((N868+1)/2)*M868 + INT(N868/2)*IF(($G$6-M868*H868)&gt;=0.5*H868, M868, M868-1))*$K$5))</f>
        <v/>
      </c>
      <c r="P868" s="84">
        <f>IF(L868&lt;=0, 0, INT($G$8/L868))</f>
        <v/>
      </c>
      <c r="Q868" s="95">
        <f>MIN(O868, P868)</f>
        <v/>
      </c>
      <c r="R868" s="96">
        <f>ROUND((Q868*L868)/1000, 2)</f>
        <v/>
      </c>
      <c r="S868" s="85">
        <f>IF($C$8&gt;0, R868/$C$8, 0)</f>
        <v/>
      </c>
      <c r="T868" s="85">
        <f>IF(O868&gt;0, Q868/O868, 0)</f>
        <v/>
      </c>
      <c r="U868" s="18">
        <f>IF(Q868=0, "Exceeds Limit", IF(P868&lt;=O868, "Weight Limited", "Volume Limited"))</f>
        <v/>
      </c>
      <c r="V868" s="100">
        <f>B868&amp;"|"&amp;D868&amp;"|"&amp;F868</f>
        <v/>
      </c>
    </row>
    <row r="869" ht="19" customHeight="1">
      <c r="A869" s="93" t="n">
        <v>859</v>
      </c>
      <c r="B869" s="101" t="inlineStr">
        <is>
          <t>Stainless Steel 316</t>
        </is>
      </c>
      <c r="C869" s="13" t="inlineStr">
        <is>
          <t>ASME B36.19M / B36.10M</t>
        </is>
      </c>
      <c r="D869" s="12" t="inlineStr">
        <is>
          <t>1-1/4''</t>
        </is>
      </c>
      <c r="E869" s="93" t="n">
        <v>32</v>
      </c>
      <c r="F869" s="12" t="inlineStr">
        <is>
          <t>80S</t>
        </is>
      </c>
      <c r="G869" s="14" t="n">
        <v>1.66</v>
      </c>
      <c r="H869" s="78" t="n">
        <v>42.16</v>
      </c>
      <c r="I869" s="14" t="n">
        <v>0.191</v>
      </c>
      <c r="J869" s="78" t="n">
        <v>4.85</v>
      </c>
      <c r="K869" s="14">
        <f>ROUND((H869-J869)*J869*IF(B869="Carbon Steel",$K$7,IF(B869="Stainless Steel 304",$K$8,$L$8)), 3)</f>
        <v/>
      </c>
      <c r="L869" s="78">
        <f>ROUND(K869*$G$5, 2)</f>
        <v/>
      </c>
      <c r="M869" s="93">
        <f>INT($G$6/H869)</f>
        <v/>
      </c>
      <c r="N869" s="93">
        <f>IF(M869=0, 0, IF(OR($K$6="Square Grid", M869=1), INT($G$7/H869), IF($G$7&lt;H869, 0, 1+INT(($G$7-H869)/(0.8660254*H869)))))</f>
        <v/>
      </c>
      <c r="O869" s="59">
        <f>IF(OR(M869=0,N869=0), 0, IF(OR($K$6="Square Grid", M869=1), M869*N869*$K$5, (INT((N869+1)/2)*M869 + INT(N869/2)*IF(($G$6-M869*H869)&gt;=0.5*H869, M869, M869-1))*$K$5))</f>
        <v/>
      </c>
      <c r="P869" s="59">
        <f>IF(L869&lt;=0, 0, INT($G$8/L869))</f>
        <v/>
      </c>
      <c r="Q869" s="95">
        <f>MIN(O869, P869)</f>
        <v/>
      </c>
      <c r="R869" s="96">
        <f>ROUND((Q869*L869)/1000, 2)</f>
        <v/>
      </c>
      <c r="S869" s="79">
        <f>IF($C$8&gt;0, R869/$C$8, 0)</f>
        <v/>
      </c>
      <c r="T869" s="79">
        <f>IF(O869&gt;0, Q869/O869, 0)</f>
        <v/>
      </c>
      <c r="U869" s="12">
        <f>IF(Q869=0, "Exceeds Limit", IF(P869&lt;=O869, "Weight Limited", "Volume Limited"))</f>
        <v/>
      </c>
      <c r="V869" s="97">
        <f>B869&amp;"|"&amp;D869&amp;"|"&amp;F869</f>
        <v/>
      </c>
    </row>
    <row r="870" ht="19" customHeight="1">
      <c r="A870" s="98" t="n">
        <v>860</v>
      </c>
      <c r="B870" s="102" t="inlineStr">
        <is>
          <t>Stainless Steel 316</t>
        </is>
      </c>
      <c r="C870" s="19" t="inlineStr">
        <is>
          <t>ASME B36.19M / B36.10M</t>
        </is>
      </c>
      <c r="D870" s="18" t="inlineStr">
        <is>
          <t>1-1/4''</t>
        </is>
      </c>
      <c r="E870" s="98" t="n">
        <v>32</v>
      </c>
      <c r="F870" s="18" t="inlineStr">
        <is>
          <t>XS</t>
        </is>
      </c>
      <c r="G870" s="20" t="n">
        <v>1.66</v>
      </c>
      <c r="H870" s="82" t="n">
        <v>42.16</v>
      </c>
      <c r="I870" s="20" t="n">
        <v>0.191</v>
      </c>
      <c r="J870" s="82" t="n">
        <v>4.85</v>
      </c>
      <c r="K870" s="20">
        <f>ROUND((H870-J870)*J870*IF(B870="Carbon Steel",$K$7,IF(B870="Stainless Steel 304",$K$8,$L$8)), 3)</f>
        <v/>
      </c>
      <c r="L870" s="82">
        <f>ROUND(K870*$G$5, 2)</f>
        <v/>
      </c>
      <c r="M870" s="98">
        <f>INT($G$6/H870)</f>
        <v/>
      </c>
      <c r="N870" s="98">
        <f>IF(M870=0, 0, IF(OR($K$6="Square Grid", M870=1), INT($G$7/H870), IF($G$7&lt;H870, 0, 1+INT(($G$7-H870)/(0.8660254*H870)))))</f>
        <v/>
      </c>
      <c r="O870" s="84">
        <f>IF(OR(M870=0,N870=0), 0, IF(OR($K$6="Square Grid", M870=1), M870*N870*$K$5, (INT((N870+1)/2)*M870 + INT(N870/2)*IF(($G$6-M870*H870)&gt;=0.5*H870, M870, M870-1))*$K$5))</f>
        <v/>
      </c>
      <c r="P870" s="84">
        <f>IF(L870&lt;=0, 0, INT($G$8/L870))</f>
        <v/>
      </c>
      <c r="Q870" s="95">
        <f>MIN(O870, P870)</f>
        <v/>
      </c>
      <c r="R870" s="96">
        <f>ROUND((Q870*L870)/1000, 2)</f>
        <v/>
      </c>
      <c r="S870" s="85">
        <f>IF($C$8&gt;0, R870/$C$8, 0)</f>
        <v/>
      </c>
      <c r="T870" s="85">
        <f>IF(O870&gt;0, Q870/O870, 0)</f>
        <v/>
      </c>
      <c r="U870" s="18">
        <f>IF(Q870=0, "Exceeds Limit", IF(P870&lt;=O870, "Weight Limited", "Volume Limited"))</f>
        <v/>
      </c>
      <c r="V870" s="100">
        <f>B870&amp;"|"&amp;D870&amp;"|"&amp;F870</f>
        <v/>
      </c>
    </row>
    <row r="871" ht="19" customHeight="1">
      <c r="A871" s="93" t="n">
        <v>861</v>
      </c>
      <c r="B871" s="101" t="inlineStr">
        <is>
          <t>Stainless Steel 316</t>
        </is>
      </c>
      <c r="C871" s="13" t="inlineStr">
        <is>
          <t>ASME B36.19M / B36.10M</t>
        </is>
      </c>
      <c r="D871" s="12" t="inlineStr">
        <is>
          <t>1-1/4''</t>
        </is>
      </c>
      <c r="E871" s="93" t="n">
        <v>32</v>
      </c>
      <c r="F871" s="12" t="inlineStr">
        <is>
          <t>80</t>
        </is>
      </c>
      <c r="G871" s="14" t="n">
        <v>1.66</v>
      </c>
      <c r="H871" s="78" t="n">
        <v>42.16</v>
      </c>
      <c r="I871" s="14" t="n">
        <v>0.191</v>
      </c>
      <c r="J871" s="78" t="n">
        <v>4.85</v>
      </c>
      <c r="K871" s="14">
        <f>ROUND((H871-J871)*J871*IF(B871="Carbon Steel",$K$7,IF(B871="Stainless Steel 304",$K$8,$L$8)), 3)</f>
        <v/>
      </c>
      <c r="L871" s="78">
        <f>ROUND(K871*$G$5, 2)</f>
        <v/>
      </c>
      <c r="M871" s="93">
        <f>INT($G$6/H871)</f>
        <v/>
      </c>
      <c r="N871" s="93">
        <f>IF(M871=0, 0, IF(OR($K$6="Square Grid", M871=1), INT($G$7/H871), IF($G$7&lt;H871, 0, 1+INT(($G$7-H871)/(0.8660254*H871)))))</f>
        <v/>
      </c>
      <c r="O871" s="59">
        <f>IF(OR(M871=0,N871=0), 0, IF(OR($K$6="Square Grid", M871=1), M871*N871*$K$5, (INT((N871+1)/2)*M871 + INT(N871/2)*IF(($G$6-M871*H871)&gt;=0.5*H871, M871, M871-1))*$K$5))</f>
        <v/>
      </c>
      <c r="P871" s="59">
        <f>IF(L871&lt;=0, 0, INT($G$8/L871))</f>
        <v/>
      </c>
      <c r="Q871" s="95">
        <f>MIN(O871, P871)</f>
        <v/>
      </c>
      <c r="R871" s="96">
        <f>ROUND((Q871*L871)/1000, 2)</f>
        <v/>
      </c>
      <c r="S871" s="79">
        <f>IF($C$8&gt;0, R871/$C$8, 0)</f>
        <v/>
      </c>
      <c r="T871" s="79">
        <f>IF(O871&gt;0, Q871/O871, 0)</f>
        <v/>
      </c>
      <c r="U871" s="12">
        <f>IF(Q871=0, "Exceeds Limit", IF(P871&lt;=O871, "Weight Limited", "Volume Limited"))</f>
        <v/>
      </c>
      <c r="V871" s="97">
        <f>B871&amp;"|"&amp;D871&amp;"|"&amp;F871</f>
        <v/>
      </c>
    </row>
    <row r="872" ht="19" customHeight="1">
      <c r="A872" s="98" t="n">
        <v>862</v>
      </c>
      <c r="B872" s="102" t="inlineStr">
        <is>
          <t>Stainless Steel 316</t>
        </is>
      </c>
      <c r="C872" s="19" t="inlineStr">
        <is>
          <t>ASME B36.19M / B36.10M</t>
        </is>
      </c>
      <c r="D872" s="18" t="inlineStr">
        <is>
          <t>1-1/4''</t>
        </is>
      </c>
      <c r="E872" s="98" t="n">
        <v>32</v>
      </c>
      <c r="F872" s="18" t="inlineStr">
        <is>
          <t>160</t>
        </is>
      </c>
      <c r="G872" s="20" t="n">
        <v>1.66</v>
      </c>
      <c r="H872" s="82" t="n">
        <v>42.16</v>
      </c>
      <c r="I872" s="20" t="n">
        <v>0.25</v>
      </c>
      <c r="J872" s="82" t="n">
        <v>6.35</v>
      </c>
      <c r="K872" s="20">
        <f>ROUND((H872-J872)*J872*IF(B872="Carbon Steel",$K$7,IF(B872="Stainless Steel 304",$K$8,$L$8)), 3)</f>
        <v/>
      </c>
      <c r="L872" s="82">
        <f>ROUND(K872*$G$5, 2)</f>
        <v/>
      </c>
      <c r="M872" s="98">
        <f>INT($G$6/H872)</f>
        <v/>
      </c>
      <c r="N872" s="98">
        <f>IF(M872=0, 0, IF(OR($K$6="Square Grid", M872=1), INT($G$7/H872), IF($G$7&lt;H872, 0, 1+INT(($G$7-H872)/(0.8660254*H872)))))</f>
        <v/>
      </c>
      <c r="O872" s="84">
        <f>IF(OR(M872=0,N872=0), 0, IF(OR($K$6="Square Grid", M872=1), M872*N872*$K$5, (INT((N872+1)/2)*M872 + INT(N872/2)*IF(($G$6-M872*H872)&gt;=0.5*H872, M872, M872-1))*$K$5))</f>
        <v/>
      </c>
      <c r="P872" s="84">
        <f>IF(L872&lt;=0, 0, INT($G$8/L872))</f>
        <v/>
      </c>
      <c r="Q872" s="95">
        <f>MIN(O872, P872)</f>
        <v/>
      </c>
      <c r="R872" s="96">
        <f>ROUND((Q872*L872)/1000, 2)</f>
        <v/>
      </c>
      <c r="S872" s="85">
        <f>IF($C$8&gt;0, R872/$C$8, 0)</f>
        <v/>
      </c>
      <c r="T872" s="85">
        <f>IF(O872&gt;0, Q872/O872, 0)</f>
        <v/>
      </c>
      <c r="U872" s="18">
        <f>IF(Q872=0, "Exceeds Limit", IF(P872&lt;=O872, "Weight Limited", "Volume Limited"))</f>
        <v/>
      </c>
      <c r="V872" s="100">
        <f>B872&amp;"|"&amp;D872&amp;"|"&amp;F872</f>
        <v/>
      </c>
    </row>
    <row r="873" ht="19" customHeight="1">
      <c r="A873" s="93" t="n">
        <v>863</v>
      </c>
      <c r="B873" s="101" t="inlineStr">
        <is>
          <t>Stainless Steel 316</t>
        </is>
      </c>
      <c r="C873" s="13" t="inlineStr">
        <is>
          <t>ASME B36.19M / B36.10M</t>
        </is>
      </c>
      <c r="D873" s="12" t="inlineStr">
        <is>
          <t>1-1/4''</t>
        </is>
      </c>
      <c r="E873" s="93" t="n">
        <v>32</v>
      </c>
      <c r="F873" s="12" t="inlineStr">
        <is>
          <t>XXS</t>
        </is>
      </c>
      <c r="G873" s="14" t="n">
        <v>1.66</v>
      </c>
      <c r="H873" s="78" t="n">
        <v>42.16</v>
      </c>
      <c r="I873" s="14" t="n">
        <v>0.382</v>
      </c>
      <c r="J873" s="78" t="n">
        <v>9.699999999999999</v>
      </c>
      <c r="K873" s="14">
        <f>ROUND((H873-J873)*J873*IF(B873="Carbon Steel",$K$7,IF(B873="Stainless Steel 304",$K$8,$L$8)), 3)</f>
        <v/>
      </c>
      <c r="L873" s="78">
        <f>ROUND(K873*$G$5, 2)</f>
        <v/>
      </c>
      <c r="M873" s="93">
        <f>INT($G$6/H873)</f>
        <v/>
      </c>
      <c r="N873" s="93">
        <f>IF(M873=0, 0, IF(OR($K$6="Square Grid", M873=1), INT($G$7/H873), IF($G$7&lt;H873, 0, 1+INT(($G$7-H873)/(0.8660254*H873)))))</f>
        <v/>
      </c>
      <c r="O873" s="59">
        <f>IF(OR(M873=0,N873=0), 0, IF(OR($K$6="Square Grid", M873=1), M873*N873*$K$5, (INT((N873+1)/2)*M873 + INT(N873/2)*IF(($G$6-M873*H873)&gt;=0.5*H873, M873, M873-1))*$K$5))</f>
        <v/>
      </c>
      <c r="P873" s="59">
        <f>IF(L873&lt;=0, 0, INT($G$8/L873))</f>
        <v/>
      </c>
      <c r="Q873" s="95">
        <f>MIN(O873, P873)</f>
        <v/>
      </c>
      <c r="R873" s="96">
        <f>ROUND((Q873*L873)/1000, 2)</f>
        <v/>
      </c>
      <c r="S873" s="79">
        <f>IF($C$8&gt;0, R873/$C$8, 0)</f>
        <v/>
      </c>
      <c r="T873" s="79">
        <f>IF(O873&gt;0, Q873/O873, 0)</f>
        <v/>
      </c>
      <c r="U873" s="12">
        <f>IF(Q873=0, "Exceeds Limit", IF(P873&lt;=O873, "Weight Limited", "Volume Limited"))</f>
        <v/>
      </c>
      <c r="V873" s="97">
        <f>B873&amp;"|"&amp;D873&amp;"|"&amp;F873</f>
        <v/>
      </c>
    </row>
    <row r="874" ht="19" customHeight="1">
      <c r="A874" s="98" t="n">
        <v>864</v>
      </c>
      <c r="B874" s="102" t="inlineStr">
        <is>
          <t>Stainless Steel 316</t>
        </is>
      </c>
      <c r="C874" s="19" t="inlineStr">
        <is>
          <t>ASME B36.19M / B36.10M</t>
        </is>
      </c>
      <c r="D874" s="18" t="inlineStr">
        <is>
          <t>1-1/2''</t>
        </is>
      </c>
      <c r="E874" s="98" t="n">
        <v>40</v>
      </c>
      <c r="F874" s="18" t="inlineStr">
        <is>
          <t>5S</t>
        </is>
      </c>
      <c r="G874" s="20" t="n">
        <v>1.9</v>
      </c>
      <c r="H874" s="82" t="n">
        <v>48.26</v>
      </c>
      <c r="I874" s="20" t="n">
        <v>0.065</v>
      </c>
      <c r="J874" s="82" t="n">
        <v>1.65</v>
      </c>
      <c r="K874" s="20">
        <f>ROUND((H874-J874)*J874*IF(B874="Carbon Steel",$K$7,IF(B874="Stainless Steel 304",$K$8,$L$8)), 3)</f>
        <v/>
      </c>
      <c r="L874" s="82">
        <f>ROUND(K874*$G$5, 2)</f>
        <v/>
      </c>
      <c r="M874" s="98">
        <f>INT($G$6/H874)</f>
        <v/>
      </c>
      <c r="N874" s="98">
        <f>IF(M874=0, 0, IF(OR($K$6="Square Grid", M874=1), INT($G$7/H874), IF($G$7&lt;H874, 0, 1+INT(($G$7-H874)/(0.8660254*H874)))))</f>
        <v/>
      </c>
      <c r="O874" s="84">
        <f>IF(OR(M874=0,N874=0), 0, IF(OR($K$6="Square Grid", M874=1), M874*N874*$K$5, (INT((N874+1)/2)*M874 + INT(N874/2)*IF(($G$6-M874*H874)&gt;=0.5*H874, M874, M874-1))*$K$5))</f>
        <v/>
      </c>
      <c r="P874" s="84">
        <f>IF(L874&lt;=0, 0, INT($G$8/L874))</f>
        <v/>
      </c>
      <c r="Q874" s="95">
        <f>MIN(O874, P874)</f>
        <v/>
      </c>
      <c r="R874" s="96">
        <f>ROUND((Q874*L874)/1000, 2)</f>
        <v/>
      </c>
      <c r="S874" s="85">
        <f>IF($C$8&gt;0, R874/$C$8, 0)</f>
        <v/>
      </c>
      <c r="T874" s="85">
        <f>IF(O874&gt;0, Q874/O874, 0)</f>
        <v/>
      </c>
      <c r="U874" s="18">
        <f>IF(Q874=0, "Exceeds Limit", IF(P874&lt;=O874, "Weight Limited", "Volume Limited"))</f>
        <v/>
      </c>
      <c r="V874" s="100">
        <f>B874&amp;"|"&amp;D874&amp;"|"&amp;F874</f>
        <v/>
      </c>
    </row>
    <row r="875" ht="19" customHeight="1">
      <c r="A875" s="93" t="n">
        <v>865</v>
      </c>
      <c r="B875" s="101" t="inlineStr">
        <is>
          <t>Stainless Steel 316</t>
        </is>
      </c>
      <c r="C875" s="13" t="inlineStr">
        <is>
          <t>ASME B36.19M / B36.10M</t>
        </is>
      </c>
      <c r="D875" s="12" t="inlineStr">
        <is>
          <t>1-1/2''</t>
        </is>
      </c>
      <c r="E875" s="93" t="n">
        <v>40</v>
      </c>
      <c r="F875" s="12" t="inlineStr">
        <is>
          <t>5</t>
        </is>
      </c>
      <c r="G875" s="14" t="n">
        <v>1.9</v>
      </c>
      <c r="H875" s="78" t="n">
        <v>48.26</v>
      </c>
      <c r="I875" s="14" t="n">
        <v>0.065</v>
      </c>
      <c r="J875" s="78" t="n">
        <v>1.65</v>
      </c>
      <c r="K875" s="14">
        <f>ROUND((H875-J875)*J875*IF(B875="Carbon Steel",$K$7,IF(B875="Stainless Steel 304",$K$8,$L$8)), 3)</f>
        <v/>
      </c>
      <c r="L875" s="78">
        <f>ROUND(K875*$G$5, 2)</f>
        <v/>
      </c>
      <c r="M875" s="93">
        <f>INT($G$6/H875)</f>
        <v/>
      </c>
      <c r="N875" s="93">
        <f>IF(M875=0, 0, IF(OR($K$6="Square Grid", M875=1), INT($G$7/H875), IF($G$7&lt;H875, 0, 1+INT(($G$7-H875)/(0.8660254*H875)))))</f>
        <v/>
      </c>
      <c r="O875" s="59">
        <f>IF(OR(M875=0,N875=0), 0, IF(OR($K$6="Square Grid", M875=1), M875*N875*$K$5, (INT((N875+1)/2)*M875 + INT(N875/2)*IF(($G$6-M875*H875)&gt;=0.5*H875, M875, M875-1))*$K$5))</f>
        <v/>
      </c>
      <c r="P875" s="59">
        <f>IF(L875&lt;=0, 0, INT($G$8/L875))</f>
        <v/>
      </c>
      <c r="Q875" s="95">
        <f>MIN(O875, P875)</f>
        <v/>
      </c>
      <c r="R875" s="96">
        <f>ROUND((Q875*L875)/1000, 2)</f>
        <v/>
      </c>
      <c r="S875" s="79">
        <f>IF($C$8&gt;0, R875/$C$8, 0)</f>
        <v/>
      </c>
      <c r="T875" s="79">
        <f>IF(O875&gt;0, Q875/O875, 0)</f>
        <v/>
      </c>
      <c r="U875" s="12">
        <f>IF(Q875=0, "Exceeds Limit", IF(P875&lt;=O875, "Weight Limited", "Volume Limited"))</f>
        <v/>
      </c>
      <c r="V875" s="97">
        <f>B875&amp;"|"&amp;D875&amp;"|"&amp;F875</f>
        <v/>
      </c>
    </row>
    <row r="876" ht="19" customHeight="1">
      <c r="A876" s="98" t="n">
        <v>866</v>
      </c>
      <c r="B876" s="102" t="inlineStr">
        <is>
          <t>Stainless Steel 316</t>
        </is>
      </c>
      <c r="C876" s="19" t="inlineStr">
        <is>
          <t>ASME B36.19M / B36.10M</t>
        </is>
      </c>
      <c r="D876" s="18" t="inlineStr">
        <is>
          <t>1-1/2''</t>
        </is>
      </c>
      <c r="E876" s="98" t="n">
        <v>40</v>
      </c>
      <c r="F876" s="18" t="inlineStr">
        <is>
          <t>10S</t>
        </is>
      </c>
      <c r="G876" s="20" t="n">
        <v>1.9</v>
      </c>
      <c r="H876" s="82" t="n">
        <v>48.26</v>
      </c>
      <c r="I876" s="20" t="n">
        <v>0.109</v>
      </c>
      <c r="J876" s="82" t="n">
        <v>2.77</v>
      </c>
      <c r="K876" s="20">
        <f>ROUND((H876-J876)*J876*IF(B876="Carbon Steel",$K$7,IF(B876="Stainless Steel 304",$K$8,$L$8)), 3)</f>
        <v/>
      </c>
      <c r="L876" s="82">
        <f>ROUND(K876*$G$5, 2)</f>
        <v/>
      </c>
      <c r="M876" s="98">
        <f>INT($G$6/H876)</f>
        <v/>
      </c>
      <c r="N876" s="98">
        <f>IF(M876=0, 0, IF(OR($K$6="Square Grid", M876=1), INT($G$7/H876), IF($G$7&lt;H876, 0, 1+INT(($G$7-H876)/(0.8660254*H876)))))</f>
        <v/>
      </c>
      <c r="O876" s="84">
        <f>IF(OR(M876=0,N876=0), 0, IF(OR($K$6="Square Grid", M876=1), M876*N876*$K$5, (INT((N876+1)/2)*M876 + INT(N876/2)*IF(($G$6-M876*H876)&gt;=0.5*H876, M876, M876-1))*$K$5))</f>
        <v/>
      </c>
      <c r="P876" s="84">
        <f>IF(L876&lt;=0, 0, INT($G$8/L876))</f>
        <v/>
      </c>
      <c r="Q876" s="95">
        <f>MIN(O876, P876)</f>
        <v/>
      </c>
      <c r="R876" s="96">
        <f>ROUND((Q876*L876)/1000, 2)</f>
        <v/>
      </c>
      <c r="S876" s="85">
        <f>IF($C$8&gt;0, R876/$C$8, 0)</f>
        <v/>
      </c>
      <c r="T876" s="85">
        <f>IF(O876&gt;0, Q876/O876, 0)</f>
        <v/>
      </c>
      <c r="U876" s="18">
        <f>IF(Q876=0, "Exceeds Limit", IF(P876&lt;=O876, "Weight Limited", "Volume Limited"))</f>
        <v/>
      </c>
      <c r="V876" s="100">
        <f>B876&amp;"|"&amp;D876&amp;"|"&amp;F876</f>
        <v/>
      </c>
    </row>
    <row r="877" ht="19" customHeight="1">
      <c r="A877" s="93" t="n">
        <v>867</v>
      </c>
      <c r="B877" s="101" t="inlineStr">
        <is>
          <t>Stainless Steel 316</t>
        </is>
      </c>
      <c r="C877" s="13" t="inlineStr">
        <is>
          <t>ASME B36.19M / B36.10M</t>
        </is>
      </c>
      <c r="D877" s="12" t="inlineStr">
        <is>
          <t>1-1/2''</t>
        </is>
      </c>
      <c r="E877" s="93" t="n">
        <v>40</v>
      </c>
      <c r="F877" s="12" t="inlineStr">
        <is>
          <t>10</t>
        </is>
      </c>
      <c r="G877" s="14" t="n">
        <v>1.9</v>
      </c>
      <c r="H877" s="78" t="n">
        <v>48.26</v>
      </c>
      <c r="I877" s="14" t="n">
        <v>0.109</v>
      </c>
      <c r="J877" s="78" t="n">
        <v>2.77</v>
      </c>
      <c r="K877" s="14">
        <f>ROUND((H877-J877)*J877*IF(B877="Carbon Steel",$K$7,IF(B877="Stainless Steel 304",$K$8,$L$8)), 3)</f>
        <v/>
      </c>
      <c r="L877" s="78">
        <f>ROUND(K877*$G$5, 2)</f>
        <v/>
      </c>
      <c r="M877" s="93">
        <f>INT($G$6/H877)</f>
        <v/>
      </c>
      <c r="N877" s="93">
        <f>IF(M877=0, 0, IF(OR($K$6="Square Grid", M877=1), INT($G$7/H877), IF($G$7&lt;H877, 0, 1+INT(($G$7-H877)/(0.8660254*H877)))))</f>
        <v/>
      </c>
      <c r="O877" s="59">
        <f>IF(OR(M877=0,N877=0), 0, IF(OR($K$6="Square Grid", M877=1), M877*N877*$K$5, (INT((N877+1)/2)*M877 + INT(N877/2)*IF(($G$6-M877*H877)&gt;=0.5*H877, M877, M877-1))*$K$5))</f>
        <v/>
      </c>
      <c r="P877" s="59">
        <f>IF(L877&lt;=0, 0, INT($G$8/L877))</f>
        <v/>
      </c>
      <c r="Q877" s="95">
        <f>MIN(O877, P877)</f>
        <v/>
      </c>
      <c r="R877" s="96">
        <f>ROUND((Q877*L877)/1000, 2)</f>
        <v/>
      </c>
      <c r="S877" s="79">
        <f>IF($C$8&gt;0, R877/$C$8, 0)</f>
        <v/>
      </c>
      <c r="T877" s="79">
        <f>IF(O877&gt;0, Q877/O877, 0)</f>
        <v/>
      </c>
      <c r="U877" s="12">
        <f>IF(Q877=0, "Exceeds Limit", IF(P877&lt;=O877, "Weight Limited", "Volume Limited"))</f>
        <v/>
      </c>
      <c r="V877" s="97">
        <f>B877&amp;"|"&amp;D877&amp;"|"&amp;F877</f>
        <v/>
      </c>
    </row>
    <row r="878" ht="19" customHeight="1">
      <c r="A878" s="98" t="n">
        <v>868</v>
      </c>
      <c r="B878" s="102" t="inlineStr">
        <is>
          <t>Stainless Steel 316</t>
        </is>
      </c>
      <c r="C878" s="19" t="inlineStr">
        <is>
          <t>ASME B36.19M / B36.10M</t>
        </is>
      </c>
      <c r="D878" s="18" t="inlineStr">
        <is>
          <t>1-1/2''</t>
        </is>
      </c>
      <c r="E878" s="98" t="n">
        <v>40</v>
      </c>
      <c r="F878" s="18" t="inlineStr">
        <is>
          <t>30</t>
        </is>
      </c>
      <c r="G878" s="20" t="n">
        <v>1.9</v>
      </c>
      <c r="H878" s="82" t="n">
        <v>48.26</v>
      </c>
      <c r="I878" s="20" t="n">
        <v>0.125</v>
      </c>
      <c r="J878" s="82" t="n">
        <v>3.17</v>
      </c>
      <c r="K878" s="20">
        <f>ROUND((H878-J878)*J878*IF(B878="Carbon Steel",$K$7,IF(B878="Stainless Steel 304",$K$8,$L$8)), 3)</f>
        <v/>
      </c>
      <c r="L878" s="82">
        <f>ROUND(K878*$G$5, 2)</f>
        <v/>
      </c>
      <c r="M878" s="98">
        <f>INT($G$6/H878)</f>
        <v/>
      </c>
      <c r="N878" s="98">
        <f>IF(M878=0, 0, IF(OR($K$6="Square Grid", M878=1), INT($G$7/H878), IF($G$7&lt;H878, 0, 1+INT(($G$7-H878)/(0.8660254*H878)))))</f>
        <v/>
      </c>
      <c r="O878" s="84">
        <f>IF(OR(M878=0,N878=0), 0, IF(OR($K$6="Square Grid", M878=1), M878*N878*$K$5, (INT((N878+1)/2)*M878 + INT(N878/2)*IF(($G$6-M878*H878)&gt;=0.5*H878, M878, M878-1))*$K$5))</f>
        <v/>
      </c>
      <c r="P878" s="84">
        <f>IF(L878&lt;=0, 0, INT($G$8/L878))</f>
        <v/>
      </c>
      <c r="Q878" s="95">
        <f>MIN(O878, P878)</f>
        <v/>
      </c>
      <c r="R878" s="96">
        <f>ROUND((Q878*L878)/1000, 2)</f>
        <v/>
      </c>
      <c r="S878" s="85">
        <f>IF($C$8&gt;0, R878/$C$8, 0)</f>
        <v/>
      </c>
      <c r="T878" s="85">
        <f>IF(O878&gt;0, Q878/O878, 0)</f>
        <v/>
      </c>
      <c r="U878" s="18">
        <f>IF(Q878=0, "Exceeds Limit", IF(P878&lt;=O878, "Weight Limited", "Volume Limited"))</f>
        <v/>
      </c>
      <c r="V878" s="100">
        <f>B878&amp;"|"&amp;D878&amp;"|"&amp;F878</f>
        <v/>
      </c>
    </row>
    <row r="879" ht="19" customHeight="1">
      <c r="A879" s="93" t="n">
        <v>869</v>
      </c>
      <c r="B879" s="101" t="inlineStr">
        <is>
          <t>Stainless Steel 316</t>
        </is>
      </c>
      <c r="C879" s="13" t="inlineStr">
        <is>
          <t>ASME B36.19M / B36.10M</t>
        </is>
      </c>
      <c r="D879" s="12" t="inlineStr">
        <is>
          <t>1-1/2''</t>
        </is>
      </c>
      <c r="E879" s="93" t="n">
        <v>40</v>
      </c>
      <c r="F879" s="12" t="inlineStr">
        <is>
          <t>40S</t>
        </is>
      </c>
      <c r="G879" s="14" t="n">
        <v>1.9</v>
      </c>
      <c r="H879" s="78" t="n">
        <v>48.26</v>
      </c>
      <c r="I879" s="14" t="n">
        <v>0.145</v>
      </c>
      <c r="J879" s="78" t="n">
        <v>3.68</v>
      </c>
      <c r="K879" s="14">
        <f>ROUND((H879-J879)*J879*IF(B879="Carbon Steel",$K$7,IF(B879="Stainless Steel 304",$K$8,$L$8)), 3)</f>
        <v/>
      </c>
      <c r="L879" s="78">
        <f>ROUND(K879*$G$5, 2)</f>
        <v/>
      </c>
      <c r="M879" s="93">
        <f>INT($G$6/H879)</f>
        <v/>
      </c>
      <c r="N879" s="93">
        <f>IF(M879=0, 0, IF(OR($K$6="Square Grid", M879=1), INT($G$7/H879), IF($G$7&lt;H879, 0, 1+INT(($G$7-H879)/(0.8660254*H879)))))</f>
        <v/>
      </c>
      <c r="O879" s="59">
        <f>IF(OR(M879=0,N879=0), 0, IF(OR($K$6="Square Grid", M879=1), M879*N879*$K$5, (INT((N879+1)/2)*M879 + INT(N879/2)*IF(($G$6-M879*H879)&gt;=0.5*H879, M879, M879-1))*$K$5))</f>
        <v/>
      </c>
      <c r="P879" s="59">
        <f>IF(L879&lt;=0, 0, INT($G$8/L879))</f>
        <v/>
      </c>
      <c r="Q879" s="95">
        <f>MIN(O879, P879)</f>
        <v/>
      </c>
      <c r="R879" s="96">
        <f>ROUND((Q879*L879)/1000, 2)</f>
        <v/>
      </c>
      <c r="S879" s="79">
        <f>IF($C$8&gt;0, R879/$C$8, 0)</f>
        <v/>
      </c>
      <c r="T879" s="79">
        <f>IF(O879&gt;0, Q879/O879, 0)</f>
        <v/>
      </c>
      <c r="U879" s="12">
        <f>IF(Q879=0, "Exceeds Limit", IF(P879&lt;=O879, "Weight Limited", "Volume Limited"))</f>
        <v/>
      </c>
      <c r="V879" s="97">
        <f>B879&amp;"|"&amp;D879&amp;"|"&amp;F879</f>
        <v/>
      </c>
    </row>
    <row r="880" ht="19" customHeight="1">
      <c r="A880" s="98" t="n">
        <v>870</v>
      </c>
      <c r="B880" s="102" t="inlineStr">
        <is>
          <t>Stainless Steel 316</t>
        </is>
      </c>
      <c r="C880" s="19" t="inlineStr">
        <is>
          <t>ASME B36.19M / B36.10M</t>
        </is>
      </c>
      <c r="D880" s="18" t="inlineStr">
        <is>
          <t>1-1/2''</t>
        </is>
      </c>
      <c r="E880" s="98" t="n">
        <v>40</v>
      </c>
      <c r="F880" s="18" t="inlineStr">
        <is>
          <t>STD</t>
        </is>
      </c>
      <c r="G880" s="20" t="n">
        <v>1.9</v>
      </c>
      <c r="H880" s="82" t="n">
        <v>48.26</v>
      </c>
      <c r="I880" s="20" t="n">
        <v>0.145</v>
      </c>
      <c r="J880" s="82" t="n">
        <v>3.68</v>
      </c>
      <c r="K880" s="20">
        <f>ROUND((H880-J880)*J880*IF(B880="Carbon Steel",$K$7,IF(B880="Stainless Steel 304",$K$8,$L$8)), 3)</f>
        <v/>
      </c>
      <c r="L880" s="82">
        <f>ROUND(K880*$G$5, 2)</f>
        <v/>
      </c>
      <c r="M880" s="98">
        <f>INT($G$6/H880)</f>
        <v/>
      </c>
      <c r="N880" s="98">
        <f>IF(M880=0, 0, IF(OR($K$6="Square Grid", M880=1), INT($G$7/H880), IF($G$7&lt;H880, 0, 1+INT(($G$7-H880)/(0.8660254*H880)))))</f>
        <v/>
      </c>
      <c r="O880" s="84">
        <f>IF(OR(M880=0,N880=0), 0, IF(OR($K$6="Square Grid", M880=1), M880*N880*$K$5, (INT((N880+1)/2)*M880 + INT(N880/2)*IF(($G$6-M880*H880)&gt;=0.5*H880, M880, M880-1))*$K$5))</f>
        <v/>
      </c>
      <c r="P880" s="84">
        <f>IF(L880&lt;=0, 0, INT($G$8/L880))</f>
        <v/>
      </c>
      <c r="Q880" s="95">
        <f>MIN(O880, P880)</f>
        <v/>
      </c>
      <c r="R880" s="96">
        <f>ROUND((Q880*L880)/1000, 2)</f>
        <v/>
      </c>
      <c r="S880" s="85">
        <f>IF($C$8&gt;0, R880/$C$8, 0)</f>
        <v/>
      </c>
      <c r="T880" s="85">
        <f>IF(O880&gt;0, Q880/O880, 0)</f>
        <v/>
      </c>
      <c r="U880" s="18">
        <f>IF(Q880=0, "Exceeds Limit", IF(P880&lt;=O880, "Weight Limited", "Volume Limited"))</f>
        <v/>
      </c>
      <c r="V880" s="100">
        <f>B880&amp;"|"&amp;D880&amp;"|"&amp;F880</f>
        <v/>
      </c>
    </row>
    <row r="881" ht="19" customHeight="1">
      <c r="A881" s="93" t="n">
        <v>871</v>
      </c>
      <c r="B881" s="101" t="inlineStr">
        <is>
          <t>Stainless Steel 316</t>
        </is>
      </c>
      <c r="C881" s="13" t="inlineStr">
        <is>
          <t>ASME B36.19M / B36.10M</t>
        </is>
      </c>
      <c r="D881" s="12" t="inlineStr">
        <is>
          <t>1-1/2''</t>
        </is>
      </c>
      <c r="E881" s="93" t="n">
        <v>40</v>
      </c>
      <c r="F881" s="12" t="inlineStr">
        <is>
          <t>40</t>
        </is>
      </c>
      <c r="G881" s="14" t="n">
        <v>1.9</v>
      </c>
      <c r="H881" s="78" t="n">
        <v>48.26</v>
      </c>
      <c r="I881" s="14" t="n">
        <v>0.145</v>
      </c>
      <c r="J881" s="78" t="n">
        <v>3.68</v>
      </c>
      <c r="K881" s="14">
        <f>ROUND((H881-J881)*J881*IF(B881="Carbon Steel",$K$7,IF(B881="Stainless Steel 304",$K$8,$L$8)), 3)</f>
        <v/>
      </c>
      <c r="L881" s="78">
        <f>ROUND(K881*$G$5, 2)</f>
        <v/>
      </c>
      <c r="M881" s="93">
        <f>INT($G$6/H881)</f>
        <v/>
      </c>
      <c r="N881" s="93">
        <f>IF(M881=0, 0, IF(OR($K$6="Square Grid", M881=1), INT($G$7/H881), IF($G$7&lt;H881, 0, 1+INT(($G$7-H881)/(0.8660254*H881)))))</f>
        <v/>
      </c>
      <c r="O881" s="59">
        <f>IF(OR(M881=0,N881=0), 0, IF(OR($K$6="Square Grid", M881=1), M881*N881*$K$5, (INT((N881+1)/2)*M881 + INT(N881/2)*IF(($G$6-M881*H881)&gt;=0.5*H881, M881, M881-1))*$K$5))</f>
        <v/>
      </c>
      <c r="P881" s="59">
        <f>IF(L881&lt;=0, 0, INT($G$8/L881))</f>
        <v/>
      </c>
      <c r="Q881" s="95">
        <f>MIN(O881, P881)</f>
        <v/>
      </c>
      <c r="R881" s="96">
        <f>ROUND((Q881*L881)/1000, 2)</f>
        <v/>
      </c>
      <c r="S881" s="79">
        <f>IF($C$8&gt;0, R881/$C$8, 0)</f>
        <v/>
      </c>
      <c r="T881" s="79">
        <f>IF(O881&gt;0, Q881/O881, 0)</f>
        <v/>
      </c>
      <c r="U881" s="12">
        <f>IF(Q881=0, "Exceeds Limit", IF(P881&lt;=O881, "Weight Limited", "Volume Limited"))</f>
        <v/>
      </c>
      <c r="V881" s="97">
        <f>B881&amp;"|"&amp;D881&amp;"|"&amp;F881</f>
        <v/>
      </c>
    </row>
    <row r="882" ht="19" customHeight="1">
      <c r="A882" s="98" t="n">
        <v>872</v>
      </c>
      <c r="B882" s="102" t="inlineStr">
        <is>
          <t>Stainless Steel 316</t>
        </is>
      </c>
      <c r="C882" s="19" t="inlineStr">
        <is>
          <t>ASME B36.19M / B36.10M</t>
        </is>
      </c>
      <c r="D882" s="18" t="inlineStr">
        <is>
          <t>1-1/2''</t>
        </is>
      </c>
      <c r="E882" s="98" t="n">
        <v>40</v>
      </c>
      <c r="F882" s="18" t="inlineStr">
        <is>
          <t>80S</t>
        </is>
      </c>
      <c r="G882" s="20" t="n">
        <v>1.9</v>
      </c>
      <c r="H882" s="82" t="n">
        <v>48.26</v>
      </c>
      <c r="I882" s="20" t="n">
        <v>0.2</v>
      </c>
      <c r="J882" s="82" t="n">
        <v>5.08</v>
      </c>
      <c r="K882" s="20">
        <f>ROUND((H882-J882)*J882*IF(B882="Carbon Steel",$K$7,IF(B882="Stainless Steel 304",$K$8,$L$8)), 3)</f>
        <v/>
      </c>
      <c r="L882" s="82">
        <f>ROUND(K882*$G$5, 2)</f>
        <v/>
      </c>
      <c r="M882" s="98">
        <f>INT($G$6/H882)</f>
        <v/>
      </c>
      <c r="N882" s="98">
        <f>IF(M882=0, 0, IF(OR($K$6="Square Grid", M882=1), INT($G$7/H882), IF($G$7&lt;H882, 0, 1+INT(($G$7-H882)/(0.8660254*H882)))))</f>
        <v/>
      </c>
      <c r="O882" s="84">
        <f>IF(OR(M882=0,N882=0), 0, IF(OR($K$6="Square Grid", M882=1), M882*N882*$K$5, (INT((N882+1)/2)*M882 + INT(N882/2)*IF(($G$6-M882*H882)&gt;=0.5*H882, M882, M882-1))*$K$5))</f>
        <v/>
      </c>
      <c r="P882" s="84">
        <f>IF(L882&lt;=0, 0, INT($G$8/L882))</f>
        <v/>
      </c>
      <c r="Q882" s="95">
        <f>MIN(O882, P882)</f>
        <v/>
      </c>
      <c r="R882" s="96">
        <f>ROUND((Q882*L882)/1000, 2)</f>
        <v/>
      </c>
      <c r="S882" s="85">
        <f>IF($C$8&gt;0, R882/$C$8, 0)</f>
        <v/>
      </c>
      <c r="T882" s="85">
        <f>IF(O882&gt;0, Q882/O882, 0)</f>
        <v/>
      </c>
      <c r="U882" s="18">
        <f>IF(Q882=0, "Exceeds Limit", IF(P882&lt;=O882, "Weight Limited", "Volume Limited"))</f>
        <v/>
      </c>
      <c r="V882" s="100">
        <f>B882&amp;"|"&amp;D882&amp;"|"&amp;F882</f>
        <v/>
      </c>
    </row>
    <row r="883" ht="19" customHeight="1">
      <c r="A883" s="93" t="n">
        <v>873</v>
      </c>
      <c r="B883" s="101" t="inlineStr">
        <is>
          <t>Stainless Steel 316</t>
        </is>
      </c>
      <c r="C883" s="13" t="inlineStr">
        <is>
          <t>ASME B36.19M / B36.10M</t>
        </is>
      </c>
      <c r="D883" s="12" t="inlineStr">
        <is>
          <t>1-1/2''</t>
        </is>
      </c>
      <c r="E883" s="93" t="n">
        <v>40</v>
      </c>
      <c r="F883" s="12" t="inlineStr">
        <is>
          <t>XS</t>
        </is>
      </c>
      <c r="G883" s="14" t="n">
        <v>1.9</v>
      </c>
      <c r="H883" s="78" t="n">
        <v>48.26</v>
      </c>
      <c r="I883" s="14" t="n">
        <v>0.2</v>
      </c>
      <c r="J883" s="78" t="n">
        <v>5.08</v>
      </c>
      <c r="K883" s="14">
        <f>ROUND((H883-J883)*J883*IF(B883="Carbon Steel",$K$7,IF(B883="Stainless Steel 304",$K$8,$L$8)), 3)</f>
        <v/>
      </c>
      <c r="L883" s="78">
        <f>ROUND(K883*$G$5, 2)</f>
        <v/>
      </c>
      <c r="M883" s="93">
        <f>INT($G$6/H883)</f>
        <v/>
      </c>
      <c r="N883" s="93">
        <f>IF(M883=0, 0, IF(OR($K$6="Square Grid", M883=1), INT($G$7/H883), IF($G$7&lt;H883, 0, 1+INT(($G$7-H883)/(0.8660254*H883)))))</f>
        <v/>
      </c>
      <c r="O883" s="59">
        <f>IF(OR(M883=0,N883=0), 0, IF(OR($K$6="Square Grid", M883=1), M883*N883*$K$5, (INT((N883+1)/2)*M883 + INT(N883/2)*IF(($G$6-M883*H883)&gt;=0.5*H883, M883, M883-1))*$K$5))</f>
        <v/>
      </c>
      <c r="P883" s="59">
        <f>IF(L883&lt;=0, 0, INT($G$8/L883))</f>
        <v/>
      </c>
      <c r="Q883" s="95">
        <f>MIN(O883, P883)</f>
        <v/>
      </c>
      <c r="R883" s="96">
        <f>ROUND((Q883*L883)/1000, 2)</f>
        <v/>
      </c>
      <c r="S883" s="79">
        <f>IF($C$8&gt;0, R883/$C$8, 0)</f>
        <v/>
      </c>
      <c r="T883" s="79">
        <f>IF(O883&gt;0, Q883/O883, 0)</f>
        <v/>
      </c>
      <c r="U883" s="12">
        <f>IF(Q883=0, "Exceeds Limit", IF(P883&lt;=O883, "Weight Limited", "Volume Limited"))</f>
        <v/>
      </c>
      <c r="V883" s="97">
        <f>B883&amp;"|"&amp;D883&amp;"|"&amp;F883</f>
        <v/>
      </c>
    </row>
    <row r="884" ht="19" customHeight="1">
      <c r="A884" s="98" t="n">
        <v>874</v>
      </c>
      <c r="B884" s="102" t="inlineStr">
        <is>
          <t>Stainless Steel 316</t>
        </is>
      </c>
      <c r="C884" s="19" t="inlineStr">
        <is>
          <t>ASME B36.19M / B36.10M</t>
        </is>
      </c>
      <c r="D884" s="18" t="inlineStr">
        <is>
          <t>1-1/2''</t>
        </is>
      </c>
      <c r="E884" s="98" t="n">
        <v>40</v>
      </c>
      <c r="F884" s="18" t="inlineStr">
        <is>
          <t>80</t>
        </is>
      </c>
      <c r="G884" s="20" t="n">
        <v>1.9</v>
      </c>
      <c r="H884" s="82" t="n">
        <v>48.26</v>
      </c>
      <c r="I884" s="20" t="n">
        <v>0.2</v>
      </c>
      <c r="J884" s="82" t="n">
        <v>5.08</v>
      </c>
      <c r="K884" s="20">
        <f>ROUND((H884-J884)*J884*IF(B884="Carbon Steel",$K$7,IF(B884="Stainless Steel 304",$K$8,$L$8)), 3)</f>
        <v/>
      </c>
      <c r="L884" s="82">
        <f>ROUND(K884*$G$5, 2)</f>
        <v/>
      </c>
      <c r="M884" s="98">
        <f>INT($G$6/H884)</f>
        <v/>
      </c>
      <c r="N884" s="98">
        <f>IF(M884=0, 0, IF(OR($K$6="Square Grid", M884=1), INT($G$7/H884), IF($G$7&lt;H884, 0, 1+INT(($G$7-H884)/(0.8660254*H884)))))</f>
        <v/>
      </c>
      <c r="O884" s="84">
        <f>IF(OR(M884=0,N884=0), 0, IF(OR($K$6="Square Grid", M884=1), M884*N884*$K$5, (INT((N884+1)/2)*M884 + INT(N884/2)*IF(($G$6-M884*H884)&gt;=0.5*H884, M884, M884-1))*$K$5))</f>
        <v/>
      </c>
      <c r="P884" s="84">
        <f>IF(L884&lt;=0, 0, INT($G$8/L884))</f>
        <v/>
      </c>
      <c r="Q884" s="95">
        <f>MIN(O884, P884)</f>
        <v/>
      </c>
      <c r="R884" s="96">
        <f>ROUND((Q884*L884)/1000, 2)</f>
        <v/>
      </c>
      <c r="S884" s="85">
        <f>IF($C$8&gt;0, R884/$C$8, 0)</f>
        <v/>
      </c>
      <c r="T884" s="85">
        <f>IF(O884&gt;0, Q884/O884, 0)</f>
        <v/>
      </c>
      <c r="U884" s="18">
        <f>IF(Q884=0, "Exceeds Limit", IF(P884&lt;=O884, "Weight Limited", "Volume Limited"))</f>
        <v/>
      </c>
      <c r="V884" s="100">
        <f>B884&amp;"|"&amp;D884&amp;"|"&amp;F884</f>
        <v/>
      </c>
    </row>
    <row r="885" ht="19" customHeight="1">
      <c r="A885" s="93" t="n">
        <v>875</v>
      </c>
      <c r="B885" s="101" t="inlineStr">
        <is>
          <t>Stainless Steel 316</t>
        </is>
      </c>
      <c r="C885" s="13" t="inlineStr">
        <is>
          <t>ASME B36.19M / B36.10M</t>
        </is>
      </c>
      <c r="D885" s="12" t="inlineStr">
        <is>
          <t>1-1/2''</t>
        </is>
      </c>
      <c r="E885" s="93" t="n">
        <v>40</v>
      </c>
      <c r="F885" s="12" t="inlineStr">
        <is>
          <t>160</t>
        </is>
      </c>
      <c r="G885" s="14" t="n">
        <v>1.9</v>
      </c>
      <c r="H885" s="78" t="n">
        <v>48.26</v>
      </c>
      <c r="I885" s="14" t="n">
        <v>0.281</v>
      </c>
      <c r="J885" s="78" t="n">
        <v>7.14</v>
      </c>
      <c r="K885" s="14">
        <f>ROUND((H885-J885)*J885*IF(B885="Carbon Steel",$K$7,IF(B885="Stainless Steel 304",$K$8,$L$8)), 3)</f>
        <v/>
      </c>
      <c r="L885" s="78">
        <f>ROUND(K885*$G$5, 2)</f>
        <v/>
      </c>
      <c r="M885" s="93">
        <f>INT($G$6/H885)</f>
        <v/>
      </c>
      <c r="N885" s="93">
        <f>IF(M885=0, 0, IF(OR($K$6="Square Grid", M885=1), INT($G$7/H885), IF($G$7&lt;H885, 0, 1+INT(($G$7-H885)/(0.8660254*H885)))))</f>
        <v/>
      </c>
      <c r="O885" s="59">
        <f>IF(OR(M885=0,N885=0), 0, IF(OR($K$6="Square Grid", M885=1), M885*N885*$K$5, (INT((N885+1)/2)*M885 + INT(N885/2)*IF(($G$6-M885*H885)&gt;=0.5*H885, M885, M885-1))*$K$5))</f>
        <v/>
      </c>
      <c r="P885" s="59">
        <f>IF(L885&lt;=0, 0, INT($G$8/L885))</f>
        <v/>
      </c>
      <c r="Q885" s="95">
        <f>MIN(O885, P885)</f>
        <v/>
      </c>
      <c r="R885" s="96">
        <f>ROUND((Q885*L885)/1000, 2)</f>
        <v/>
      </c>
      <c r="S885" s="79">
        <f>IF($C$8&gt;0, R885/$C$8, 0)</f>
        <v/>
      </c>
      <c r="T885" s="79">
        <f>IF(O885&gt;0, Q885/O885, 0)</f>
        <v/>
      </c>
      <c r="U885" s="12">
        <f>IF(Q885=0, "Exceeds Limit", IF(P885&lt;=O885, "Weight Limited", "Volume Limited"))</f>
        <v/>
      </c>
      <c r="V885" s="97">
        <f>B885&amp;"|"&amp;D885&amp;"|"&amp;F885</f>
        <v/>
      </c>
    </row>
    <row r="886" ht="19" customHeight="1">
      <c r="A886" s="98" t="n">
        <v>876</v>
      </c>
      <c r="B886" s="102" t="inlineStr">
        <is>
          <t>Stainless Steel 316</t>
        </is>
      </c>
      <c r="C886" s="19" t="inlineStr">
        <is>
          <t>ASME B36.19M / B36.10M</t>
        </is>
      </c>
      <c r="D886" s="18" t="inlineStr">
        <is>
          <t>1-1/2''</t>
        </is>
      </c>
      <c r="E886" s="98" t="n">
        <v>40</v>
      </c>
      <c r="F886" s="18" t="inlineStr">
        <is>
          <t>XXS</t>
        </is>
      </c>
      <c r="G886" s="20" t="n">
        <v>1.9</v>
      </c>
      <c r="H886" s="82" t="n">
        <v>48.26</v>
      </c>
      <c r="I886" s="20" t="n">
        <v>0.4</v>
      </c>
      <c r="J886" s="82" t="n">
        <v>10.16</v>
      </c>
      <c r="K886" s="20">
        <f>ROUND((H886-J886)*J886*IF(B886="Carbon Steel",$K$7,IF(B886="Stainless Steel 304",$K$8,$L$8)), 3)</f>
        <v/>
      </c>
      <c r="L886" s="82">
        <f>ROUND(K886*$G$5, 2)</f>
        <v/>
      </c>
      <c r="M886" s="98">
        <f>INT($G$6/H886)</f>
        <v/>
      </c>
      <c r="N886" s="98">
        <f>IF(M886=0, 0, IF(OR($K$6="Square Grid", M886=1), INT($G$7/H886), IF($G$7&lt;H886, 0, 1+INT(($G$7-H886)/(0.8660254*H886)))))</f>
        <v/>
      </c>
      <c r="O886" s="84">
        <f>IF(OR(M886=0,N886=0), 0, IF(OR($K$6="Square Grid", M886=1), M886*N886*$K$5, (INT((N886+1)/2)*M886 + INT(N886/2)*IF(($G$6-M886*H886)&gt;=0.5*H886, M886, M886-1))*$K$5))</f>
        <v/>
      </c>
      <c r="P886" s="84">
        <f>IF(L886&lt;=0, 0, INT($G$8/L886))</f>
        <v/>
      </c>
      <c r="Q886" s="95">
        <f>MIN(O886, P886)</f>
        <v/>
      </c>
      <c r="R886" s="96">
        <f>ROUND((Q886*L886)/1000, 2)</f>
        <v/>
      </c>
      <c r="S886" s="85">
        <f>IF($C$8&gt;0, R886/$C$8, 0)</f>
        <v/>
      </c>
      <c r="T886" s="85">
        <f>IF(O886&gt;0, Q886/O886, 0)</f>
        <v/>
      </c>
      <c r="U886" s="18">
        <f>IF(Q886=0, "Exceeds Limit", IF(P886&lt;=O886, "Weight Limited", "Volume Limited"))</f>
        <v/>
      </c>
      <c r="V886" s="100">
        <f>B886&amp;"|"&amp;D886&amp;"|"&amp;F886</f>
        <v/>
      </c>
    </row>
    <row r="887" ht="19" customHeight="1">
      <c r="A887" s="93" t="n">
        <v>877</v>
      </c>
      <c r="B887" s="101" t="inlineStr">
        <is>
          <t>Stainless Steel 316</t>
        </is>
      </c>
      <c r="C887" s="13" t="inlineStr">
        <is>
          <t>ASME B36.19M / B36.10M</t>
        </is>
      </c>
      <c r="D887" s="12" t="inlineStr">
        <is>
          <t>2''</t>
        </is>
      </c>
      <c r="E887" s="93" t="n">
        <v>50</v>
      </c>
      <c r="F887" s="12" t="inlineStr">
        <is>
          <t>5S</t>
        </is>
      </c>
      <c r="G887" s="14" t="n">
        <v>2.375</v>
      </c>
      <c r="H887" s="78" t="n">
        <v>60.32</v>
      </c>
      <c r="I887" s="14" t="n">
        <v>0.065</v>
      </c>
      <c r="J887" s="78" t="n">
        <v>1.65</v>
      </c>
      <c r="K887" s="14">
        <f>ROUND((H887-J887)*J887*IF(B887="Carbon Steel",$K$7,IF(B887="Stainless Steel 304",$K$8,$L$8)), 3)</f>
        <v/>
      </c>
      <c r="L887" s="78">
        <f>ROUND(K887*$G$5, 2)</f>
        <v/>
      </c>
      <c r="M887" s="93">
        <f>INT($G$6/H887)</f>
        <v/>
      </c>
      <c r="N887" s="93">
        <f>IF(M887=0, 0, IF(OR($K$6="Square Grid", M887=1), INT($G$7/H887), IF($G$7&lt;H887, 0, 1+INT(($G$7-H887)/(0.8660254*H887)))))</f>
        <v/>
      </c>
      <c r="O887" s="59">
        <f>IF(OR(M887=0,N887=0), 0, IF(OR($K$6="Square Grid", M887=1), M887*N887*$K$5, (INT((N887+1)/2)*M887 + INT(N887/2)*IF(($G$6-M887*H887)&gt;=0.5*H887, M887, M887-1))*$K$5))</f>
        <v/>
      </c>
      <c r="P887" s="59">
        <f>IF(L887&lt;=0, 0, INT($G$8/L887))</f>
        <v/>
      </c>
      <c r="Q887" s="95">
        <f>MIN(O887, P887)</f>
        <v/>
      </c>
      <c r="R887" s="96">
        <f>ROUND((Q887*L887)/1000, 2)</f>
        <v/>
      </c>
      <c r="S887" s="79">
        <f>IF($C$8&gt;0, R887/$C$8, 0)</f>
        <v/>
      </c>
      <c r="T887" s="79">
        <f>IF(O887&gt;0, Q887/O887, 0)</f>
        <v/>
      </c>
      <c r="U887" s="12">
        <f>IF(Q887=0, "Exceeds Limit", IF(P887&lt;=O887, "Weight Limited", "Volume Limited"))</f>
        <v/>
      </c>
      <c r="V887" s="97">
        <f>B887&amp;"|"&amp;D887&amp;"|"&amp;F887</f>
        <v/>
      </c>
    </row>
    <row r="888" ht="19" customHeight="1">
      <c r="A888" s="98" t="n">
        <v>878</v>
      </c>
      <c r="B888" s="102" t="inlineStr">
        <is>
          <t>Stainless Steel 316</t>
        </is>
      </c>
      <c r="C888" s="19" t="inlineStr">
        <is>
          <t>ASME B36.19M / B36.10M</t>
        </is>
      </c>
      <c r="D888" s="18" t="inlineStr">
        <is>
          <t>2''</t>
        </is>
      </c>
      <c r="E888" s="98" t="n">
        <v>50</v>
      </c>
      <c r="F888" s="18" t="inlineStr">
        <is>
          <t>5</t>
        </is>
      </c>
      <c r="G888" s="20" t="n">
        <v>2.375</v>
      </c>
      <c r="H888" s="82" t="n">
        <v>60.32</v>
      </c>
      <c r="I888" s="20" t="n">
        <v>0.065</v>
      </c>
      <c r="J888" s="82" t="n">
        <v>1.65</v>
      </c>
      <c r="K888" s="20">
        <f>ROUND((H888-J888)*J888*IF(B888="Carbon Steel",$K$7,IF(B888="Stainless Steel 304",$K$8,$L$8)), 3)</f>
        <v/>
      </c>
      <c r="L888" s="82">
        <f>ROUND(K888*$G$5, 2)</f>
        <v/>
      </c>
      <c r="M888" s="98">
        <f>INT($G$6/H888)</f>
        <v/>
      </c>
      <c r="N888" s="98">
        <f>IF(M888=0, 0, IF(OR($K$6="Square Grid", M888=1), INT($G$7/H888), IF($G$7&lt;H888, 0, 1+INT(($G$7-H888)/(0.8660254*H888)))))</f>
        <v/>
      </c>
      <c r="O888" s="84">
        <f>IF(OR(M888=0,N888=0), 0, IF(OR($K$6="Square Grid", M888=1), M888*N888*$K$5, (INT((N888+1)/2)*M888 + INT(N888/2)*IF(($G$6-M888*H888)&gt;=0.5*H888, M888, M888-1))*$K$5))</f>
        <v/>
      </c>
      <c r="P888" s="84">
        <f>IF(L888&lt;=0, 0, INT($G$8/L888))</f>
        <v/>
      </c>
      <c r="Q888" s="95">
        <f>MIN(O888, P888)</f>
        <v/>
      </c>
      <c r="R888" s="96">
        <f>ROUND((Q888*L888)/1000, 2)</f>
        <v/>
      </c>
      <c r="S888" s="85">
        <f>IF($C$8&gt;0, R888/$C$8, 0)</f>
        <v/>
      </c>
      <c r="T888" s="85">
        <f>IF(O888&gt;0, Q888/O888, 0)</f>
        <v/>
      </c>
      <c r="U888" s="18">
        <f>IF(Q888=0, "Exceeds Limit", IF(P888&lt;=O888, "Weight Limited", "Volume Limited"))</f>
        <v/>
      </c>
      <c r="V888" s="100">
        <f>B888&amp;"|"&amp;D888&amp;"|"&amp;F888</f>
        <v/>
      </c>
    </row>
    <row r="889" ht="19" customHeight="1">
      <c r="A889" s="93" t="n">
        <v>879</v>
      </c>
      <c r="B889" s="101" t="inlineStr">
        <is>
          <t>Stainless Steel 316</t>
        </is>
      </c>
      <c r="C889" s="13" t="inlineStr">
        <is>
          <t>ASME B36.19M / B36.10M</t>
        </is>
      </c>
      <c r="D889" s="12" t="inlineStr">
        <is>
          <t>2''</t>
        </is>
      </c>
      <c r="E889" s="93" t="n">
        <v>50</v>
      </c>
      <c r="F889" s="12" t="inlineStr">
        <is>
          <t>10S</t>
        </is>
      </c>
      <c r="G889" s="14" t="n">
        <v>2.375</v>
      </c>
      <c r="H889" s="78" t="n">
        <v>60.32</v>
      </c>
      <c r="I889" s="14" t="n">
        <v>0.109</v>
      </c>
      <c r="J889" s="78" t="n">
        <v>2.77</v>
      </c>
      <c r="K889" s="14">
        <f>ROUND((H889-J889)*J889*IF(B889="Carbon Steel",$K$7,IF(B889="Stainless Steel 304",$K$8,$L$8)), 3)</f>
        <v/>
      </c>
      <c r="L889" s="78">
        <f>ROUND(K889*$G$5, 2)</f>
        <v/>
      </c>
      <c r="M889" s="93">
        <f>INT($G$6/H889)</f>
        <v/>
      </c>
      <c r="N889" s="93">
        <f>IF(M889=0, 0, IF(OR($K$6="Square Grid", M889=1), INT($G$7/H889), IF($G$7&lt;H889, 0, 1+INT(($G$7-H889)/(0.8660254*H889)))))</f>
        <v/>
      </c>
      <c r="O889" s="59">
        <f>IF(OR(M889=0,N889=0), 0, IF(OR($K$6="Square Grid", M889=1), M889*N889*$K$5, (INT((N889+1)/2)*M889 + INT(N889/2)*IF(($G$6-M889*H889)&gt;=0.5*H889, M889, M889-1))*$K$5))</f>
        <v/>
      </c>
      <c r="P889" s="59">
        <f>IF(L889&lt;=0, 0, INT($G$8/L889))</f>
        <v/>
      </c>
      <c r="Q889" s="95">
        <f>MIN(O889, P889)</f>
        <v/>
      </c>
      <c r="R889" s="96">
        <f>ROUND((Q889*L889)/1000, 2)</f>
        <v/>
      </c>
      <c r="S889" s="79">
        <f>IF($C$8&gt;0, R889/$C$8, 0)</f>
        <v/>
      </c>
      <c r="T889" s="79">
        <f>IF(O889&gt;0, Q889/O889, 0)</f>
        <v/>
      </c>
      <c r="U889" s="12">
        <f>IF(Q889=0, "Exceeds Limit", IF(P889&lt;=O889, "Weight Limited", "Volume Limited"))</f>
        <v/>
      </c>
      <c r="V889" s="97">
        <f>B889&amp;"|"&amp;D889&amp;"|"&amp;F889</f>
        <v/>
      </c>
    </row>
    <row r="890" ht="19" customHeight="1">
      <c r="A890" s="98" t="n">
        <v>880</v>
      </c>
      <c r="B890" s="102" t="inlineStr">
        <is>
          <t>Stainless Steel 316</t>
        </is>
      </c>
      <c r="C890" s="19" t="inlineStr">
        <is>
          <t>ASME B36.19M / B36.10M</t>
        </is>
      </c>
      <c r="D890" s="18" t="inlineStr">
        <is>
          <t>2''</t>
        </is>
      </c>
      <c r="E890" s="98" t="n">
        <v>50</v>
      </c>
      <c r="F890" s="18" t="inlineStr">
        <is>
          <t>10</t>
        </is>
      </c>
      <c r="G890" s="20" t="n">
        <v>2.375</v>
      </c>
      <c r="H890" s="82" t="n">
        <v>60.32</v>
      </c>
      <c r="I890" s="20" t="n">
        <v>0.109</v>
      </c>
      <c r="J890" s="82" t="n">
        <v>2.77</v>
      </c>
      <c r="K890" s="20">
        <f>ROUND((H890-J890)*J890*IF(B890="Carbon Steel",$K$7,IF(B890="Stainless Steel 304",$K$8,$L$8)), 3)</f>
        <v/>
      </c>
      <c r="L890" s="82">
        <f>ROUND(K890*$G$5, 2)</f>
        <v/>
      </c>
      <c r="M890" s="98">
        <f>INT($G$6/H890)</f>
        <v/>
      </c>
      <c r="N890" s="98">
        <f>IF(M890=0, 0, IF(OR($K$6="Square Grid", M890=1), INT($G$7/H890), IF($G$7&lt;H890, 0, 1+INT(($G$7-H890)/(0.8660254*H890)))))</f>
        <v/>
      </c>
      <c r="O890" s="84">
        <f>IF(OR(M890=0,N890=0), 0, IF(OR($K$6="Square Grid", M890=1), M890*N890*$K$5, (INT((N890+1)/2)*M890 + INT(N890/2)*IF(($G$6-M890*H890)&gt;=0.5*H890, M890, M890-1))*$K$5))</f>
        <v/>
      </c>
      <c r="P890" s="84">
        <f>IF(L890&lt;=0, 0, INT($G$8/L890))</f>
        <v/>
      </c>
      <c r="Q890" s="95">
        <f>MIN(O890, P890)</f>
        <v/>
      </c>
      <c r="R890" s="96">
        <f>ROUND((Q890*L890)/1000, 2)</f>
        <v/>
      </c>
      <c r="S890" s="85">
        <f>IF($C$8&gt;0, R890/$C$8, 0)</f>
        <v/>
      </c>
      <c r="T890" s="85">
        <f>IF(O890&gt;0, Q890/O890, 0)</f>
        <v/>
      </c>
      <c r="U890" s="18">
        <f>IF(Q890=0, "Exceeds Limit", IF(P890&lt;=O890, "Weight Limited", "Volume Limited"))</f>
        <v/>
      </c>
      <c r="V890" s="100">
        <f>B890&amp;"|"&amp;D890&amp;"|"&amp;F890</f>
        <v/>
      </c>
    </row>
    <row r="891" ht="19" customHeight="1">
      <c r="A891" s="93" t="n">
        <v>881</v>
      </c>
      <c r="B891" s="101" t="inlineStr">
        <is>
          <t>Stainless Steel 316</t>
        </is>
      </c>
      <c r="C891" s="13" t="inlineStr">
        <is>
          <t>ASME B36.19M / B36.10M</t>
        </is>
      </c>
      <c r="D891" s="12" t="inlineStr">
        <is>
          <t>2''</t>
        </is>
      </c>
      <c r="E891" s="93" t="n">
        <v>50</v>
      </c>
      <c r="F891" s="12" t="inlineStr">
        <is>
          <t>30</t>
        </is>
      </c>
      <c r="G891" s="14" t="n">
        <v>2.375</v>
      </c>
      <c r="H891" s="78" t="n">
        <v>60.32</v>
      </c>
      <c r="I891" s="14" t="n">
        <v>0.125</v>
      </c>
      <c r="J891" s="78" t="n">
        <v>3.17</v>
      </c>
      <c r="K891" s="14">
        <f>ROUND((H891-J891)*J891*IF(B891="Carbon Steel",$K$7,IF(B891="Stainless Steel 304",$K$8,$L$8)), 3)</f>
        <v/>
      </c>
      <c r="L891" s="78">
        <f>ROUND(K891*$G$5, 2)</f>
        <v/>
      </c>
      <c r="M891" s="93">
        <f>INT($G$6/H891)</f>
        <v/>
      </c>
      <c r="N891" s="93">
        <f>IF(M891=0, 0, IF(OR($K$6="Square Grid", M891=1), INT($G$7/H891), IF($G$7&lt;H891, 0, 1+INT(($G$7-H891)/(0.8660254*H891)))))</f>
        <v/>
      </c>
      <c r="O891" s="59">
        <f>IF(OR(M891=0,N891=0), 0, IF(OR($K$6="Square Grid", M891=1), M891*N891*$K$5, (INT((N891+1)/2)*M891 + INT(N891/2)*IF(($G$6-M891*H891)&gt;=0.5*H891, M891, M891-1))*$K$5))</f>
        <v/>
      </c>
      <c r="P891" s="59">
        <f>IF(L891&lt;=0, 0, INT($G$8/L891))</f>
        <v/>
      </c>
      <c r="Q891" s="95">
        <f>MIN(O891, P891)</f>
        <v/>
      </c>
      <c r="R891" s="96">
        <f>ROUND((Q891*L891)/1000, 2)</f>
        <v/>
      </c>
      <c r="S891" s="79">
        <f>IF($C$8&gt;0, R891/$C$8, 0)</f>
        <v/>
      </c>
      <c r="T891" s="79">
        <f>IF(O891&gt;0, Q891/O891, 0)</f>
        <v/>
      </c>
      <c r="U891" s="12">
        <f>IF(Q891=0, "Exceeds Limit", IF(P891&lt;=O891, "Weight Limited", "Volume Limited"))</f>
        <v/>
      </c>
      <c r="V891" s="97">
        <f>B891&amp;"|"&amp;D891&amp;"|"&amp;F891</f>
        <v/>
      </c>
    </row>
    <row r="892" ht="19" customHeight="1">
      <c r="A892" s="98" t="n">
        <v>882</v>
      </c>
      <c r="B892" s="102" t="inlineStr">
        <is>
          <t>Stainless Steel 316</t>
        </is>
      </c>
      <c r="C892" s="19" t="inlineStr">
        <is>
          <t>ASME B36.19M / B36.10M</t>
        </is>
      </c>
      <c r="D892" s="18" t="inlineStr">
        <is>
          <t>2''</t>
        </is>
      </c>
      <c r="E892" s="98" t="n">
        <v>50</v>
      </c>
      <c r="F892" s="18" t="inlineStr">
        <is>
          <t>40S</t>
        </is>
      </c>
      <c r="G892" s="20" t="n">
        <v>2.375</v>
      </c>
      <c r="H892" s="82" t="n">
        <v>60.32</v>
      </c>
      <c r="I892" s="20" t="n">
        <v>0.154</v>
      </c>
      <c r="J892" s="82" t="n">
        <v>3.91</v>
      </c>
      <c r="K892" s="20">
        <f>ROUND((H892-J892)*J892*IF(B892="Carbon Steel",$K$7,IF(B892="Stainless Steel 304",$K$8,$L$8)), 3)</f>
        <v/>
      </c>
      <c r="L892" s="82">
        <f>ROUND(K892*$G$5, 2)</f>
        <v/>
      </c>
      <c r="M892" s="98">
        <f>INT($G$6/H892)</f>
        <v/>
      </c>
      <c r="N892" s="98">
        <f>IF(M892=0, 0, IF(OR($K$6="Square Grid", M892=1), INT($G$7/H892), IF($G$7&lt;H892, 0, 1+INT(($G$7-H892)/(0.8660254*H892)))))</f>
        <v/>
      </c>
      <c r="O892" s="84">
        <f>IF(OR(M892=0,N892=0), 0, IF(OR($K$6="Square Grid", M892=1), M892*N892*$K$5, (INT((N892+1)/2)*M892 + INT(N892/2)*IF(($G$6-M892*H892)&gt;=0.5*H892, M892, M892-1))*$K$5))</f>
        <v/>
      </c>
      <c r="P892" s="84">
        <f>IF(L892&lt;=0, 0, INT($G$8/L892))</f>
        <v/>
      </c>
      <c r="Q892" s="95">
        <f>MIN(O892, P892)</f>
        <v/>
      </c>
      <c r="R892" s="96">
        <f>ROUND((Q892*L892)/1000, 2)</f>
        <v/>
      </c>
      <c r="S892" s="85">
        <f>IF($C$8&gt;0, R892/$C$8, 0)</f>
        <v/>
      </c>
      <c r="T892" s="85">
        <f>IF(O892&gt;0, Q892/O892, 0)</f>
        <v/>
      </c>
      <c r="U892" s="18">
        <f>IF(Q892=0, "Exceeds Limit", IF(P892&lt;=O892, "Weight Limited", "Volume Limited"))</f>
        <v/>
      </c>
      <c r="V892" s="100">
        <f>B892&amp;"|"&amp;D892&amp;"|"&amp;F892</f>
        <v/>
      </c>
    </row>
    <row r="893" ht="19" customHeight="1">
      <c r="A893" s="93" t="n">
        <v>883</v>
      </c>
      <c r="B893" s="101" t="inlineStr">
        <is>
          <t>Stainless Steel 316</t>
        </is>
      </c>
      <c r="C893" s="13" t="inlineStr">
        <is>
          <t>ASME B36.19M / B36.10M</t>
        </is>
      </c>
      <c r="D893" s="12" t="inlineStr">
        <is>
          <t>2''</t>
        </is>
      </c>
      <c r="E893" s="93" t="n">
        <v>50</v>
      </c>
      <c r="F893" s="12" t="inlineStr">
        <is>
          <t>STD</t>
        </is>
      </c>
      <c r="G893" s="14" t="n">
        <v>2.375</v>
      </c>
      <c r="H893" s="78" t="n">
        <v>60.32</v>
      </c>
      <c r="I893" s="14" t="n">
        <v>0.154</v>
      </c>
      <c r="J893" s="78" t="n">
        <v>3.91</v>
      </c>
      <c r="K893" s="14">
        <f>ROUND((H893-J893)*J893*IF(B893="Carbon Steel",$K$7,IF(B893="Stainless Steel 304",$K$8,$L$8)), 3)</f>
        <v/>
      </c>
      <c r="L893" s="78">
        <f>ROUND(K893*$G$5, 2)</f>
        <v/>
      </c>
      <c r="M893" s="93">
        <f>INT($G$6/H893)</f>
        <v/>
      </c>
      <c r="N893" s="93">
        <f>IF(M893=0, 0, IF(OR($K$6="Square Grid", M893=1), INT($G$7/H893), IF($G$7&lt;H893, 0, 1+INT(($G$7-H893)/(0.8660254*H893)))))</f>
        <v/>
      </c>
      <c r="O893" s="59">
        <f>IF(OR(M893=0,N893=0), 0, IF(OR($K$6="Square Grid", M893=1), M893*N893*$K$5, (INT((N893+1)/2)*M893 + INT(N893/2)*IF(($G$6-M893*H893)&gt;=0.5*H893, M893, M893-1))*$K$5))</f>
        <v/>
      </c>
      <c r="P893" s="59">
        <f>IF(L893&lt;=0, 0, INT($G$8/L893))</f>
        <v/>
      </c>
      <c r="Q893" s="95">
        <f>MIN(O893, P893)</f>
        <v/>
      </c>
      <c r="R893" s="96">
        <f>ROUND((Q893*L893)/1000, 2)</f>
        <v/>
      </c>
      <c r="S893" s="79">
        <f>IF($C$8&gt;0, R893/$C$8, 0)</f>
        <v/>
      </c>
      <c r="T893" s="79">
        <f>IF(O893&gt;0, Q893/O893, 0)</f>
        <v/>
      </c>
      <c r="U893" s="12">
        <f>IF(Q893=0, "Exceeds Limit", IF(P893&lt;=O893, "Weight Limited", "Volume Limited"))</f>
        <v/>
      </c>
      <c r="V893" s="97">
        <f>B893&amp;"|"&amp;D893&amp;"|"&amp;F893</f>
        <v/>
      </c>
    </row>
    <row r="894" ht="19" customHeight="1">
      <c r="A894" s="98" t="n">
        <v>884</v>
      </c>
      <c r="B894" s="102" t="inlineStr">
        <is>
          <t>Stainless Steel 316</t>
        </is>
      </c>
      <c r="C894" s="19" t="inlineStr">
        <is>
          <t>ASME B36.19M / B36.10M</t>
        </is>
      </c>
      <c r="D894" s="18" t="inlineStr">
        <is>
          <t>2''</t>
        </is>
      </c>
      <c r="E894" s="98" t="n">
        <v>50</v>
      </c>
      <c r="F894" s="18" t="inlineStr">
        <is>
          <t>40</t>
        </is>
      </c>
      <c r="G894" s="20" t="n">
        <v>2.375</v>
      </c>
      <c r="H894" s="82" t="n">
        <v>60.32</v>
      </c>
      <c r="I894" s="20" t="n">
        <v>0.154</v>
      </c>
      <c r="J894" s="82" t="n">
        <v>3.91</v>
      </c>
      <c r="K894" s="20">
        <f>ROUND((H894-J894)*J894*IF(B894="Carbon Steel",$K$7,IF(B894="Stainless Steel 304",$K$8,$L$8)), 3)</f>
        <v/>
      </c>
      <c r="L894" s="82">
        <f>ROUND(K894*$G$5, 2)</f>
        <v/>
      </c>
      <c r="M894" s="98">
        <f>INT($G$6/H894)</f>
        <v/>
      </c>
      <c r="N894" s="98">
        <f>IF(M894=0, 0, IF(OR($K$6="Square Grid", M894=1), INT($G$7/H894), IF($G$7&lt;H894, 0, 1+INT(($G$7-H894)/(0.8660254*H894)))))</f>
        <v/>
      </c>
      <c r="O894" s="84">
        <f>IF(OR(M894=0,N894=0), 0, IF(OR($K$6="Square Grid", M894=1), M894*N894*$K$5, (INT((N894+1)/2)*M894 + INT(N894/2)*IF(($G$6-M894*H894)&gt;=0.5*H894, M894, M894-1))*$K$5))</f>
        <v/>
      </c>
      <c r="P894" s="84">
        <f>IF(L894&lt;=0, 0, INT($G$8/L894))</f>
        <v/>
      </c>
      <c r="Q894" s="95">
        <f>MIN(O894, P894)</f>
        <v/>
      </c>
      <c r="R894" s="96">
        <f>ROUND((Q894*L894)/1000, 2)</f>
        <v/>
      </c>
      <c r="S894" s="85">
        <f>IF($C$8&gt;0, R894/$C$8, 0)</f>
        <v/>
      </c>
      <c r="T894" s="85">
        <f>IF(O894&gt;0, Q894/O894, 0)</f>
        <v/>
      </c>
      <c r="U894" s="18">
        <f>IF(Q894=0, "Exceeds Limit", IF(P894&lt;=O894, "Weight Limited", "Volume Limited"))</f>
        <v/>
      </c>
      <c r="V894" s="100">
        <f>B894&amp;"|"&amp;D894&amp;"|"&amp;F894</f>
        <v/>
      </c>
    </row>
    <row r="895" ht="19" customHeight="1">
      <c r="A895" s="93" t="n">
        <v>885</v>
      </c>
      <c r="B895" s="101" t="inlineStr">
        <is>
          <t>Stainless Steel 316</t>
        </is>
      </c>
      <c r="C895" s="13" t="inlineStr">
        <is>
          <t>ASME B36.19M / B36.10M</t>
        </is>
      </c>
      <c r="D895" s="12" t="inlineStr">
        <is>
          <t>2''</t>
        </is>
      </c>
      <c r="E895" s="93" t="n">
        <v>50</v>
      </c>
      <c r="F895" s="12" t="inlineStr">
        <is>
          <t>80S</t>
        </is>
      </c>
      <c r="G895" s="14" t="n">
        <v>2.375</v>
      </c>
      <c r="H895" s="78" t="n">
        <v>60.32</v>
      </c>
      <c r="I895" s="14" t="n">
        <v>0.218</v>
      </c>
      <c r="J895" s="78" t="n">
        <v>5.54</v>
      </c>
      <c r="K895" s="14">
        <f>ROUND((H895-J895)*J895*IF(B895="Carbon Steel",$K$7,IF(B895="Stainless Steel 304",$K$8,$L$8)), 3)</f>
        <v/>
      </c>
      <c r="L895" s="78">
        <f>ROUND(K895*$G$5, 2)</f>
        <v/>
      </c>
      <c r="M895" s="93">
        <f>INT($G$6/H895)</f>
        <v/>
      </c>
      <c r="N895" s="93">
        <f>IF(M895=0, 0, IF(OR($K$6="Square Grid", M895=1), INT($G$7/H895), IF($G$7&lt;H895, 0, 1+INT(($G$7-H895)/(0.8660254*H895)))))</f>
        <v/>
      </c>
      <c r="O895" s="59">
        <f>IF(OR(M895=0,N895=0), 0, IF(OR($K$6="Square Grid", M895=1), M895*N895*$K$5, (INT((N895+1)/2)*M895 + INT(N895/2)*IF(($G$6-M895*H895)&gt;=0.5*H895, M895, M895-1))*$K$5))</f>
        <v/>
      </c>
      <c r="P895" s="59">
        <f>IF(L895&lt;=0, 0, INT($G$8/L895))</f>
        <v/>
      </c>
      <c r="Q895" s="95">
        <f>MIN(O895, P895)</f>
        <v/>
      </c>
      <c r="R895" s="96">
        <f>ROUND((Q895*L895)/1000, 2)</f>
        <v/>
      </c>
      <c r="S895" s="79">
        <f>IF($C$8&gt;0, R895/$C$8, 0)</f>
        <v/>
      </c>
      <c r="T895" s="79">
        <f>IF(O895&gt;0, Q895/O895, 0)</f>
        <v/>
      </c>
      <c r="U895" s="12">
        <f>IF(Q895=0, "Exceeds Limit", IF(P895&lt;=O895, "Weight Limited", "Volume Limited"))</f>
        <v/>
      </c>
      <c r="V895" s="97">
        <f>B895&amp;"|"&amp;D895&amp;"|"&amp;F895</f>
        <v/>
      </c>
    </row>
    <row r="896" ht="19" customHeight="1">
      <c r="A896" s="98" t="n">
        <v>886</v>
      </c>
      <c r="B896" s="102" t="inlineStr">
        <is>
          <t>Stainless Steel 316</t>
        </is>
      </c>
      <c r="C896" s="19" t="inlineStr">
        <is>
          <t>ASME B36.19M / B36.10M</t>
        </is>
      </c>
      <c r="D896" s="18" t="inlineStr">
        <is>
          <t>2''</t>
        </is>
      </c>
      <c r="E896" s="98" t="n">
        <v>50</v>
      </c>
      <c r="F896" s="18" t="inlineStr">
        <is>
          <t>XS</t>
        </is>
      </c>
      <c r="G896" s="20" t="n">
        <v>2.375</v>
      </c>
      <c r="H896" s="82" t="n">
        <v>60.32</v>
      </c>
      <c r="I896" s="20" t="n">
        <v>0.218</v>
      </c>
      <c r="J896" s="82" t="n">
        <v>5.54</v>
      </c>
      <c r="K896" s="20">
        <f>ROUND((H896-J896)*J896*IF(B896="Carbon Steel",$K$7,IF(B896="Stainless Steel 304",$K$8,$L$8)), 3)</f>
        <v/>
      </c>
      <c r="L896" s="82">
        <f>ROUND(K896*$G$5, 2)</f>
        <v/>
      </c>
      <c r="M896" s="98">
        <f>INT($G$6/H896)</f>
        <v/>
      </c>
      <c r="N896" s="98">
        <f>IF(M896=0, 0, IF(OR($K$6="Square Grid", M896=1), INT($G$7/H896), IF($G$7&lt;H896, 0, 1+INT(($G$7-H896)/(0.8660254*H896)))))</f>
        <v/>
      </c>
      <c r="O896" s="84">
        <f>IF(OR(M896=0,N896=0), 0, IF(OR($K$6="Square Grid", M896=1), M896*N896*$K$5, (INT((N896+1)/2)*M896 + INT(N896/2)*IF(($G$6-M896*H896)&gt;=0.5*H896, M896, M896-1))*$K$5))</f>
        <v/>
      </c>
      <c r="P896" s="84">
        <f>IF(L896&lt;=0, 0, INT($G$8/L896))</f>
        <v/>
      </c>
      <c r="Q896" s="95">
        <f>MIN(O896, P896)</f>
        <v/>
      </c>
      <c r="R896" s="96">
        <f>ROUND((Q896*L896)/1000, 2)</f>
        <v/>
      </c>
      <c r="S896" s="85">
        <f>IF($C$8&gt;0, R896/$C$8, 0)</f>
        <v/>
      </c>
      <c r="T896" s="85">
        <f>IF(O896&gt;0, Q896/O896, 0)</f>
        <v/>
      </c>
      <c r="U896" s="18">
        <f>IF(Q896=0, "Exceeds Limit", IF(P896&lt;=O896, "Weight Limited", "Volume Limited"))</f>
        <v/>
      </c>
      <c r="V896" s="100">
        <f>B896&amp;"|"&amp;D896&amp;"|"&amp;F896</f>
        <v/>
      </c>
    </row>
    <row r="897" ht="19" customHeight="1">
      <c r="A897" s="93" t="n">
        <v>887</v>
      </c>
      <c r="B897" s="101" t="inlineStr">
        <is>
          <t>Stainless Steel 316</t>
        </is>
      </c>
      <c r="C897" s="13" t="inlineStr">
        <is>
          <t>ASME B36.19M / B36.10M</t>
        </is>
      </c>
      <c r="D897" s="12" t="inlineStr">
        <is>
          <t>2''</t>
        </is>
      </c>
      <c r="E897" s="93" t="n">
        <v>50</v>
      </c>
      <c r="F897" s="12" t="inlineStr">
        <is>
          <t>80</t>
        </is>
      </c>
      <c r="G897" s="14" t="n">
        <v>2.375</v>
      </c>
      <c r="H897" s="78" t="n">
        <v>60.32</v>
      </c>
      <c r="I897" s="14" t="n">
        <v>0.218</v>
      </c>
      <c r="J897" s="78" t="n">
        <v>5.54</v>
      </c>
      <c r="K897" s="14">
        <f>ROUND((H897-J897)*J897*IF(B897="Carbon Steel",$K$7,IF(B897="Stainless Steel 304",$K$8,$L$8)), 3)</f>
        <v/>
      </c>
      <c r="L897" s="78">
        <f>ROUND(K897*$G$5, 2)</f>
        <v/>
      </c>
      <c r="M897" s="93">
        <f>INT($G$6/H897)</f>
        <v/>
      </c>
      <c r="N897" s="93">
        <f>IF(M897=0, 0, IF(OR($K$6="Square Grid", M897=1), INT($G$7/H897), IF($G$7&lt;H897, 0, 1+INT(($G$7-H897)/(0.8660254*H897)))))</f>
        <v/>
      </c>
      <c r="O897" s="59">
        <f>IF(OR(M897=0,N897=0), 0, IF(OR($K$6="Square Grid", M897=1), M897*N897*$K$5, (INT((N897+1)/2)*M897 + INT(N897/2)*IF(($G$6-M897*H897)&gt;=0.5*H897, M897, M897-1))*$K$5))</f>
        <v/>
      </c>
      <c r="P897" s="59">
        <f>IF(L897&lt;=0, 0, INT($G$8/L897))</f>
        <v/>
      </c>
      <c r="Q897" s="95">
        <f>MIN(O897, P897)</f>
        <v/>
      </c>
      <c r="R897" s="96">
        <f>ROUND((Q897*L897)/1000, 2)</f>
        <v/>
      </c>
      <c r="S897" s="79">
        <f>IF($C$8&gt;0, R897/$C$8, 0)</f>
        <v/>
      </c>
      <c r="T897" s="79">
        <f>IF(O897&gt;0, Q897/O897, 0)</f>
        <v/>
      </c>
      <c r="U897" s="12">
        <f>IF(Q897=0, "Exceeds Limit", IF(P897&lt;=O897, "Weight Limited", "Volume Limited"))</f>
        <v/>
      </c>
      <c r="V897" s="97">
        <f>B897&amp;"|"&amp;D897&amp;"|"&amp;F897</f>
        <v/>
      </c>
    </row>
    <row r="898" ht="19" customHeight="1">
      <c r="A898" s="98" t="n">
        <v>888</v>
      </c>
      <c r="B898" s="102" t="inlineStr">
        <is>
          <t>Stainless Steel 316</t>
        </is>
      </c>
      <c r="C898" s="19" t="inlineStr">
        <is>
          <t>ASME B36.19M / B36.10M</t>
        </is>
      </c>
      <c r="D898" s="18" t="inlineStr">
        <is>
          <t>2''</t>
        </is>
      </c>
      <c r="E898" s="98" t="n">
        <v>50</v>
      </c>
      <c r="F898" s="18" t="inlineStr">
        <is>
          <t>160</t>
        </is>
      </c>
      <c r="G898" s="20" t="n">
        <v>2.375</v>
      </c>
      <c r="H898" s="82" t="n">
        <v>60.32</v>
      </c>
      <c r="I898" s="20" t="n">
        <v>0.344</v>
      </c>
      <c r="J898" s="82" t="n">
        <v>8.74</v>
      </c>
      <c r="K898" s="20">
        <f>ROUND((H898-J898)*J898*IF(B898="Carbon Steel",$K$7,IF(B898="Stainless Steel 304",$K$8,$L$8)), 3)</f>
        <v/>
      </c>
      <c r="L898" s="82">
        <f>ROUND(K898*$G$5, 2)</f>
        <v/>
      </c>
      <c r="M898" s="98">
        <f>INT($G$6/H898)</f>
        <v/>
      </c>
      <c r="N898" s="98">
        <f>IF(M898=0, 0, IF(OR($K$6="Square Grid", M898=1), INT($G$7/H898), IF($G$7&lt;H898, 0, 1+INT(($G$7-H898)/(0.8660254*H898)))))</f>
        <v/>
      </c>
      <c r="O898" s="84">
        <f>IF(OR(M898=0,N898=0), 0, IF(OR($K$6="Square Grid", M898=1), M898*N898*$K$5, (INT((N898+1)/2)*M898 + INT(N898/2)*IF(($G$6-M898*H898)&gt;=0.5*H898, M898, M898-1))*$K$5))</f>
        <v/>
      </c>
      <c r="P898" s="84">
        <f>IF(L898&lt;=0, 0, INT($G$8/L898))</f>
        <v/>
      </c>
      <c r="Q898" s="95">
        <f>MIN(O898, P898)</f>
        <v/>
      </c>
      <c r="R898" s="96">
        <f>ROUND((Q898*L898)/1000, 2)</f>
        <v/>
      </c>
      <c r="S898" s="85">
        <f>IF($C$8&gt;0, R898/$C$8, 0)</f>
        <v/>
      </c>
      <c r="T898" s="85">
        <f>IF(O898&gt;0, Q898/O898, 0)</f>
        <v/>
      </c>
      <c r="U898" s="18">
        <f>IF(Q898=0, "Exceeds Limit", IF(P898&lt;=O898, "Weight Limited", "Volume Limited"))</f>
        <v/>
      </c>
      <c r="V898" s="100">
        <f>B898&amp;"|"&amp;D898&amp;"|"&amp;F898</f>
        <v/>
      </c>
    </row>
    <row r="899" ht="19" customHeight="1">
      <c r="A899" s="93" t="n">
        <v>889</v>
      </c>
      <c r="B899" s="101" t="inlineStr">
        <is>
          <t>Stainless Steel 316</t>
        </is>
      </c>
      <c r="C899" s="13" t="inlineStr">
        <is>
          <t>ASME B36.19M / B36.10M</t>
        </is>
      </c>
      <c r="D899" s="12" t="inlineStr">
        <is>
          <t>2''</t>
        </is>
      </c>
      <c r="E899" s="93" t="n">
        <v>50</v>
      </c>
      <c r="F899" s="12" t="inlineStr">
        <is>
          <t>XXS</t>
        </is>
      </c>
      <c r="G899" s="14" t="n">
        <v>2.375</v>
      </c>
      <c r="H899" s="78" t="n">
        <v>60.32</v>
      </c>
      <c r="I899" s="14" t="n">
        <v>0.436</v>
      </c>
      <c r="J899" s="78" t="n">
        <v>11.07</v>
      </c>
      <c r="K899" s="14">
        <f>ROUND((H899-J899)*J899*IF(B899="Carbon Steel",$K$7,IF(B899="Stainless Steel 304",$K$8,$L$8)), 3)</f>
        <v/>
      </c>
      <c r="L899" s="78">
        <f>ROUND(K899*$G$5, 2)</f>
        <v/>
      </c>
      <c r="M899" s="93">
        <f>INT($G$6/H899)</f>
        <v/>
      </c>
      <c r="N899" s="93">
        <f>IF(M899=0, 0, IF(OR($K$6="Square Grid", M899=1), INT($G$7/H899), IF($G$7&lt;H899, 0, 1+INT(($G$7-H899)/(0.8660254*H899)))))</f>
        <v/>
      </c>
      <c r="O899" s="59">
        <f>IF(OR(M899=0,N899=0), 0, IF(OR($K$6="Square Grid", M899=1), M899*N899*$K$5, (INT((N899+1)/2)*M899 + INT(N899/2)*IF(($G$6-M899*H899)&gt;=0.5*H899, M899, M899-1))*$K$5))</f>
        <v/>
      </c>
      <c r="P899" s="59">
        <f>IF(L899&lt;=0, 0, INT($G$8/L899))</f>
        <v/>
      </c>
      <c r="Q899" s="95">
        <f>MIN(O899, P899)</f>
        <v/>
      </c>
      <c r="R899" s="96">
        <f>ROUND((Q899*L899)/1000, 2)</f>
        <v/>
      </c>
      <c r="S899" s="79">
        <f>IF($C$8&gt;0, R899/$C$8, 0)</f>
        <v/>
      </c>
      <c r="T899" s="79">
        <f>IF(O899&gt;0, Q899/O899, 0)</f>
        <v/>
      </c>
      <c r="U899" s="12">
        <f>IF(Q899=0, "Exceeds Limit", IF(P899&lt;=O899, "Weight Limited", "Volume Limited"))</f>
        <v/>
      </c>
      <c r="V899" s="97">
        <f>B899&amp;"|"&amp;D899&amp;"|"&amp;F899</f>
        <v/>
      </c>
    </row>
    <row r="900" ht="19" customHeight="1">
      <c r="A900" s="98" t="n">
        <v>890</v>
      </c>
      <c r="B900" s="102" t="inlineStr">
        <is>
          <t>Stainless Steel 316</t>
        </is>
      </c>
      <c r="C900" s="19" t="inlineStr">
        <is>
          <t>ASME B36.19M / B36.10M</t>
        </is>
      </c>
      <c r="D900" s="18" t="inlineStr">
        <is>
          <t>2-1/2''</t>
        </is>
      </c>
      <c r="E900" s="98" t="n">
        <v>65</v>
      </c>
      <c r="F900" s="18" t="inlineStr">
        <is>
          <t>5S</t>
        </is>
      </c>
      <c r="G900" s="20" t="n">
        <v>2.875</v>
      </c>
      <c r="H900" s="82" t="n">
        <v>73.02</v>
      </c>
      <c r="I900" s="20" t="n">
        <v>0.083</v>
      </c>
      <c r="J900" s="82" t="n">
        <v>2.11</v>
      </c>
      <c r="K900" s="20">
        <f>ROUND((H900-J900)*J900*IF(B900="Carbon Steel",$K$7,IF(B900="Stainless Steel 304",$K$8,$L$8)), 3)</f>
        <v/>
      </c>
      <c r="L900" s="82">
        <f>ROUND(K900*$G$5, 2)</f>
        <v/>
      </c>
      <c r="M900" s="98">
        <f>INT($G$6/H900)</f>
        <v/>
      </c>
      <c r="N900" s="98">
        <f>IF(M900=0, 0, IF(OR($K$6="Square Grid", M900=1), INT($G$7/H900), IF($G$7&lt;H900, 0, 1+INT(($G$7-H900)/(0.8660254*H900)))))</f>
        <v/>
      </c>
      <c r="O900" s="84">
        <f>IF(OR(M900=0,N900=0), 0, IF(OR($K$6="Square Grid", M900=1), M900*N900*$K$5, (INT((N900+1)/2)*M900 + INT(N900/2)*IF(($G$6-M900*H900)&gt;=0.5*H900, M900, M900-1))*$K$5))</f>
        <v/>
      </c>
      <c r="P900" s="84">
        <f>IF(L900&lt;=0, 0, INT($G$8/L900))</f>
        <v/>
      </c>
      <c r="Q900" s="95">
        <f>MIN(O900, P900)</f>
        <v/>
      </c>
      <c r="R900" s="96">
        <f>ROUND((Q900*L900)/1000, 2)</f>
        <v/>
      </c>
      <c r="S900" s="85">
        <f>IF($C$8&gt;0, R900/$C$8, 0)</f>
        <v/>
      </c>
      <c r="T900" s="85">
        <f>IF(O900&gt;0, Q900/O900, 0)</f>
        <v/>
      </c>
      <c r="U900" s="18">
        <f>IF(Q900=0, "Exceeds Limit", IF(P900&lt;=O900, "Weight Limited", "Volume Limited"))</f>
        <v/>
      </c>
      <c r="V900" s="100">
        <f>B900&amp;"|"&amp;D900&amp;"|"&amp;F900</f>
        <v/>
      </c>
    </row>
    <row r="901" ht="19" customHeight="1">
      <c r="A901" s="93" t="n">
        <v>891</v>
      </c>
      <c r="B901" s="101" t="inlineStr">
        <is>
          <t>Stainless Steel 316</t>
        </is>
      </c>
      <c r="C901" s="13" t="inlineStr">
        <is>
          <t>ASME B36.19M / B36.10M</t>
        </is>
      </c>
      <c r="D901" s="12" t="inlineStr">
        <is>
          <t>2-1/2''</t>
        </is>
      </c>
      <c r="E901" s="93" t="n">
        <v>65</v>
      </c>
      <c r="F901" s="12" t="inlineStr">
        <is>
          <t>5</t>
        </is>
      </c>
      <c r="G901" s="14" t="n">
        <v>2.875</v>
      </c>
      <c r="H901" s="78" t="n">
        <v>73.02</v>
      </c>
      <c r="I901" s="14" t="n">
        <v>0.083</v>
      </c>
      <c r="J901" s="78" t="n">
        <v>2.11</v>
      </c>
      <c r="K901" s="14">
        <f>ROUND((H901-J901)*J901*IF(B901="Carbon Steel",$K$7,IF(B901="Stainless Steel 304",$K$8,$L$8)), 3)</f>
        <v/>
      </c>
      <c r="L901" s="78">
        <f>ROUND(K901*$G$5, 2)</f>
        <v/>
      </c>
      <c r="M901" s="93">
        <f>INT($G$6/H901)</f>
        <v/>
      </c>
      <c r="N901" s="93">
        <f>IF(M901=0, 0, IF(OR($K$6="Square Grid", M901=1), INT($G$7/H901), IF($G$7&lt;H901, 0, 1+INT(($G$7-H901)/(0.8660254*H901)))))</f>
        <v/>
      </c>
      <c r="O901" s="59">
        <f>IF(OR(M901=0,N901=0), 0, IF(OR($K$6="Square Grid", M901=1), M901*N901*$K$5, (INT((N901+1)/2)*M901 + INT(N901/2)*IF(($G$6-M901*H901)&gt;=0.5*H901, M901, M901-1))*$K$5))</f>
        <v/>
      </c>
      <c r="P901" s="59">
        <f>IF(L901&lt;=0, 0, INT($G$8/L901))</f>
        <v/>
      </c>
      <c r="Q901" s="95">
        <f>MIN(O901, P901)</f>
        <v/>
      </c>
      <c r="R901" s="96">
        <f>ROUND((Q901*L901)/1000, 2)</f>
        <v/>
      </c>
      <c r="S901" s="79">
        <f>IF($C$8&gt;0, R901/$C$8, 0)</f>
        <v/>
      </c>
      <c r="T901" s="79">
        <f>IF(O901&gt;0, Q901/O901, 0)</f>
        <v/>
      </c>
      <c r="U901" s="12">
        <f>IF(Q901=0, "Exceeds Limit", IF(P901&lt;=O901, "Weight Limited", "Volume Limited"))</f>
        <v/>
      </c>
      <c r="V901" s="97">
        <f>B901&amp;"|"&amp;D901&amp;"|"&amp;F901</f>
        <v/>
      </c>
    </row>
    <row r="902" ht="19" customHeight="1">
      <c r="A902" s="98" t="n">
        <v>892</v>
      </c>
      <c r="B902" s="102" t="inlineStr">
        <is>
          <t>Stainless Steel 316</t>
        </is>
      </c>
      <c r="C902" s="19" t="inlineStr">
        <is>
          <t>ASME B36.19M / B36.10M</t>
        </is>
      </c>
      <c r="D902" s="18" t="inlineStr">
        <is>
          <t>2-1/2''</t>
        </is>
      </c>
      <c r="E902" s="98" t="n">
        <v>65</v>
      </c>
      <c r="F902" s="18" t="inlineStr">
        <is>
          <t>10S</t>
        </is>
      </c>
      <c r="G902" s="20" t="n">
        <v>2.875</v>
      </c>
      <c r="H902" s="82" t="n">
        <v>73.02</v>
      </c>
      <c r="I902" s="20" t="n">
        <v>0.12</v>
      </c>
      <c r="J902" s="82" t="n">
        <v>3.05</v>
      </c>
      <c r="K902" s="20">
        <f>ROUND((H902-J902)*J902*IF(B902="Carbon Steel",$K$7,IF(B902="Stainless Steel 304",$K$8,$L$8)), 3)</f>
        <v/>
      </c>
      <c r="L902" s="82">
        <f>ROUND(K902*$G$5, 2)</f>
        <v/>
      </c>
      <c r="M902" s="98">
        <f>INT($G$6/H902)</f>
        <v/>
      </c>
      <c r="N902" s="98">
        <f>IF(M902=0, 0, IF(OR($K$6="Square Grid", M902=1), INT($G$7/H902), IF($G$7&lt;H902, 0, 1+INT(($G$7-H902)/(0.8660254*H902)))))</f>
        <v/>
      </c>
      <c r="O902" s="84">
        <f>IF(OR(M902=0,N902=0), 0, IF(OR($K$6="Square Grid", M902=1), M902*N902*$K$5, (INT((N902+1)/2)*M902 + INT(N902/2)*IF(($G$6-M902*H902)&gt;=0.5*H902, M902, M902-1))*$K$5))</f>
        <v/>
      </c>
      <c r="P902" s="84">
        <f>IF(L902&lt;=0, 0, INT($G$8/L902))</f>
        <v/>
      </c>
      <c r="Q902" s="95">
        <f>MIN(O902, P902)</f>
        <v/>
      </c>
      <c r="R902" s="96">
        <f>ROUND((Q902*L902)/1000, 2)</f>
        <v/>
      </c>
      <c r="S902" s="85">
        <f>IF($C$8&gt;0, R902/$C$8, 0)</f>
        <v/>
      </c>
      <c r="T902" s="85">
        <f>IF(O902&gt;0, Q902/O902, 0)</f>
        <v/>
      </c>
      <c r="U902" s="18">
        <f>IF(Q902=0, "Exceeds Limit", IF(P902&lt;=O902, "Weight Limited", "Volume Limited"))</f>
        <v/>
      </c>
      <c r="V902" s="100">
        <f>B902&amp;"|"&amp;D902&amp;"|"&amp;F902</f>
        <v/>
      </c>
    </row>
    <row r="903" ht="19" customHeight="1">
      <c r="A903" s="93" t="n">
        <v>893</v>
      </c>
      <c r="B903" s="101" t="inlineStr">
        <is>
          <t>Stainless Steel 316</t>
        </is>
      </c>
      <c r="C903" s="13" t="inlineStr">
        <is>
          <t>ASME B36.19M / B36.10M</t>
        </is>
      </c>
      <c r="D903" s="12" t="inlineStr">
        <is>
          <t>2-1/2''</t>
        </is>
      </c>
      <c r="E903" s="93" t="n">
        <v>65</v>
      </c>
      <c r="F903" s="12" t="inlineStr">
        <is>
          <t>10</t>
        </is>
      </c>
      <c r="G903" s="14" t="n">
        <v>2.875</v>
      </c>
      <c r="H903" s="78" t="n">
        <v>73.02</v>
      </c>
      <c r="I903" s="14" t="n">
        <v>0.12</v>
      </c>
      <c r="J903" s="78" t="n">
        <v>3.05</v>
      </c>
      <c r="K903" s="14">
        <f>ROUND((H903-J903)*J903*IF(B903="Carbon Steel",$K$7,IF(B903="Stainless Steel 304",$K$8,$L$8)), 3)</f>
        <v/>
      </c>
      <c r="L903" s="78">
        <f>ROUND(K903*$G$5, 2)</f>
        <v/>
      </c>
      <c r="M903" s="93">
        <f>INT($G$6/H903)</f>
        <v/>
      </c>
      <c r="N903" s="93">
        <f>IF(M903=0, 0, IF(OR($K$6="Square Grid", M903=1), INT($G$7/H903), IF($G$7&lt;H903, 0, 1+INT(($G$7-H903)/(0.8660254*H903)))))</f>
        <v/>
      </c>
      <c r="O903" s="59">
        <f>IF(OR(M903=0,N903=0), 0, IF(OR($K$6="Square Grid", M903=1), M903*N903*$K$5, (INT((N903+1)/2)*M903 + INT(N903/2)*IF(($G$6-M903*H903)&gt;=0.5*H903, M903, M903-1))*$K$5))</f>
        <v/>
      </c>
      <c r="P903" s="59">
        <f>IF(L903&lt;=0, 0, INT($G$8/L903))</f>
        <v/>
      </c>
      <c r="Q903" s="95">
        <f>MIN(O903, P903)</f>
        <v/>
      </c>
      <c r="R903" s="96">
        <f>ROUND((Q903*L903)/1000, 2)</f>
        <v/>
      </c>
      <c r="S903" s="79">
        <f>IF($C$8&gt;0, R903/$C$8, 0)</f>
        <v/>
      </c>
      <c r="T903" s="79">
        <f>IF(O903&gt;0, Q903/O903, 0)</f>
        <v/>
      </c>
      <c r="U903" s="12">
        <f>IF(Q903=0, "Exceeds Limit", IF(P903&lt;=O903, "Weight Limited", "Volume Limited"))</f>
        <v/>
      </c>
      <c r="V903" s="97">
        <f>B903&amp;"|"&amp;D903&amp;"|"&amp;F903</f>
        <v/>
      </c>
    </row>
    <row r="904" ht="19" customHeight="1">
      <c r="A904" s="98" t="n">
        <v>894</v>
      </c>
      <c r="B904" s="102" t="inlineStr">
        <is>
          <t>Stainless Steel 316</t>
        </is>
      </c>
      <c r="C904" s="19" t="inlineStr">
        <is>
          <t>ASME B36.19M / B36.10M</t>
        </is>
      </c>
      <c r="D904" s="18" t="inlineStr">
        <is>
          <t>2-1/2''</t>
        </is>
      </c>
      <c r="E904" s="98" t="n">
        <v>65</v>
      </c>
      <c r="F904" s="18" t="inlineStr">
        <is>
          <t>30</t>
        </is>
      </c>
      <c r="G904" s="20" t="n">
        <v>2.875</v>
      </c>
      <c r="H904" s="82" t="n">
        <v>73.02</v>
      </c>
      <c r="I904" s="20" t="n">
        <v>0.188</v>
      </c>
      <c r="J904" s="82" t="n">
        <v>4.78</v>
      </c>
      <c r="K904" s="20">
        <f>ROUND((H904-J904)*J904*IF(B904="Carbon Steel",$K$7,IF(B904="Stainless Steel 304",$K$8,$L$8)), 3)</f>
        <v/>
      </c>
      <c r="L904" s="82">
        <f>ROUND(K904*$G$5, 2)</f>
        <v/>
      </c>
      <c r="M904" s="98">
        <f>INT($G$6/H904)</f>
        <v/>
      </c>
      <c r="N904" s="98">
        <f>IF(M904=0, 0, IF(OR($K$6="Square Grid", M904=1), INT($G$7/H904), IF($G$7&lt;H904, 0, 1+INT(($G$7-H904)/(0.8660254*H904)))))</f>
        <v/>
      </c>
      <c r="O904" s="84">
        <f>IF(OR(M904=0,N904=0), 0, IF(OR($K$6="Square Grid", M904=1), M904*N904*$K$5, (INT((N904+1)/2)*M904 + INT(N904/2)*IF(($G$6-M904*H904)&gt;=0.5*H904, M904, M904-1))*$K$5))</f>
        <v/>
      </c>
      <c r="P904" s="84">
        <f>IF(L904&lt;=0, 0, INT($G$8/L904))</f>
        <v/>
      </c>
      <c r="Q904" s="95">
        <f>MIN(O904, P904)</f>
        <v/>
      </c>
      <c r="R904" s="96">
        <f>ROUND((Q904*L904)/1000, 2)</f>
        <v/>
      </c>
      <c r="S904" s="85">
        <f>IF($C$8&gt;0, R904/$C$8, 0)</f>
        <v/>
      </c>
      <c r="T904" s="85">
        <f>IF(O904&gt;0, Q904/O904, 0)</f>
        <v/>
      </c>
      <c r="U904" s="18">
        <f>IF(Q904=0, "Exceeds Limit", IF(P904&lt;=O904, "Weight Limited", "Volume Limited"))</f>
        <v/>
      </c>
      <c r="V904" s="100">
        <f>B904&amp;"|"&amp;D904&amp;"|"&amp;F904</f>
        <v/>
      </c>
    </row>
    <row r="905" ht="19" customHeight="1">
      <c r="A905" s="93" t="n">
        <v>895</v>
      </c>
      <c r="B905" s="101" t="inlineStr">
        <is>
          <t>Stainless Steel 316</t>
        </is>
      </c>
      <c r="C905" s="13" t="inlineStr">
        <is>
          <t>ASME B36.19M / B36.10M</t>
        </is>
      </c>
      <c r="D905" s="12" t="inlineStr">
        <is>
          <t>2-1/2''</t>
        </is>
      </c>
      <c r="E905" s="93" t="n">
        <v>65</v>
      </c>
      <c r="F905" s="12" t="inlineStr">
        <is>
          <t>40S</t>
        </is>
      </c>
      <c r="G905" s="14" t="n">
        <v>2.875</v>
      </c>
      <c r="H905" s="78" t="n">
        <v>73.02</v>
      </c>
      <c r="I905" s="14" t="n">
        <v>0.203</v>
      </c>
      <c r="J905" s="78" t="n">
        <v>5.16</v>
      </c>
      <c r="K905" s="14">
        <f>ROUND((H905-J905)*J905*IF(B905="Carbon Steel",$K$7,IF(B905="Stainless Steel 304",$K$8,$L$8)), 3)</f>
        <v/>
      </c>
      <c r="L905" s="78">
        <f>ROUND(K905*$G$5, 2)</f>
        <v/>
      </c>
      <c r="M905" s="93">
        <f>INT($G$6/H905)</f>
        <v/>
      </c>
      <c r="N905" s="93">
        <f>IF(M905=0, 0, IF(OR($K$6="Square Grid", M905=1), INT($G$7/H905), IF($G$7&lt;H905, 0, 1+INT(($G$7-H905)/(0.8660254*H905)))))</f>
        <v/>
      </c>
      <c r="O905" s="59">
        <f>IF(OR(M905=0,N905=0), 0, IF(OR($K$6="Square Grid", M905=1), M905*N905*$K$5, (INT((N905+1)/2)*M905 + INT(N905/2)*IF(($G$6-M905*H905)&gt;=0.5*H905, M905, M905-1))*$K$5))</f>
        <v/>
      </c>
      <c r="P905" s="59">
        <f>IF(L905&lt;=0, 0, INT($G$8/L905))</f>
        <v/>
      </c>
      <c r="Q905" s="95">
        <f>MIN(O905, P905)</f>
        <v/>
      </c>
      <c r="R905" s="96">
        <f>ROUND((Q905*L905)/1000, 2)</f>
        <v/>
      </c>
      <c r="S905" s="79">
        <f>IF($C$8&gt;0, R905/$C$8, 0)</f>
        <v/>
      </c>
      <c r="T905" s="79">
        <f>IF(O905&gt;0, Q905/O905, 0)</f>
        <v/>
      </c>
      <c r="U905" s="12">
        <f>IF(Q905=0, "Exceeds Limit", IF(P905&lt;=O905, "Weight Limited", "Volume Limited"))</f>
        <v/>
      </c>
      <c r="V905" s="97">
        <f>B905&amp;"|"&amp;D905&amp;"|"&amp;F905</f>
        <v/>
      </c>
    </row>
    <row r="906" ht="19" customHeight="1">
      <c r="A906" s="98" t="n">
        <v>896</v>
      </c>
      <c r="B906" s="102" t="inlineStr">
        <is>
          <t>Stainless Steel 316</t>
        </is>
      </c>
      <c r="C906" s="19" t="inlineStr">
        <is>
          <t>ASME B36.19M / B36.10M</t>
        </is>
      </c>
      <c r="D906" s="18" t="inlineStr">
        <is>
          <t>2-1/2''</t>
        </is>
      </c>
      <c r="E906" s="98" t="n">
        <v>65</v>
      </c>
      <c r="F906" s="18" t="inlineStr">
        <is>
          <t>STD</t>
        </is>
      </c>
      <c r="G906" s="20" t="n">
        <v>2.875</v>
      </c>
      <c r="H906" s="82" t="n">
        <v>73.02</v>
      </c>
      <c r="I906" s="20" t="n">
        <v>0.203</v>
      </c>
      <c r="J906" s="82" t="n">
        <v>5.16</v>
      </c>
      <c r="K906" s="20">
        <f>ROUND((H906-J906)*J906*IF(B906="Carbon Steel",$K$7,IF(B906="Stainless Steel 304",$K$8,$L$8)), 3)</f>
        <v/>
      </c>
      <c r="L906" s="82">
        <f>ROUND(K906*$G$5, 2)</f>
        <v/>
      </c>
      <c r="M906" s="98">
        <f>INT($G$6/H906)</f>
        <v/>
      </c>
      <c r="N906" s="98">
        <f>IF(M906=0, 0, IF(OR($K$6="Square Grid", M906=1), INT($G$7/H906), IF($G$7&lt;H906, 0, 1+INT(($G$7-H906)/(0.8660254*H906)))))</f>
        <v/>
      </c>
      <c r="O906" s="84">
        <f>IF(OR(M906=0,N906=0), 0, IF(OR($K$6="Square Grid", M906=1), M906*N906*$K$5, (INT((N906+1)/2)*M906 + INT(N906/2)*IF(($G$6-M906*H906)&gt;=0.5*H906, M906, M906-1))*$K$5))</f>
        <v/>
      </c>
      <c r="P906" s="84">
        <f>IF(L906&lt;=0, 0, INT($G$8/L906))</f>
        <v/>
      </c>
      <c r="Q906" s="95">
        <f>MIN(O906, P906)</f>
        <v/>
      </c>
      <c r="R906" s="96">
        <f>ROUND((Q906*L906)/1000, 2)</f>
        <v/>
      </c>
      <c r="S906" s="85">
        <f>IF($C$8&gt;0, R906/$C$8, 0)</f>
        <v/>
      </c>
      <c r="T906" s="85">
        <f>IF(O906&gt;0, Q906/O906, 0)</f>
        <v/>
      </c>
      <c r="U906" s="18">
        <f>IF(Q906=0, "Exceeds Limit", IF(P906&lt;=O906, "Weight Limited", "Volume Limited"))</f>
        <v/>
      </c>
      <c r="V906" s="100">
        <f>B906&amp;"|"&amp;D906&amp;"|"&amp;F906</f>
        <v/>
      </c>
    </row>
    <row r="907" ht="19" customHeight="1">
      <c r="A907" s="93" t="n">
        <v>897</v>
      </c>
      <c r="B907" s="101" t="inlineStr">
        <is>
          <t>Stainless Steel 316</t>
        </is>
      </c>
      <c r="C907" s="13" t="inlineStr">
        <is>
          <t>ASME B36.19M / B36.10M</t>
        </is>
      </c>
      <c r="D907" s="12" t="inlineStr">
        <is>
          <t>2-1/2''</t>
        </is>
      </c>
      <c r="E907" s="93" t="n">
        <v>65</v>
      </c>
      <c r="F907" s="12" t="inlineStr">
        <is>
          <t>40</t>
        </is>
      </c>
      <c r="G907" s="14" t="n">
        <v>2.875</v>
      </c>
      <c r="H907" s="78" t="n">
        <v>73.02</v>
      </c>
      <c r="I907" s="14" t="n">
        <v>0.203</v>
      </c>
      <c r="J907" s="78" t="n">
        <v>5.16</v>
      </c>
      <c r="K907" s="14">
        <f>ROUND((H907-J907)*J907*IF(B907="Carbon Steel",$K$7,IF(B907="Stainless Steel 304",$K$8,$L$8)), 3)</f>
        <v/>
      </c>
      <c r="L907" s="78">
        <f>ROUND(K907*$G$5, 2)</f>
        <v/>
      </c>
      <c r="M907" s="93">
        <f>INT($G$6/H907)</f>
        <v/>
      </c>
      <c r="N907" s="93">
        <f>IF(M907=0, 0, IF(OR($K$6="Square Grid", M907=1), INT($G$7/H907), IF($G$7&lt;H907, 0, 1+INT(($G$7-H907)/(0.8660254*H907)))))</f>
        <v/>
      </c>
      <c r="O907" s="59">
        <f>IF(OR(M907=0,N907=0), 0, IF(OR($K$6="Square Grid", M907=1), M907*N907*$K$5, (INT((N907+1)/2)*M907 + INT(N907/2)*IF(($G$6-M907*H907)&gt;=0.5*H907, M907, M907-1))*$K$5))</f>
        <v/>
      </c>
      <c r="P907" s="59">
        <f>IF(L907&lt;=0, 0, INT($G$8/L907))</f>
        <v/>
      </c>
      <c r="Q907" s="95">
        <f>MIN(O907, P907)</f>
        <v/>
      </c>
      <c r="R907" s="96">
        <f>ROUND((Q907*L907)/1000, 2)</f>
        <v/>
      </c>
      <c r="S907" s="79">
        <f>IF($C$8&gt;0, R907/$C$8, 0)</f>
        <v/>
      </c>
      <c r="T907" s="79">
        <f>IF(O907&gt;0, Q907/O907, 0)</f>
        <v/>
      </c>
      <c r="U907" s="12">
        <f>IF(Q907=0, "Exceeds Limit", IF(P907&lt;=O907, "Weight Limited", "Volume Limited"))</f>
        <v/>
      </c>
      <c r="V907" s="97">
        <f>B907&amp;"|"&amp;D907&amp;"|"&amp;F907</f>
        <v/>
      </c>
    </row>
    <row r="908" ht="19" customHeight="1">
      <c r="A908" s="98" t="n">
        <v>898</v>
      </c>
      <c r="B908" s="102" t="inlineStr">
        <is>
          <t>Stainless Steel 316</t>
        </is>
      </c>
      <c r="C908" s="19" t="inlineStr">
        <is>
          <t>ASME B36.19M / B36.10M</t>
        </is>
      </c>
      <c r="D908" s="18" t="inlineStr">
        <is>
          <t>2-1/2''</t>
        </is>
      </c>
      <c r="E908" s="98" t="n">
        <v>65</v>
      </c>
      <c r="F908" s="18" t="inlineStr">
        <is>
          <t>80S</t>
        </is>
      </c>
      <c r="G908" s="20" t="n">
        <v>2.875</v>
      </c>
      <c r="H908" s="82" t="n">
        <v>73.02</v>
      </c>
      <c r="I908" s="20" t="n">
        <v>0.276</v>
      </c>
      <c r="J908" s="82" t="n">
        <v>7.01</v>
      </c>
      <c r="K908" s="20">
        <f>ROUND((H908-J908)*J908*IF(B908="Carbon Steel",$K$7,IF(B908="Stainless Steel 304",$K$8,$L$8)), 3)</f>
        <v/>
      </c>
      <c r="L908" s="82">
        <f>ROUND(K908*$G$5, 2)</f>
        <v/>
      </c>
      <c r="M908" s="98">
        <f>INT($G$6/H908)</f>
        <v/>
      </c>
      <c r="N908" s="98">
        <f>IF(M908=0, 0, IF(OR($K$6="Square Grid", M908=1), INT($G$7/H908), IF($G$7&lt;H908, 0, 1+INT(($G$7-H908)/(0.8660254*H908)))))</f>
        <v/>
      </c>
      <c r="O908" s="84">
        <f>IF(OR(M908=0,N908=0), 0, IF(OR($K$6="Square Grid", M908=1), M908*N908*$K$5, (INT((N908+1)/2)*M908 + INT(N908/2)*IF(($G$6-M908*H908)&gt;=0.5*H908, M908, M908-1))*$K$5))</f>
        <v/>
      </c>
      <c r="P908" s="84">
        <f>IF(L908&lt;=0, 0, INT($G$8/L908))</f>
        <v/>
      </c>
      <c r="Q908" s="95">
        <f>MIN(O908, P908)</f>
        <v/>
      </c>
      <c r="R908" s="96">
        <f>ROUND((Q908*L908)/1000, 2)</f>
        <v/>
      </c>
      <c r="S908" s="85">
        <f>IF($C$8&gt;0, R908/$C$8, 0)</f>
        <v/>
      </c>
      <c r="T908" s="85">
        <f>IF(O908&gt;0, Q908/O908, 0)</f>
        <v/>
      </c>
      <c r="U908" s="18">
        <f>IF(Q908=0, "Exceeds Limit", IF(P908&lt;=O908, "Weight Limited", "Volume Limited"))</f>
        <v/>
      </c>
      <c r="V908" s="100">
        <f>B908&amp;"|"&amp;D908&amp;"|"&amp;F908</f>
        <v/>
      </c>
    </row>
    <row r="909" ht="19" customHeight="1">
      <c r="A909" s="93" t="n">
        <v>899</v>
      </c>
      <c r="B909" s="101" t="inlineStr">
        <is>
          <t>Stainless Steel 316</t>
        </is>
      </c>
      <c r="C909" s="13" t="inlineStr">
        <is>
          <t>ASME B36.19M / B36.10M</t>
        </is>
      </c>
      <c r="D909" s="12" t="inlineStr">
        <is>
          <t>2-1/2''</t>
        </is>
      </c>
      <c r="E909" s="93" t="n">
        <v>65</v>
      </c>
      <c r="F909" s="12" t="inlineStr">
        <is>
          <t>XS</t>
        </is>
      </c>
      <c r="G909" s="14" t="n">
        <v>2.875</v>
      </c>
      <c r="H909" s="78" t="n">
        <v>73.02</v>
      </c>
      <c r="I909" s="14" t="n">
        <v>0.276</v>
      </c>
      <c r="J909" s="78" t="n">
        <v>7.01</v>
      </c>
      <c r="K909" s="14">
        <f>ROUND((H909-J909)*J909*IF(B909="Carbon Steel",$K$7,IF(B909="Stainless Steel 304",$K$8,$L$8)), 3)</f>
        <v/>
      </c>
      <c r="L909" s="78">
        <f>ROUND(K909*$G$5, 2)</f>
        <v/>
      </c>
      <c r="M909" s="93">
        <f>INT($G$6/H909)</f>
        <v/>
      </c>
      <c r="N909" s="93">
        <f>IF(M909=0, 0, IF(OR($K$6="Square Grid", M909=1), INT($G$7/H909), IF($G$7&lt;H909, 0, 1+INT(($G$7-H909)/(0.8660254*H909)))))</f>
        <v/>
      </c>
      <c r="O909" s="59">
        <f>IF(OR(M909=0,N909=0), 0, IF(OR($K$6="Square Grid", M909=1), M909*N909*$K$5, (INT((N909+1)/2)*M909 + INT(N909/2)*IF(($G$6-M909*H909)&gt;=0.5*H909, M909, M909-1))*$K$5))</f>
        <v/>
      </c>
      <c r="P909" s="59">
        <f>IF(L909&lt;=0, 0, INT($G$8/L909))</f>
        <v/>
      </c>
      <c r="Q909" s="95">
        <f>MIN(O909, P909)</f>
        <v/>
      </c>
      <c r="R909" s="96">
        <f>ROUND((Q909*L909)/1000, 2)</f>
        <v/>
      </c>
      <c r="S909" s="79">
        <f>IF($C$8&gt;0, R909/$C$8, 0)</f>
        <v/>
      </c>
      <c r="T909" s="79">
        <f>IF(O909&gt;0, Q909/O909, 0)</f>
        <v/>
      </c>
      <c r="U909" s="12">
        <f>IF(Q909=0, "Exceeds Limit", IF(P909&lt;=O909, "Weight Limited", "Volume Limited"))</f>
        <v/>
      </c>
      <c r="V909" s="97">
        <f>B909&amp;"|"&amp;D909&amp;"|"&amp;F909</f>
        <v/>
      </c>
    </row>
    <row r="910" ht="19" customHeight="1">
      <c r="A910" s="98" t="n">
        <v>900</v>
      </c>
      <c r="B910" s="102" t="inlineStr">
        <is>
          <t>Stainless Steel 316</t>
        </is>
      </c>
      <c r="C910" s="19" t="inlineStr">
        <is>
          <t>ASME B36.19M / B36.10M</t>
        </is>
      </c>
      <c r="D910" s="18" t="inlineStr">
        <is>
          <t>2-1/2''</t>
        </is>
      </c>
      <c r="E910" s="98" t="n">
        <v>65</v>
      </c>
      <c r="F910" s="18" t="inlineStr">
        <is>
          <t>80</t>
        </is>
      </c>
      <c r="G910" s="20" t="n">
        <v>2.875</v>
      </c>
      <c r="H910" s="82" t="n">
        <v>73.02</v>
      </c>
      <c r="I910" s="20" t="n">
        <v>0.276</v>
      </c>
      <c r="J910" s="82" t="n">
        <v>7.01</v>
      </c>
      <c r="K910" s="20">
        <f>ROUND((H910-J910)*J910*IF(B910="Carbon Steel",$K$7,IF(B910="Stainless Steel 304",$K$8,$L$8)), 3)</f>
        <v/>
      </c>
      <c r="L910" s="82">
        <f>ROUND(K910*$G$5, 2)</f>
        <v/>
      </c>
      <c r="M910" s="98">
        <f>INT($G$6/H910)</f>
        <v/>
      </c>
      <c r="N910" s="98">
        <f>IF(M910=0, 0, IF(OR($K$6="Square Grid", M910=1), INT($G$7/H910), IF($G$7&lt;H910, 0, 1+INT(($G$7-H910)/(0.8660254*H910)))))</f>
        <v/>
      </c>
      <c r="O910" s="84">
        <f>IF(OR(M910=0,N910=0), 0, IF(OR($K$6="Square Grid", M910=1), M910*N910*$K$5, (INT((N910+1)/2)*M910 + INT(N910/2)*IF(($G$6-M910*H910)&gt;=0.5*H910, M910, M910-1))*$K$5))</f>
        <v/>
      </c>
      <c r="P910" s="84">
        <f>IF(L910&lt;=0, 0, INT($G$8/L910))</f>
        <v/>
      </c>
      <c r="Q910" s="95">
        <f>MIN(O910, P910)</f>
        <v/>
      </c>
      <c r="R910" s="96">
        <f>ROUND((Q910*L910)/1000, 2)</f>
        <v/>
      </c>
      <c r="S910" s="85">
        <f>IF($C$8&gt;0, R910/$C$8, 0)</f>
        <v/>
      </c>
      <c r="T910" s="85">
        <f>IF(O910&gt;0, Q910/O910, 0)</f>
        <v/>
      </c>
      <c r="U910" s="18">
        <f>IF(Q910=0, "Exceeds Limit", IF(P910&lt;=O910, "Weight Limited", "Volume Limited"))</f>
        <v/>
      </c>
      <c r="V910" s="100">
        <f>B910&amp;"|"&amp;D910&amp;"|"&amp;F910</f>
        <v/>
      </c>
    </row>
    <row r="911" ht="19" customHeight="1">
      <c r="A911" s="93" t="n">
        <v>901</v>
      </c>
      <c r="B911" s="101" t="inlineStr">
        <is>
          <t>Stainless Steel 316</t>
        </is>
      </c>
      <c r="C911" s="13" t="inlineStr">
        <is>
          <t>ASME B36.19M / B36.10M</t>
        </is>
      </c>
      <c r="D911" s="12" t="inlineStr">
        <is>
          <t>2-1/2''</t>
        </is>
      </c>
      <c r="E911" s="93" t="n">
        <v>65</v>
      </c>
      <c r="F911" s="12" t="inlineStr">
        <is>
          <t>160</t>
        </is>
      </c>
      <c r="G911" s="14" t="n">
        <v>2.875</v>
      </c>
      <c r="H911" s="78" t="n">
        <v>73.02</v>
      </c>
      <c r="I911" s="14" t="n">
        <v>0.375</v>
      </c>
      <c r="J911" s="78" t="n">
        <v>9.52</v>
      </c>
      <c r="K911" s="14">
        <f>ROUND((H911-J911)*J911*IF(B911="Carbon Steel",$K$7,IF(B911="Stainless Steel 304",$K$8,$L$8)), 3)</f>
        <v/>
      </c>
      <c r="L911" s="78">
        <f>ROUND(K911*$G$5, 2)</f>
        <v/>
      </c>
      <c r="M911" s="93">
        <f>INT($G$6/H911)</f>
        <v/>
      </c>
      <c r="N911" s="93">
        <f>IF(M911=0, 0, IF(OR($K$6="Square Grid", M911=1), INT($G$7/H911), IF($G$7&lt;H911, 0, 1+INT(($G$7-H911)/(0.8660254*H911)))))</f>
        <v/>
      </c>
      <c r="O911" s="59">
        <f>IF(OR(M911=0,N911=0), 0, IF(OR($K$6="Square Grid", M911=1), M911*N911*$K$5, (INT((N911+1)/2)*M911 + INT(N911/2)*IF(($G$6-M911*H911)&gt;=0.5*H911, M911, M911-1))*$K$5))</f>
        <v/>
      </c>
      <c r="P911" s="59">
        <f>IF(L911&lt;=0, 0, INT($G$8/L911))</f>
        <v/>
      </c>
      <c r="Q911" s="95">
        <f>MIN(O911, P911)</f>
        <v/>
      </c>
      <c r="R911" s="96">
        <f>ROUND((Q911*L911)/1000, 2)</f>
        <v/>
      </c>
      <c r="S911" s="79">
        <f>IF($C$8&gt;0, R911/$C$8, 0)</f>
        <v/>
      </c>
      <c r="T911" s="79">
        <f>IF(O911&gt;0, Q911/O911, 0)</f>
        <v/>
      </c>
      <c r="U911" s="12">
        <f>IF(Q911=0, "Exceeds Limit", IF(P911&lt;=O911, "Weight Limited", "Volume Limited"))</f>
        <v/>
      </c>
      <c r="V911" s="97">
        <f>B911&amp;"|"&amp;D911&amp;"|"&amp;F911</f>
        <v/>
      </c>
    </row>
    <row r="912" ht="19" customHeight="1">
      <c r="A912" s="98" t="n">
        <v>902</v>
      </c>
      <c r="B912" s="102" t="inlineStr">
        <is>
          <t>Stainless Steel 316</t>
        </is>
      </c>
      <c r="C912" s="19" t="inlineStr">
        <is>
          <t>ASME B36.19M / B36.10M</t>
        </is>
      </c>
      <c r="D912" s="18" t="inlineStr">
        <is>
          <t>2-1/2''</t>
        </is>
      </c>
      <c r="E912" s="98" t="n">
        <v>65</v>
      </c>
      <c r="F912" s="18" t="inlineStr">
        <is>
          <t>XXS</t>
        </is>
      </c>
      <c r="G912" s="20" t="n">
        <v>2.875</v>
      </c>
      <c r="H912" s="82" t="n">
        <v>73.02</v>
      </c>
      <c r="I912" s="20" t="n">
        <v>0.552</v>
      </c>
      <c r="J912" s="82" t="n">
        <v>14.02</v>
      </c>
      <c r="K912" s="20">
        <f>ROUND((H912-J912)*J912*IF(B912="Carbon Steel",$K$7,IF(B912="Stainless Steel 304",$K$8,$L$8)), 3)</f>
        <v/>
      </c>
      <c r="L912" s="82">
        <f>ROUND(K912*$G$5, 2)</f>
        <v/>
      </c>
      <c r="M912" s="98">
        <f>INT($G$6/H912)</f>
        <v/>
      </c>
      <c r="N912" s="98">
        <f>IF(M912=0, 0, IF(OR($K$6="Square Grid", M912=1), INT($G$7/H912), IF($G$7&lt;H912, 0, 1+INT(($G$7-H912)/(0.8660254*H912)))))</f>
        <v/>
      </c>
      <c r="O912" s="84">
        <f>IF(OR(M912=0,N912=0), 0, IF(OR($K$6="Square Grid", M912=1), M912*N912*$K$5, (INT((N912+1)/2)*M912 + INT(N912/2)*IF(($G$6-M912*H912)&gt;=0.5*H912, M912, M912-1))*$K$5))</f>
        <v/>
      </c>
      <c r="P912" s="84">
        <f>IF(L912&lt;=0, 0, INT($G$8/L912))</f>
        <v/>
      </c>
      <c r="Q912" s="95">
        <f>MIN(O912, P912)</f>
        <v/>
      </c>
      <c r="R912" s="96">
        <f>ROUND((Q912*L912)/1000, 2)</f>
        <v/>
      </c>
      <c r="S912" s="85">
        <f>IF($C$8&gt;0, R912/$C$8, 0)</f>
        <v/>
      </c>
      <c r="T912" s="85">
        <f>IF(O912&gt;0, Q912/O912, 0)</f>
        <v/>
      </c>
      <c r="U912" s="18">
        <f>IF(Q912=0, "Exceeds Limit", IF(P912&lt;=O912, "Weight Limited", "Volume Limited"))</f>
        <v/>
      </c>
      <c r="V912" s="100">
        <f>B912&amp;"|"&amp;D912&amp;"|"&amp;F912</f>
        <v/>
      </c>
    </row>
    <row r="913" ht="19" customHeight="1">
      <c r="A913" s="93" t="n">
        <v>903</v>
      </c>
      <c r="B913" s="101" t="inlineStr">
        <is>
          <t>Stainless Steel 316</t>
        </is>
      </c>
      <c r="C913" s="13" t="inlineStr">
        <is>
          <t>ASME B36.19M / B36.10M</t>
        </is>
      </c>
      <c r="D913" s="12" t="inlineStr">
        <is>
          <t>3''</t>
        </is>
      </c>
      <c r="E913" s="93" t="n">
        <v>80</v>
      </c>
      <c r="F913" s="12" t="inlineStr">
        <is>
          <t>5S</t>
        </is>
      </c>
      <c r="G913" s="14" t="n">
        <v>3.5</v>
      </c>
      <c r="H913" s="78" t="n">
        <v>88.90000000000001</v>
      </c>
      <c r="I913" s="14" t="n">
        <v>0.083</v>
      </c>
      <c r="J913" s="78" t="n">
        <v>2.11</v>
      </c>
      <c r="K913" s="14">
        <f>ROUND((H913-J913)*J913*IF(B913="Carbon Steel",$K$7,IF(B913="Stainless Steel 304",$K$8,$L$8)), 3)</f>
        <v/>
      </c>
      <c r="L913" s="78">
        <f>ROUND(K913*$G$5, 2)</f>
        <v/>
      </c>
      <c r="M913" s="93">
        <f>INT($G$6/H913)</f>
        <v/>
      </c>
      <c r="N913" s="93">
        <f>IF(M913=0, 0, IF(OR($K$6="Square Grid", M913=1), INT($G$7/H913), IF($G$7&lt;H913, 0, 1+INT(($G$7-H913)/(0.8660254*H913)))))</f>
        <v/>
      </c>
      <c r="O913" s="59">
        <f>IF(OR(M913=0,N913=0), 0, IF(OR($K$6="Square Grid", M913=1), M913*N913*$K$5, (INT((N913+1)/2)*M913 + INT(N913/2)*IF(($G$6-M913*H913)&gt;=0.5*H913, M913, M913-1))*$K$5))</f>
        <v/>
      </c>
      <c r="P913" s="59">
        <f>IF(L913&lt;=0, 0, INT($G$8/L913))</f>
        <v/>
      </c>
      <c r="Q913" s="95">
        <f>MIN(O913, P913)</f>
        <v/>
      </c>
      <c r="R913" s="96">
        <f>ROUND((Q913*L913)/1000, 2)</f>
        <v/>
      </c>
      <c r="S913" s="79">
        <f>IF($C$8&gt;0, R913/$C$8, 0)</f>
        <v/>
      </c>
      <c r="T913" s="79">
        <f>IF(O913&gt;0, Q913/O913, 0)</f>
        <v/>
      </c>
      <c r="U913" s="12">
        <f>IF(Q913=0, "Exceeds Limit", IF(P913&lt;=O913, "Weight Limited", "Volume Limited"))</f>
        <v/>
      </c>
      <c r="V913" s="97">
        <f>B913&amp;"|"&amp;D913&amp;"|"&amp;F913</f>
        <v/>
      </c>
    </row>
    <row r="914" ht="19" customHeight="1">
      <c r="A914" s="98" t="n">
        <v>904</v>
      </c>
      <c r="B914" s="102" t="inlineStr">
        <is>
          <t>Stainless Steel 316</t>
        </is>
      </c>
      <c r="C914" s="19" t="inlineStr">
        <is>
          <t>ASME B36.19M / B36.10M</t>
        </is>
      </c>
      <c r="D914" s="18" t="inlineStr">
        <is>
          <t>3''</t>
        </is>
      </c>
      <c r="E914" s="98" t="n">
        <v>80</v>
      </c>
      <c r="F914" s="18" t="inlineStr">
        <is>
          <t>5</t>
        </is>
      </c>
      <c r="G914" s="20" t="n">
        <v>3.5</v>
      </c>
      <c r="H914" s="82" t="n">
        <v>88.90000000000001</v>
      </c>
      <c r="I914" s="20" t="n">
        <v>0.083</v>
      </c>
      <c r="J914" s="82" t="n">
        <v>2.11</v>
      </c>
      <c r="K914" s="20">
        <f>ROUND((H914-J914)*J914*IF(B914="Carbon Steel",$K$7,IF(B914="Stainless Steel 304",$K$8,$L$8)), 3)</f>
        <v/>
      </c>
      <c r="L914" s="82">
        <f>ROUND(K914*$G$5, 2)</f>
        <v/>
      </c>
      <c r="M914" s="98">
        <f>INT($G$6/H914)</f>
        <v/>
      </c>
      <c r="N914" s="98">
        <f>IF(M914=0, 0, IF(OR($K$6="Square Grid", M914=1), INT($G$7/H914), IF($G$7&lt;H914, 0, 1+INT(($G$7-H914)/(0.8660254*H914)))))</f>
        <v/>
      </c>
      <c r="O914" s="84">
        <f>IF(OR(M914=0,N914=0), 0, IF(OR($K$6="Square Grid", M914=1), M914*N914*$K$5, (INT((N914+1)/2)*M914 + INT(N914/2)*IF(($G$6-M914*H914)&gt;=0.5*H914, M914, M914-1))*$K$5))</f>
        <v/>
      </c>
      <c r="P914" s="84">
        <f>IF(L914&lt;=0, 0, INT($G$8/L914))</f>
        <v/>
      </c>
      <c r="Q914" s="95">
        <f>MIN(O914, P914)</f>
        <v/>
      </c>
      <c r="R914" s="96">
        <f>ROUND((Q914*L914)/1000, 2)</f>
        <v/>
      </c>
      <c r="S914" s="85">
        <f>IF($C$8&gt;0, R914/$C$8, 0)</f>
        <v/>
      </c>
      <c r="T914" s="85">
        <f>IF(O914&gt;0, Q914/O914, 0)</f>
        <v/>
      </c>
      <c r="U914" s="18">
        <f>IF(Q914=0, "Exceeds Limit", IF(P914&lt;=O914, "Weight Limited", "Volume Limited"))</f>
        <v/>
      </c>
      <c r="V914" s="100">
        <f>B914&amp;"|"&amp;D914&amp;"|"&amp;F914</f>
        <v/>
      </c>
    </row>
    <row r="915" ht="19" customHeight="1">
      <c r="A915" s="93" t="n">
        <v>905</v>
      </c>
      <c r="B915" s="101" t="inlineStr">
        <is>
          <t>Stainless Steel 316</t>
        </is>
      </c>
      <c r="C915" s="13" t="inlineStr">
        <is>
          <t>ASME B36.19M / B36.10M</t>
        </is>
      </c>
      <c r="D915" s="12" t="inlineStr">
        <is>
          <t>3''</t>
        </is>
      </c>
      <c r="E915" s="93" t="n">
        <v>80</v>
      </c>
      <c r="F915" s="12" t="inlineStr">
        <is>
          <t>10S</t>
        </is>
      </c>
      <c r="G915" s="14" t="n">
        <v>3.5</v>
      </c>
      <c r="H915" s="78" t="n">
        <v>88.90000000000001</v>
      </c>
      <c r="I915" s="14" t="n">
        <v>0.12</v>
      </c>
      <c r="J915" s="78" t="n">
        <v>3.05</v>
      </c>
      <c r="K915" s="14">
        <f>ROUND((H915-J915)*J915*IF(B915="Carbon Steel",$K$7,IF(B915="Stainless Steel 304",$K$8,$L$8)), 3)</f>
        <v/>
      </c>
      <c r="L915" s="78">
        <f>ROUND(K915*$G$5, 2)</f>
        <v/>
      </c>
      <c r="M915" s="93">
        <f>INT($G$6/H915)</f>
        <v/>
      </c>
      <c r="N915" s="93">
        <f>IF(M915=0, 0, IF(OR($K$6="Square Grid", M915=1), INT($G$7/H915), IF($G$7&lt;H915, 0, 1+INT(($G$7-H915)/(0.8660254*H915)))))</f>
        <v/>
      </c>
      <c r="O915" s="59">
        <f>IF(OR(M915=0,N915=0), 0, IF(OR($K$6="Square Grid", M915=1), M915*N915*$K$5, (INT((N915+1)/2)*M915 + INT(N915/2)*IF(($G$6-M915*H915)&gt;=0.5*H915, M915, M915-1))*$K$5))</f>
        <v/>
      </c>
      <c r="P915" s="59">
        <f>IF(L915&lt;=0, 0, INT($G$8/L915))</f>
        <v/>
      </c>
      <c r="Q915" s="95">
        <f>MIN(O915, P915)</f>
        <v/>
      </c>
      <c r="R915" s="96">
        <f>ROUND((Q915*L915)/1000, 2)</f>
        <v/>
      </c>
      <c r="S915" s="79">
        <f>IF($C$8&gt;0, R915/$C$8, 0)</f>
        <v/>
      </c>
      <c r="T915" s="79">
        <f>IF(O915&gt;0, Q915/O915, 0)</f>
        <v/>
      </c>
      <c r="U915" s="12">
        <f>IF(Q915=0, "Exceeds Limit", IF(P915&lt;=O915, "Weight Limited", "Volume Limited"))</f>
        <v/>
      </c>
      <c r="V915" s="97">
        <f>B915&amp;"|"&amp;D915&amp;"|"&amp;F915</f>
        <v/>
      </c>
    </row>
    <row r="916" ht="19" customHeight="1">
      <c r="A916" s="98" t="n">
        <v>906</v>
      </c>
      <c r="B916" s="102" t="inlineStr">
        <is>
          <t>Stainless Steel 316</t>
        </is>
      </c>
      <c r="C916" s="19" t="inlineStr">
        <is>
          <t>ASME B36.19M / B36.10M</t>
        </is>
      </c>
      <c r="D916" s="18" t="inlineStr">
        <is>
          <t>3''</t>
        </is>
      </c>
      <c r="E916" s="98" t="n">
        <v>80</v>
      </c>
      <c r="F916" s="18" t="inlineStr">
        <is>
          <t>10</t>
        </is>
      </c>
      <c r="G916" s="20" t="n">
        <v>3.5</v>
      </c>
      <c r="H916" s="82" t="n">
        <v>88.90000000000001</v>
      </c>
      <c r="I916" s="20" t="n">
        <v>0.12</v>
      </c>
      <c r="J916" s="82" t="n">
        <v>3.05</v>
      </c>
      <c r="K916" s="20">
        <f>ROUND((H916-J916)*J916*IF(B916="Carbon Steel",$K$7,IF(B916="Stainless Steel 304",$K$8,$L$8)), 3)</f>
        <v/>
      </c>
      <c r="L916" s="82">
        <f>ROUND(K916*$G$5, 2)</f>
        <v/>
      </c>
      <c r="M916" s="98">
        <f>INT($G$6/H916)</f>
        <v/>
      </c>
      <c r="N916" s="98">
        <f>IF(M916=0, 0, IF(OR($K$6="Square Grid", M916=1), INT($G$7/H916), IF($G$7&lt;H916, 0, 1+INT(($G$7-H916)/(0.8660254*H916)))))</f>
        <v/>
      </c>
      <c r="O916" s="84">
        <f>IF(OR(M916=0,N916=0), 0, IF(OR($K$6="Square Grid", M916=1), M916*N916*$K$5, (INT((N916+1)/2)*M916 + INT(N916/2)*IF(($G$6-M916*H916)&gt;=0.5*H916, M916, M916-1))*$K$5))</f>
        <v/>
      </c>
      <c r="P916" s="84">
        <f>IF(L916&lt;=0, 0, INT($G$8/L916))</f>
        <v/>
      </c>
      <c r="Q916" s="95">
        <f>MIN(O916, P916)</f>
        <v/>
      </c>
      <c r="R916" s="96">
        <f>ROUND((Q916*L916)/1000, 2)</f>
        <v/>
      </c>
      <c r="S916" s="85">
        <f>IF($C$8&gt;0, R916/$C$8, 0)</f>
        <v/>
      </c>
      <c r="T916" s="85">
        <f>IF(O916&gt;0, Q916/O916, 0)</f>
        <v/>
      </c>
      <c r="U916" s="18">
        <f>IF(Q916=0, "Exceeds Limit", IF(P916&lt;=O916, "Weight Limited", "Volume Limited"))</f>
        <v/>
      </c>
      <c r="V916" s="100">
        <f>B916&amp;"|"&amp;D916&amp;"|"&amp;F916</f>
        <v/>
      </c>
    </row>
    <row r="917" ht="19" customHeight="1">
      <c r="A917" s="93" t="n">
        <v>907</v>
      </c>
      <c r="B917" s="101" t="inlineStr">
        <is>
          <t>Stainless Steel 316</t>
        </is>
      </c>
      <c r="C917" s="13" t="inlineStr">
        <is>
          <t>ASME B36.19M / B36.10M</t>
        </is>
      </c>
      <c r="D917" s="12" t="inlineStr">
        <is>
          <t>3''</t>
        </is>
      </c>
      <c r="E917" s="93" t="n">
        <v>80</v>
      </c>
      <c r="F917" s="12" t="inlineStr">
        <is>
          <t>30</t>
        </is>
      </c>
      <c r="G917" s="14" t="n">
        <v>3.5</v>
      </c>
      <c r="H917" s="78" t="n">
        <v>88.90000000000001</v>
      </c>
      <c r="I917" s="14" t="n">
        <v>0.188</v>
      </c>
      <c r="J917" s="78" t="n">
        <v>4.78</v>
      </c>
      <c r="K917" s="14">
        <f>ROUND((H917-J917)*J917*IF(B917="Carbon Steel",$K$7,IF(B917="Stainless Steel 304",$K$8,$L$8)), 3)</f>
        <v/>
      </c>
      <c r="L917" s="78">
        <f>ROUND(K917*$G$5, 2)</f>
        <v/>
      </c>
      <c r="M917" s="93">
        <f>INT($G$6/H917)</f>
        <v/>
      </c>
      <c r="N917" s="93">
        <f>IF(M917=0, 0, IF(OR($K$6="Square Grid", M917=1), INT($G$7/H917), IF($G$7&lt;H917, 0, 1+INT(($G$7-H917)/(0.8660254*H917)))))</f>
        <v/>
      </c>
      <c r="O917" s="59">
        <f>IF(OR(M917=0,N917=0), 0, IF(OR($K$6="Square Grid", M917=1), M917*N917*$K$5, (INT((N917+1)/2)*M917 + INT(N917/2)*IF(($G$6-M917*H917)&gt;=0.5*H917, M917, M917-1))*$K$5))</f>
        <v/>
      </c>
      <c r="P917" s="59">
        <f>IF(L917&lt;=0, 0, INT($G$8/L917))</f>
        <v/>
      </c>
      <c r="Q917" s="95">
        <f>MIN(O917, P917)</f>
        <v/>
      </c>
      <c r="R917" s="96">
        <f>ROUND((Q917*L917)/1000, 2)</f>
        <v/>
      </c>
      <c r="S917" s="79">
        <f>IF($C$8&gt;0, R917/$C$8, 0)</f>
        <v/>
      </c>
      <c r="T917" s="79">
        <f>IF(O917&gt;0, Q917/O917, 0)</f>
        <v/>
      </c>
      <c r="U917" s="12">
        <f>IF(Q917=0, "Exceeds Limit", IF(P917&lt;=O917, "Weight Limited", "Volume Limited"))</f>
        <v/>
      </c>
      <c r="V917" s="97">
        <f>B917&amp;"|"&amp;D917&amp;"|"&amp;F917</f>
        <v/>
      </c>
    </row>
    <row r="918" ht="19" customHeight="1">
      <c r="A918" s="98" t="n">
        <v>908</v>
      </c>
      <c r="B918" s="102" t="inlineStr">
        <is>
          <t>Stainless Steel 316</t>
        </is>
      </c>
      <c r="C918" s="19" t="inlineStr">
        <is>
          <t>ASME B36.19M / B36.10M</t>
        </is>
      </c>
      <c r="D918" s="18" t="inlineStr">
        <is>
          <t>3''</t>
        </is>
      </c>
      <c r="E918" s="98" t="n">
        <v>80</v>
      </c>
      <c r="F918" s="18" t="inlineStr">
        <is>
          <t>40S</t>
        </is>
      </c>
      <c r="G918" s="20" t="n">
        <v>3.5</v>
      </c>
      <c r="H918" s="82" t="n">
        <v>88.90000000000001</v>
      </c>
      <c r="I918" s="20" t="n">
        <v>0.216</v>
      </c>
      <c r="J918" s="82" t="n">
        <v>5.49</v>
      </c>
      <c r="K918" s="20">
        <f>ROUND((H918-J918)*J918*IF(B918="Carbon Steel",$K$7,IF(B918="Stainless Steel 304",$K$8,$L$8)), 3)</f>
        <v/>
      </c>
      <c r="L918" s="82">
        <f>ROUND(K918*$G$5, 2)</f>
        <v/>
      </c>
      <c r="M918" s="98">
        <f>INT($G$6/H918)</f>
        <v/>
      </c>
      <c r="N918" s="98">
        <f>IF(M918=0, 0, IF(OR($K$6="Square Grid", M918=1), INT($G$7/H918), IF($G$7&lt;H918, 0, 1+INT(($G$7-H918)/(0.8660254*H918)))))</f>
        <v/>
      </c>
      <c r="O918" s="84">
        <f>IF(OR(M918=0,N918=0), 0, IF(OR($K$6="Square Grid", M918=1), M918*N918*$K$5, (INT((N918+1)/2)*M918 + INT(N918/2)*IF(($G$6-M918*H918)&gt;=0.5*H918, M918, M918-1))*$K$5))</f>
        <v/>
      </c>
      <c r="P918" s="84">
        <f>IF(L918&lt;=0, 0, INT($G$8/L918))</f>
        <v/>
      </c>
      <c r="Q918" s="95">
        <f>MIN(O918, P918)</f>
        <v/>
      </c>
      <c r="R918" s="96">
        <f>ROUND((Q918*L918)/1000, 2)</f>
        <v/>
      </c>
      <c r="S918" s="85">
        <f>IF($C$8&gt;0, R918/$C$8, 0)</f>
        <v/>
      </c>
      <c r="T918" s="85">
        <f>IF(O918&gt;0, Q918/O918, 0)</f>
        <v/>
      </c>
      <c r="U918" s="18">
        <f>IF(Q918=0, "Exceeds Limit", IF(P918&lt;=O918, "Weight Limited", "Volume Limited"))</f>
        <v/>
      </c>
      <c r="V918" s="100">
        <f>B918&amp;"|"&amp;D918&amp;"|"&amp;F918</f>
        <v/>
      </c>
    </row>
    <row r="919" ht="19" customHeight="1">
      <c r="A919" s="93" t="n">
        <v>909</v>
      </c>
      <c r="B919" s="101" t="inlineStr">
        <is>
          <t>Stainless Steel 316</t>
        </is>
      </c>
      <c r="C919" s="13" t="inlineStr">
        <is>
          <t>ASME B36.19M / B36.10M</t>
        </is>
      </c>
      <c r="D919" s="12" t="inlineStr">
        <is>
          <t>3''</t>
        </is>
      </c>
      <c r="E919" s="93" t="n">
        <v>80</v>
      </c>
      <c r="F919" s="12" t="inlineStr">
        <is>
          <t>STD</t>
        </is>
      </c>
      <c r="G919" s="14" t="n">
        <v>3.5</v>
      </c>
      <c r="H919" s="78" t="n">
        <v>88.90000000000001</v>
      </c>
      <c r="I919" s="14" t="n">
        <v>0.216</v>
      </c>
      <c r="J919" s="78" t="n">
        <v>5.49</v>
      </c>
      <c r="K919" s="14">
        <f>ROUND((H919-J919)*J919*IF(B919="Carbon Steel",$K$7,IF(B919="Stainless Steel 304",$K$8,$L$8)), 3)</f>
        <v/>
      </c>
      <c r="L919" s="78">
        <f>ROUND(K919*$G$5, 2)</f>
        <v/>
      </c>
      <c r="M919" s="93">
        <f>INT($G$6/H919)</f>
        <v/>
      </c>
      <c r="N919" s="93">
        <f>IF(M919=0, 0, IF(OR($K$6="Square Grid", M919=1), INT($G$7/H919), IF($G$7&lt;H919, 0, 1+INT(($G$7-H919)/(0.8660254*H919)))))</f>
        <v/>
      </c>
      <c r="O919" s="59">
        <f>IF(OR(M919=0,N919=0), 0, IF(OR($K$6="Square Grid", M919=1), M919*N919*$K$5, (INT((N919+1)/2)*M919 + INT(N919/2)*IF(($G$6-M919*H919)&gt;=0.5*H919, M919, M919-1))*$K$5))</f>
        <v/>
      </c>
      <c r="P919" s="59">
        <f>IF(L919&lt;=0, 0, INT($G$8/L919))</f>
        <v/>
      </c>
      <c r="Q919" s="95">
        <f>MIN(O919, P919)</f>
        <v/>
      </c>
      <c r="R919" s="96">
        <f>ROUND((Q919*L919)/1000, 2)</f>
        <v/>
      </c>
      <c r="S919" s="79">
        <f>IF($C$8&gt;0, R919/$C$8, 0)</f>
        <v/>
      </c>
      <c r="T919" s="79">
        <f>IF(O919&gt;0, Q919/O919, 0)</f>
        <v/>
      </c>
      <c r="U919" s="12">
        <f>IF(Q919=0, "Exceeds Limit", IF(P919&lt;=O919, "Weight Limited", "Volume Limited"))</f>
        <v/>
      </c>
      <c r="V919" s="97">
        <f>B919&amp;"|"&amp;D919&amp;"|"&amp;F919</f>
        <v/>
      </c>
    </row>
    <row r="920" ht="19" customHeight="1">
      <c r="A920" s="98" t="n">
        <v>910</v>
      </c>
      <c r="B920" s="102" t="inlineStr">
        <is>
          <t>Stainless Steel 316</t>
        </is>
      </c>
      <c r="C920" s="19" t="inlineStr">
        <is>
          <t>ASME B36.19M / B36.10M</t>
        </is>
      </c>
      <c r="D920" s="18" t="inlineStr">
        <is>
          <t>3''</t>
        </is>
      </c>
      <c r="E920" s="98" t="n">
        <v>80</v>
      </c>
      <c r="F920" s="18" t="inlineStr">
        <is>
          <t>40</t>
        </is>
      </c>
      <c r="G920" s="20" t="n">
        <v>3.5</v>
      </c>
      <c r="H920" s="82" t="n">
        <v>88.90000000000001</v>
      </c>
      <c r="I920" s="20" t="n">
        <v>0.216</v>
      </c>
      <c r="J920" s="82" t="n">
        <v>5.49</v>
      </c>
      <c r="K920" s="20">
        <f>ROUND((H920-J920)*J920*IF(B920="Carbon Steel",$K$7,IF(B920="Stainless Steel 304",$K$8,$L$8)), 3)</f>
        <v/>
      </c>
      <c r="L920" s="82">
        <f>ROUND(K920*$G$5, 2)</f>
        <v/>
      </c>
      <c r="M920" s="98">
        <f>INT($G$6/H920)</f>
        <v/>
      </c>
      <c r="N920" s="98">
        <f>IF(M920=0, 0, IF(OR($K$6="Square Grid", M920=1), INT($G$7/H920), IF($G$7&lt;H920, 0, 1+INT(($G$7-H920)/(0.8660254*H920)))))</f>
        <v/>
      </c>
      <c r="O920" s="84">
        <f>IF(OR(M920=0,N920=0), 0, IF(OR($K$6="Square Grid", M920=1), M920*N920*$K$5, (INT((N920+1)/2)*M920 + INT(N920/2)*IF(($G$6-M920*H920)&gt;=0.5*H920, M920, M920-1))*$K$5))</f>
        <v/>
      </c>
      <c r="P920" s="84">
        <f>IF(L920&lt;=0, 0, INT($G$8/L920))</f>
        <v/>
      </c>
      <c r="Q920" s="95">
        <f>MIN(O920, P920)</f>
        <v/>
      </c>
      <c r="R920" s="96">
        <f>ROUND((Q920*L920)/1000, 2)</f>
        <v/>
      </c>
      <c r="S920" s="85">
        <f>IF($C$8&gt;0, R920/$C$8, 0)</f>
        <v/>
      </c>
      <c r="T920" s="85">
        <f>IF(O920&gt;0, Q920/O920, 0)</f>
        <v/>
      </c>
      <c r="U920" s="18">
        <f>IF(Q920=0, "Exceeds Limit", IF(P920&lt;=O920, "Weight Limited", "Volume Limited"))</f>
        <v/>
      </c>
      <c r="V920" s="100">
        <f>B920&amp;"|"&amp;D920&amp;"|"&amp;F920</f>
        <v/>
      </c>
    </row>
    <row r="921" ht="19" customHeight="1">
      <c r="A921" s="93" t="n">
        <v>911</v>
      </c>
      <c r="B921" s="101" t="inlineStr">
        <is>
          <t>Stainless Steel 316</t>
        </is>
      </c>
      <c r="C921" s="13" t="inlineStr">
        <is>
          <t>ASME B36.19M / B36.10M</t>
        </is>
      </c>
      <c r="D921" s="12" t="inlineStr">
        <is>
          <t>3''</t>
        </is>
      </c>
      <c r="E921" s="93" t="n">
        <v>80</v>
      </c>
      <c r="F921" s="12" t="inlineStr">
        <is>
          <t>80S</t>
        </is>
      </c>
      <c r="G921" s="14" t="n">
        <v>3.5</v>
      </c>
      <c r="H921" s="78" t="n">
        <v>88.90000000000001</v>
      </c>
      <c r="I921" s="14" t="n">
        <v>0.3</v>
      </c>
      <c r="J921" s="78" t="n">
        <v>7.62</v>
      </c>
      <c r="K921" s="14">
        <f>ROUND((H921-J921)*J921*IF(B921="Carbon Steel",$K$7,IF(B921="Stainless Steel 304",$K$8,$L$8)), 3)</f>
        <v/>
      </c>
      <c r="L921" s="78">
        <f>ROUND(K921*$G$5, 2)</f>
        <v/>
      </c>
      <c r="M921" s="93">
        <f>INT($G$6/H921)</f>
        <v/>
      </c>
      <c r="N921" s="93">
        <f>IF(M921=0, 0, IF(OR($K$6="Square Grid", M921=1), INT($G$7/H921), IF($G$7&lt;H921, 0, 1+INT(($G$7-H921)/(0.8660254*H921)))))</f>
        <v/>
      </c>
      <c r="O921" s="59">
        <f>IF(OR(M921=0,N921=0), 0, IF(OR($K$6="Square Grid", M921=1), M921*N921*$K$5, (INT((N921+1)/2)*M921 + INT(N921/2)*IF(($G$6-M921*H921)&gt;=0.5*H921, M921, M921-1))*$K$5))</f>
        <v/>
      </c>
      <c r="P921" s="59">
        <f>IF(L921&lt;=0, 0, INT($G$8/L921))</f>
        <v/>
      </c>
      <c r="Q921" s="95">
        <f>MIN(O921, P921)</f>
        <v/>
      </c>
      <c r="R921" s="96">
        <f>ROUND((Q921*L921)/1000, 2)</f>
        <v/>
      </c>
      <c r="S921" s="79">
        <f>IF($C$8&gt;0, R921/$C$8, 0)</f>
        <v/>
      </c>
      <c r="T921" s="79">
        <f>IF(O921&gt;0, Q921/O921, 0)</f>
        <v/>
      </c>
      <c r="U921" s="12">
        <f>IF(Q921=0, "Exceeds Limit", IF(P921&lt;=O921, "Weight Limited", "Volume Limited"))</f>
        <v/>
      </c>
      <c r="V921" s="97">
        <f>B921&amp;"|"&amp;D921&amp;"|"&amp;F921</f>
        <v/>
      </c>
    </row>
    <row r="922" ht="19" customHeight="1">
      <c r="A922" s="98" t="n">
        <v>912</v>
      </c>
      <c r="B922" s="102" t="inlineStr">
        <is>
          <t>Stainless Steel 316</t>
        </is>
      </c>
      <c r="C922" s="19" t="inlineStr">
        <is>
          <t>ASME B36.19M / B36.10M</t>
        </is>
      </c>
      <c r="D922" s="18" t="inlineStr">
        <is>
          <t>3''</t>
        </is>
      </c>
      <c r="E922" s="98" t="n">
        <v>80</v>
      </c>
      <c r="F922" s="18" t="inlineStr">
        <is>
          <t>XS</t>
        </is>
      </c>
      <c r="G922" s="20" t="n">
        <v>3.5</v>
      </c>
      <c r="H922" s="82" t="n">
        <v>88.90000000000001</v>
      </c>
      <c r="I922" s="20" t="n">
        <v>0.3</v>
      </c>
      <c r="J922" s="82" t="n">
        <v>7.62</v>
      </c>
      <c r="K922" s="20">
        <f>ROUND((H922-J922)*J922*IF(B922="Carbon Steel",$K$7,IF(B922="Stainless Steel 304",$K$8,$L$8)), 3)</f>
        <v/>
      </c>
      <c r="L922" s="82">
        <f>ROUND(K922*$G$5, 2)</f>
        <v/>
      </c>
      <c r="M922" s="98">
        <f>INT($G$6/H922)</f>
        <v/>
      </c>
      <c r="N922" s="98">
        <f>IF(M922=0, 0, IF(OR($K$6="Square Grid", M922=1), INT($G$7/H922), IF($G$7&lt;H922, 0, 1+INT(($G$7-H922)/(0.8660254*H922)))))</f>
        <v/>
      </c>
      <c r="O922" s="84">
        <f>IF(OR(M922=0,N922=0), 0, IF(OR($K$6="Square Grid", M922=1), M922*N922*$K$5, (INT((N922+1)/2)*M922 + INT(N922/2)*IF(($G$6-M922*H922)&gt;=0.5*H922, M922, M922-1))*$K$5))</f>
        <v/>
      </c>
      <c r="P922" s="84">
        <f>IF(L922&lt;=0, 0, INT($G$8/L922))</f>
        <v/>
      </c>
      <c r="Q922" s="95">
        <f>MIN(O922, P922)</f>
        <v/>
      </c>
      <c r="R922" s="96">
        <f>ROUND((Q922*L922)/1000, 2)</f>
        <v/>
      </c>
      <c r="S922" s="85">
        <f>IF($C$8&gt;0, R922/$C$8, 0)</f>
        <v/>
      </c>
      <c r="T922" s="85">
        <f>IF(O922&gt;0, Q922/O922, 0)</f>
        <v/>
      </c>
      <c r="U922" s="18">
        <f>IF(Q922=0, "Exceeds Limit", IF(P922&lt;=O922, "Weight Limited", "Volume Limited"))</f>
        <v/>
      </c>
      <c r="V922" s="100">
        <f>B922&amp;"|"&amp;D922&amp;"|"&amp;F922</f>
        <v/>
      </c>
    </row>
    <row r="923" ht="19" customHeight="1">
      <c r="A923" s="93" t="n">
        <v>913</v>
      </c>
      <c r="B923" s="101" t="inlineStr">
        <is>
          <t>Stainless Steel 316</t>
        </is>
      </c>
      <c r="C923" s="13" t="inlineStr">
        <is>
          <t>ASME B36.19M / B36.10M</t>
        </is>
      </c>
      <c r="D923" s="12" t="inlineStr">
        <is>
          <t>3''</t>
        </is>
      </c>
      <c r="E923" s="93" t="n">
        <v>80</v>
      </c>
      <c r="F923" s="12" t="inlineStr">
        <is>
          <t>80</t>
        </is>
      </c>
      <c r="G923" s="14" t="n">
        <v>3.5</v>
      </c>
      <c r="H923" s="78" t="n">
        <v>88.90000000000001</v>
      </c>
      <c r="I923" s="14" t="n">
        <v>0.3</v>
      </c>
      <c r="J923" s="78" t="n">
        <v>7.62</v>
      </c>
      <c r="K923" s="14">
        <f>ROUND((H923-J923)*J923*IF(B923="Carbon Steel",$K$7,IF(B923="Stainless Steel 304",$K$8,$L$8)), 3)</f>
        <v/>
      </c>
      <c r="L923" s="78">
        <f>ROUND(K923*$G$5, 2)</f>
        <v/>
      </c>
      <c r="M923" s="93">
        <f>INT($G$6/H923)</f>
        <v/>
      </c>
      <c r="N923" s="93">
        <f>IF(M923=0, 0, IF(OR($K$6="Square Grid", M923=1), INT($G$7/H923), IF($G$7&lt;H923, 0, 1+INT(($G$7-H923)/(0.8660254*H923)))))</f>
        <v/>
      </c>
      <c r="O923" s="59">
        <f>IF(OR(M923=0,N923=0), 0, IF(OR($K$6="Square Grid", M923=1), M923*N923*$K$5, (INT((N923+1)/2)*M923 + INT(N923/2)*IF(($G$6-M923*H923)&gt;=0.5*H923, M923, M923-1))*$K$5))</f>
        <v/>
      </c>
      <c r="P923" s="59">
        <f>IF(L923&lt;=0, 0, INT($G$8/L923))</f>
        <v/>
      </c>
      <c r="Q923" s="95">
        <f>MIN(O923, P923)</f>
        <v/>
      </c>
      <c r="R923" s="96">
        <f>ROUND((Q923*L923)/1000, 2)</f>
        <v/>
      </c>
      <c r="S923" s="79">
        <f>IF($C$8&gt;0, R923/$C$8, 0)</f>
        <v/>
      </c>
      <c r="T923" s="79">
        <f>IF(O923&gt;0, Q923/O923, 0)</f>
        <v/>
      </c>
      <c r="U923" s="12">
        <f>IF(Q923=0, "Exceeds Limit", IF(P923&lt;=O923, "Weight Limited", "Volume Limited"))</f>
        <v/>
      </c>
      <c r="V923" s="97">
        <f>B923&amp;"|"&amp;D923&amp;"|"&amp;F923</f>
        <v/>
      </c>
    </row>
    <row r="924" ht="19" customHeight="1">
      <c r="A924" s="98" t="n">
        <v>914</v>
      </c>
      <c r="B924" s="102" t="inlineStr">
        <is>
          <t>Stainless Steel 316</t>
        </is>
      </c>
      <c r="C924" s="19" t="inlineStr">
        <is>
          <t>ASME B36.19M / B36.10M</t>
        </is>
      </c>
      <c r="D924" s="18" t="inlineStr">
        <is>
          <t>3''</t>
        </is>
      </c>
      <c r="E924" s="98" t="n">
        <v>80</v>
      </c>
      <c r="F924" s="18" t="inlineStr">
        <is>
          <t>160</t>
        </is>
      </c>
      <c r="G924" s="20" t="n">
        <v>3.5</v>
      </c>
      <c r="H924" s="82" t="n">
        <v>88.90000000000001</v>
      </c>
      <c r="I924" s="20" t="n">
        <v>0.438</v>
      </c>
      <c r="J924" s="82" t="n">
        <v>11.13</v>
      </c>
      <c r="K924" s="20">
        <f>ROUND((H924-J924)*J924*IF(B924="Carbon Steel",$K$7,IF(B924="Stainless Steel 304",$K$8,$L$8)), 3)</f>
        <v/>
      </c>
      <c r="L924" s="82">
        <f>ROUND(K924*$G$5, 2)</f>
        <v/>
      </c>
      <c r="M924" s="98">
        <f>INT($G$6/H924)</f>
        <v/>
      </c>
      <c r="N924" s="98">
        <f>IF(M924=0, 0, IF(OR($K$6="Square Grid", M924=1), INT($G$7/H924), IF($G$7&lt;H924, 0, 1+INT(($G$7-H924)/(0.8660254*H924)))))</f>
        <v/>
      </c>
      <c r="O924" s="84">
        <f>IF(OR(M924=0,N924=0), 0, IF(OR($K$6="Square Grid", M924=1), M924*N924*$K$5, (INT((N924+1)/2)*M924 + INT(N924/2)*IF(($G$6-M924*H924)&gt;=0.5*H924, M924, M924-1))*$K$5))</f>
        <v/>
      </c>
      <c r="P924" s="84">
        <f>IF(L924&lt;=0, 0, INT($G$8/L924))</f>
        <v/>
      </c>
      <c r="Q924" s="95">
        <f>MIN(O924, P924)</f>
        <v/>
      </c>
      <c r="R924" s="96">
        <f>ROUND((Q924*L924)/1000, 2)</f>
        <v/>
      </c>
      <c r="S924" s="85">
        <f>IF($C$8&gt;0, R924/$C$8, 0)</f>
        <v/>
      </c>
      <c r="T924" s="85">
        <f>IF(O924&gt;0, Q924/O924, 0)</f>
        <v/>
      </c>
      <c r="U924" s="18">
        <f>IF(Q924=0, "Exceeds Limit", IF(P924&lt;=O924, "Weight Limited", "Volume Limited"))</f>
        <v/>
      </c>
      <c r="V924" s="100">
        <f>B924&amp;"|"&amp;D924&amp;"|"&amp;F924</f>
        <v/>
      </c>
    </row>
    <row r="925" ht="19" customHeight="1">
      <c r="A925" s="93" t="n">
        <v>915</v>
      </c>
      <c r="B925" s="101" t="inlineStr">
        <is>
          <t>Stainless Steel 316</t>
        </is>
      </c>
      <c r="C925" s="13" t="inlineStr">
        <is>
          <t>ASME B36.19M / B36.10M</t>
        </is>
      </c>
      <c r="D925" s="12" t="inlineStr">
        <is>
          <t>3''</t>
        </is>
      </c>
      <c r="E925" s="93" t="n">
        <v>80</v>
      </c>
      <c r="F925" s="12" t="inlineStr">
        <is>
          <t>XXS</t>
        </is>
      </c>
      <c r="G925" s="14" t="n">
        <v>3.5</v>
      </c>
      <c r="H925" s="78" t="n">
        <v>88.90000000000001</v>
      </c>
      <c r="I925" s="14" t="n">
        <v>0.6</v>
      </c>
      <c r="J925" s="78" t="n">
        <v>15.24</v>
      </c>
      <c r="K925" s="14">
        <f>ROUND((H925-J925)*J925*IF(B925="Carbon Steel",$K$7,IF(B925="Stainless Steel 304",$K$8,$L$8)), 3)</f>
        <v/>
      </c>
      <c r="L925" s="78">
        <f>ROUND(K925*$G$5, 2)</f>
        <v/>
      </c>
      <c r="M925" s="93">
        <f>INT($G$6/H925)</f>
        <v/>
      </c>
      <c r="N925" s="93">
        <f>IF(M925=0, 0, IF(OR($K$6="Square Grid", M925=1), INT($G$7/H925), IF($G$7&lt;H925, 0, 1+INT(($G$7-H925)/(0.8660254*H925)))))</f>
        <v/>
      </c>
      <c r="O925" s="59">
        <f>IF(OR(M925=0,N925=0), 0, IF(OR($K$6="Square Grid", M925=1), M925*N925*$K$5, (INT((N925+1)/2)*M925 + INT(N925/2)*IF(($G$6-M925*H925)&gt;=0.5*H925, M925, M925-1))*$K$5))</f>
        <v/>
      </c>
      <c r="P925" s="59">
        <f>IF(L925&lt;=0, 0, INT($G$8/L925))</f>
        <v/>
      </c>
      <c r="Q925" s="95">
        <f>MIN(O925, P925)</f>
        <v/>
      </c>
      <c r="R925" s="96">
        <f>ROUND((Q925*L925)/1000, 2)</f>
        <v/>
      </c>
      <c r="S925" s="79">
        <f>IF($C$8&gt;0, R925/$C$8, 0)</f>
        <v/>
      </c>
      <c r="T925" s="79">
        <f>IF(O925&gt;0, Q925/O925, 0)</f>
        <v/>
      </c>
      <c r="U925" s="12">
        <f>IF(Q925=0, "Exceeds Limit", IF(P925&lt;=O925, "Weight Limited", "Volume Limited"))</f>
        <v/>
      </c>
      <c r="V925" s="97">
        <f>B925&amp;"|"&amp;D925&amp;"|"&amp;F925</f>
        <v/>
      </c>
    </row>
    <row r="926" ht="19" customHeight="1">
      <c r="A926" s="98" t="n">
        <v>916</v>
      </c>
      <c r="B926" s="102" t="inlineStr">
        <is>
          <t>Stainless Steel 316</t>
        </is>
      </c>
      <c r="C926" s="19" t="inlineStr">
        <is>
          <t>ASME B36.19M / B36.10M</t>
        </is>
      </c>
      <c r="D926" s="18" t="inlineStr">
        <is>
          <t>3-1/2''</t>
        </is>
      </c>
      <c r="E926" s="98" t="n">
        <v>90</v>
      </c>
      <c r="F926" s="18" t="inlineStr">
        <is>
          <t>5S</t>
        </is>
      </c>
      <c r="G926" s="20" t="n">
        <v>4</v>
      </c>
      <c r="H926" s="82" t="n">
        <v>101.6</v>
      </c>
      <c r="I926" s="20" t="n">
        <v>0.083</v>
      </c>
      <c r="J926" s="82" t="n">
        <v>2.11</v>
      </c>
      <c r="K926" s="20">
        <f>ROUND((H926-J926)*J926*IF(B926="Carbon Steel",$K$7,IF(B926="Stainless Steel 304",$K$8,$L$8)), 3)</f>
        <v/>
      </c>
      <c r="L926" s="82">
        <f>ROUND(K926*$G$5, 2)</f>
        <v/>
      </c>
      <c r="M926" s="98">
        <f>INT($G$6/H926)</f>
        <v/>
      </c>
      <c r="N926" s="98">
        <f>IF(M926=0, 0, IF(OR($K$6="Square Grid", M926=1), INT($G$7/H926), IF($G$7&lt;H926, 0, 1+INT(($G$7-H926)/(0.8660254*H926)))))</f>
        <v/>
      </c>
      <c r="O926" s="84">
        <f>IF(OR(M926=0,N926=0), 0, IF(OR($K$6="Square Grid", M926=1), M926*N926*$K$5, (INT((N926+1)/2)*M926 + INT(N926/2)*IF(($G$6-M926*H926)&gt;=0.5*H926, M926, M926-1))*$K$5))</f>
        <v/>
      </c>
      <c r="P926" s="84">
        <f>IF(L926&lt;=0, 0, INT($G$8/L926))</f>
        <v/>
      </c>
      <c r="Q926" s="95">
        <f>MIN(O926, P926)</f>
        <v/>
      </c>
      <c r="R926" s="96">
        <f>ROUND((Q926*L926)/1000, 2)</f>
        <v/>
      </c>
      <c r="S926" s="85">
        <f>IF($C$8&gt;0, R926/$C$8, 0)</f>
        <v/>
      </c>
      <c r="T926" s="85">
        <f>IF(O926&gt;0, Q926/O926, 0)</f>
        <v/>
      </c>
      <c r="U926" s="18">
        <f>IF(Q926=0, "Exceeds Limit", IF(P926&lt;=O926, "Weight Limited", "Volume Limited"))</f>
        <v/>
      </c>
      <c r="V926" s="100">
        <f>B926&amp;"|"&amp;D926&amp;"|"&amp;F926</f>
        <v/>
      </c>
    </row>
    <row r="927" ht="19" customHeight="1">
      <c r="A927" s="93" t="n">
        <v>917</v>
      </c>
      <c r="B927" s="101" t="inlineStr">
        <is>
          <t>Stainless Steel 316</t>
        </is>
      </c>
      <c r="C927" s="13" t="inlineStr">
        <is>
          <t>ASME B36.19M / B36.10M</t>
        </is>
      </c>
      <c r="D927" s="12" t="inlineStr">
        <is>
          <t>3-1/2''</t>
        </is>
      </c>
      <c r="E927" s="93" t="n">
        <v>90</v>
      </c>
      <c r="F927" s="12" t="inlineStr">
        <is>
          <t>5</t>
        </is>
      </c>
      <c r="G927" s="14" t="n">
        <v>4</v>
      </c>
      <c r="H927" s="78" t="n">
        <v>101.6</v>
      </c>
      <c r="I927" s="14" t="n">
        <v>0.083</v>
      </c>
      <c r="J927" s="78" t="n">
        <v>2.11</v>
      </c>
      <c r="K927" s="14">
        <f>ROUND((H927-J927)*J927*IF(B927="Carbon Steel",$K$7,IF(B927="Stainless Steel 304",$K$8,$L$8)), 3)</f>
        <v/>
      </c>
      <c r="L927" s="78">
        <f>ROUND(K927*$G$5, 2)</f>
        <v/>
      </c>
      <c r="M927" s="93">
        <f>INT($G$6/H927)</f>
        <v/>
      </c>
      <c r="N927" s="93">
        <f>IF(M927=0, 0, IF(OR($K$6="Square Grid", M927=1), INT($G$7/H927), IF($G$7&lt;H927, 0, 1+INT(($G$7-H927)/(0.8660254*H927)))))</f>
        <v/>
      </c>
      <c r="O927" s="59">
        <f>IF(OR(M927=0,N927=0), 0, IF(OR($K$6="Square Grid", M927=1), M927*N927*$K$5, (INT((N927+1)/2)*M927 + INT(N927/2)*IF(($G$6-M927*H927)&gt;=0.5*H927, M927, M927-1))*$K$5))</f>
        <v/>
      </c>
      <c r="P927" s="59">
        <f>IF(L927&lt;=0, 0, INT($G$8/L927))</f>
        <v/>
      </c>
      <c r="Q927" s="95">
        <f>MIN(O927, P927)</f>
        <v/>
      </c>
      <c r="R927" s="96">
        <f>ROUND((Q927*L927)/1000, 2)</f>
        <v/>
      </c>
      <c r="S927" s="79">
        <f>IF($C$8&gt;0, R927/$C$8, 0)</f>
        <v/>
      </c>
      <c r="T927" s="79">
        <f>IF(O927&gt;0, Q927/O927, 0)</f>
        <v/>
      </c>
      <c r="U927" s="12">
        <f>IF(Q927=0, "Exceeds Limit", IF(P927&lt;=O927, "Weight Limited", "Volume Limited"))</f>
        <v/>
      </c>
      <c r="V927" s="97">
        <f>B927&amp;"|"&amp;D927&amp;"|"&amp;F927</f>
        <v/>
      </c>
    </row>
    <row r="928" ht="19" customHeight="1">
      <c r="A928" s="98" t="n">
        <v>918</v>
      </c>
      <c r="B928" s="102" t="inlineStr">
        <is>
          <t>Stainless Steel 316</t>
        </is>
      </c>
      <c r="C928" s="19" t="inlineStr">
        <is>
          <t>ASME B36.19M / B36.10M</t>
        </is>
      </c>
      <c r="D928" s="18" t="inlineStr">
        <is>
          <t>3-1/2''</t>
        </is>
      </c>
      <c r="E928" s="98" t="n">
        <v>90</v>
      </c>
      <c r="F928" s="18" t="inlineStr">
        <is>
          <t>10S</t>
        </is>
      </c>
      <c r="G928" s="20" t="n">
        <v>4</v>
      </c>
      <c r="H928" s="82" t="n">
        <v>101.6</v>
      </c>
      <c r="I928" s="20" t="n">
        <v>0.12</v>
      </c>
      <c r="J928" s="82" t="n">
        <v>3.05</v>
      </c>
      <c r="K928" s="20">
        <f>ROUND((H928-J928)*J928*IF(B928="Carbon Steel",$K$7,IF(B928="Stainless Steel 304",$K$8,$L$8)), 3)</f>
        <v/>
      </c>
      <c r="L928" s="82">
        <f>ROUND(K928*$G$5, 2)</f>
        <v/>
      </c>
      <c r="M928" s="98">
        <f>INT($G$6/H928)</f>
        <v/>
      </c>
      <c r="N928" s="98">
        <f>IF(M928=0, 0, IF(OR($K$6="Square Grid", M928=1), INT($G$7/H928), IF($G$7&lt;H928, 0, 1+INT(($G$7-H928)/(0.8660254*H928)))))</f>
        <v/>
      </c>
      <c r="O928" s="84">
        <f>IF(OR(M928=0,N928=0), 0, IF(OR($K$6="Square Grid", M928=1), M928*N928*$K$5, (INT((N928+1)/2)*M928 + INT(N928/2)*IF(($G$6-M928*H928)&gt;=0.5*H928, M928, M928-1))*$K$5))</f>
        <v/>
      </c>
      <c r="P928" s="84">
        <f>IF(L928&lt;=0, 0, INT($G$8/L928))</f>
        <v/>
      </c>
      <c r="Q928" s="95">
        <f>MIN(O928, P928)</f>
        <v/>
      </c>
      <c r="R928" s="96">
        <f>ROUND((Q928*L928)/1000, 2)</f>
        <v/>
      </c>
      <c r="S928" s="85">
        <f>IF($C$8&gt;0, R928/$C$8, 0)</f>
        <v/>
      </c>
      <c r="T928" s="85">
        <f>IF(O928&gt;0, Q928/O928, 0)</f>
        <v/>
      </c>
      <c r="U928" s="18">
        <f>IF(Q928=0, "Exceeds Limit", IF(P928&lt;=O928, "Weight Limited", "Volume Limited"))</f>
        <v/>
      </c>
      <c r="V928" s="100">
        <f>B928&amp;"|"&amp;D928&amp;"|"&amp;F928</f>
        <v/>
      </c>
    </row>
    <row r="929" ht="19" customHeight="1">
      <c r="A929" s="93" t="n">
        <v>919</v>
      </c>
      <c r="B929" s="101" t="inlineStr">
        <is>
          <t>Stainless Steel 316</t>
        </is>
      </c>
      <c r="C929" s="13" t="inlineStr">
        <is>
          <t>ASME B36.19M / B36.10M</t>
        </is>
      </c>
      <c r="D929" s="12" t="inlineStr">
        <is>
          <t>3-1/2''</t>
        </is>
      </c>
      <c r="E929" s="93" t="n">
        <v>90</v>
      </c>
      <c r="F929" s="12" t="inlineStr">
        <is>
          <t>10</t>
        </is>
      </c>
      <c r="G929" s="14" t="n">
        <v>4</v>
      </c>
      <c r="H929" s="78" t="n">
        <v>101.6</v>
      </c>
      <c r="I929" s="14" t="n">
        <v>0.12</v>
      </c>
      <c r="J929" s="78" t="n">
        <v>3.05</v>
      </c>
      <c r="K929" s="14">
        <f>ROUND((H929-J929)*J929*IF(B929="Carbon Steel",$K$7,IF(B929="Stainless Steel 304",$K$8,$L$8)), 3)</f>
        <v/>
      </c>
      <c r="L929" s="78">
        <f>ROUND(K929*$G$5, 2)</f>
        <v/>
      </c>
      <c r="M929" s="93">
        <f>INT($G$6/H929)</f>
        <v/>
      </c>
      <c r="N929" s="93">
        <f>IF(M929=0, 0, IF(OR($K$6="Square Grid", M929=1), INT($G$7/H929), IF($G$7&lt;H929, 0, 1+INT(($G$7-H929)/(0.8660254*H929)))))</f>
        <v/>
      </c>
      <c r="O929" s="59">
        <f>IF(OR(M929=0,N929=0), 0, IF(OR($K$6="Square Grid", M929=1), M929*N929*$K$5, (INT((N929+1)/2)*M929 + INT(N929/2)*IF(($G$6-M929*H929)&gt;=0.5*H929, M929, M929-1))*$K$5))</f>
        <v/>
      </c>
      <c r="P929" s="59">
        <f>IF(L929&lt;=0, 0, INT($G$8/L929))</f>
        <v/>
      </c>
      <c r="Q929" s="95">
        <f>MIN(O929, P929)</f>
        <v/>
      </c>
      <c r="R929" s="96">
        <f>ROUND((Q929*L929)/1000, 2)</f>
        <v/>
      </c>
      <c r="S929" s="79">
        <f>IF($C$8&gt;0, R929/$C$8, 0)</f>
        <v/>
      </c>
      <c r="T929" s="79">
        <f>IF(O929&gt;0, Q929/O929, 0)</f>
        <v/>
      </c>
      <c r="U929" s="12">
        <f>IF(Q929=0, "Exceeds Limit", IF(P929&lt;=O929, "Weight Limited", "Volume Limited"))</f>
        <v/>
      </c>
      <c r="V929" s="97">
        <f>B929&amp;"|"&amp;D929&amp;"|"&amp;F929</f>
        <v/>
      </c>
    </row>
    <row r="930" ht="19" customHeight="1">
      <c r="A930" s="98" t="n">
        <v>920</v>
      </c>
      <c r="B930" s="102" t="inlineStr">
        <is>
          <t>Stainless Steel 316</t>
        </is>
      </c>
      <c r="C930" s="19" t="inlineStr">
        <is>
          <t>ASME B36.19M / B36.10M</t>
        </is>
      </c>
      <c r="D930" s="18" t="inlineStr">
        <is>
          <t>3-1/2''</t>
        </is>
      </c>
      <c r="E930" s="98" t="n">
        <v>90</v>
      </c>
      <c r="F930" s="18" t="inlineStr">
        <is>
          <t>30</t>
        </is>
      </c>
      <c r="G930" s="20" t="n">
        <v>4</v>
      </c>
      <c r="H930" s="82" t="n">
        <v>101.6</v>
      </c>
      <c r="I930" s="20" t="n">
        <v>0.188</v>
      </c>
      <c r="J930" s="82" t="n">
        <v>4.78</v>
      </c>
      <c r="K930" s="20">
        <f>ROUND((H930-J930)*J930*IF(B930="Carbon Steel",$K$7,IF(B930="Stainless Steel 304",$K$8,$L$8)), 3)</f>
        <v/>
      </c>
      <c r="L930" s="82">
        <f>ROUND(K930*$G$5, 2)</f>
        <v/>
      </c>
      <c r="M930" s="98">
        <f>INT($G$6/H930)</f>
        <v/>
      </c>
      <c r="N930" s="98">
        <f>IF(M930=0, 0, IF(OR($K$6="Square Grid", M930=1), INT($G$7/H930), IF($G$7&lt;H930, 0, 1+INT(($G$7-H930)/(0.8660254*H930)))))</f>
        <v/>
      </c>
      <c r="O930" s="84">
        <f>IF(OR(M930=0,N930=0), 0, IF(OR($K$6="Square Grid", M930=1), M930*N930*$K$5, (INT((N930+1)/2)*M930 + INT(N930/2)*IF(($G$6-M930*H930)&gt;=0.5*H930, M930, M930-1))*$K$5))</f>
        <v/>
      </c>
      <c r="P930" s="84">
        <f>IF(L930&lt;=0, 0, INT($G$8/L930))</f>
        <v/>
      </c>
      <c r="Q930" s="95">
        <f>MIN(O930, P930)</f>
        <v/>
      </c>
      <c r="R930" s="96">
        <f>ROUND((Q930*L930)/1000, 2)</f>
        <v/>
      </c>
      <c r="S930" s="85">
        <f>IF($C$8&gt;0, R930/$C$8, 0)</f>
        <v/>
      </c>
      <c r="T930" s="85">
        <f>IF(O930&gt;0, Q930/O930, 0)</f>
        <v/>
      </c>
      <c r="U930" s="18">
        <f>IF(Q930=0, "Exceeds Limit", IF(P930&lt;=O930, "Weight Limited", "Volume Limited"))</f>
        <v/>
      </c>
      <c r="V930" s="100">
        <f>B930&amp;"|"&amp;D930&amp;"|"&amp;F930</f>
        <v/>
      </c>
    </row>
    <row r="931" ht="19" customHeight="1">
      <c r="A931" s="93" t="n">
        <v>921</v>
      </c>
      <c r="B931" s="101" t="inlineStr">
        <is>
          <t>Stainless Steel 316</t>
        </is>
      </c>
      <c r="C931" s="13" t="inlineStr">
        <is>
          <t>ASME B36.19M / B36.10M</t>
        </is>
      </c>
      <c r="D931" s="12" t="inlineStr">
        <is>
          <t>3-1/2''</t>
        </is>
      </c>
      <c r="E931" s="93" t="n">
        <v>90</v>
      </c>
      <c r="F931" s="12" t="inlineStr">
        <is>
          <t>40S</t>
        </is>
      </c>
      <c r="G931" s="14" t="n">
        <v>4</v>
      </c>
      <c r="H931" s="78" t="n">
        <v>101.6</v>
      </c>
      <c r="I931" s="14" t="n">
        <v>0.226</v>
      </c>
      <c r="J931" s="78" t="n">
        <v>5.74</v>
      </c>
      <c r="K931" s="14">
        <f>ROUND((H931-J931)*J931*IF(B931="Carbon Steel",$K$7,IF(B931="Stainless Steel 304",$K$8,$L$8)), 3)</f>
        <v/>
      </c>
      <c r="L931" s="78">
        <f>ROUND(K931*$G$5, 2)</f>
        <v/>
      </c>
      <c r="M931" s="93">
        <f>INT($G$6/H931)</f>
        <v/>
      </c>
      <c r="N931" s="93">
        <f>IF(M931=0, 0, IF(OR($K$6="Square Grid", M931=1), INT($G$7/H931), IF($G$7&lt;H931, 0, 1+INT(($G$7-H931)/(0.8660254*H931)))))</f>
        <v/>
      </c>
      <c r="O931" s="59">
        <f>IF(OR(M931=0,N931=0), 0, IF(OR($K$6="Square Grid", M931=1), M931*N931*$K$5, (INT((N931+1)/2)*M931 + INT(N931/2)*IF(($G$6-M931*H931)&gt;=0.5*H931, M931, M931-1))*$K$5))</f>
        <v/>
      </c>
      <c r="P931" s="59">
        <f>IF(L931&lt;=0, 0, INT($G$8/L931))</f>
        <v/>
      </c>
      <c r="Q931" s="95">
        <f>MIN(O931, P931)</f>
        <v/>
      </c>
      <c r="R931" s="96">
        <f>ROUND((Q931*L931)/1000, 2)</f>
        <v/>
      </c>
      <c r="S931" s="79">
        <f>IF($C$8&gt;0, R931/$C$8, 0)</f>
        <v/>
      </c>
      <c r="T931" s="79">
        <f>IF(O931&gt;0, Q931/O931, 0)</f>
        <v/>
      </c>
      <c r="U931" s="12">
        <f>IF(Q931=0, "Exceeds Limit", IF(P931&lt;=O931, "Weight Limited", "Volume Limited"))</f>
        <v/>
      </c>
      <c r="V931" s="97">
        <f>B931&amp;"|"&amp;D931&amp;"|"&amp;F931</f>
        <v/>
      </c>
    </row>
    <row r="932" ht="19" customHeight="1">
      <c r="A932" s="98" t="n">
        <v>922</v>
      </c>
      <c r="B932" s="102" t="inlineStr">
        <is>
          <t>Stainless Steel 316</t>
        </is>
      </c>
      <c r="C932" s="19" t="inlineStr">
        <is>
          <t>ASME B36.19M / B36.10M</t>
        </is>
      </c>
      <c r="D932" s="18" t="inlineStr">
        <is>
          <t>3-1/2''</t>
        </is>
      </c>
      <c r="E932" s="98" t="n">
        <v>90</v>
      </c>
      <c r="F932" s="18" t="inlineStr">
        <is>
          <t>STD</t>
        </is>
      </c>
      <c r="G932" s="20" t="n">
        <v>4</v>
      </c>
      <c r="H932" s="82" t="n">
        <v>101.6</v>
      </c>
      <c r="I932" s="20" t="n">
        <v>0.226</v>
      </c>
      <c r="J932" s="82" t="n">
        <v>5.74</v>
      </c>
      <c r="K932" s="20">
        <f>ROUND((H932-J932)*J932*IF(B932="Carbon Steel",$K$7,IF(B932="Stainless Steel 304",$K$8,$L$8)), 3)</f>
        <v/>
      </c>
      <c r="L932" s="82">
        <f>ROUND(K932*$G$5, 2)</f>
        <v/>
      </c>
      <c r="M932" s="98">
        <f>INT($G$6/H932)</f>
        <v/>
      </c>
      <c r="N932" s="98">
        <f>IF(M932=0, 0, IF(OR($K$6="Square Grid", M932=1), INT($G$7/H932), IF($G$7&lt;H932, 0, 1+INT(($G$7-H932)/(0.8660254*H932)))))</f>
        <v/>
      </c>
      <c r="O932" s="84">
        <f>IF(OR(M932=0,N932=0), 0, IF(OR($K$6="Square Grid", M932=1), M932*N932*$K$5, (INT((N932+1)/2)*M932 + INT(N932/2)*IF(($G$6-M932*H932)&gt;=0.5*H932, M932, M932-1))*$K$5))</f>
        <v/>
      </c>
      <c r="P932" s="84">
        <f>IF(L932&lt;=0, 0, INT($G$8/L932))</f>
        <v/>
      </c>
      <c r="Q932" s="95">
        <f>MIN(O932, P932)</f>
        <v/>
      </c>
      <c r="R932" s="96">
        <f>ROUND((Q932*L932)/1000, 2)</f>
        <v/>
      </c>
      <c r="S932" s="85">
        <f>IF($C$8&gt;0, R932/$C$8, 0)</f>
        <v/>
      </c>
      <c r="T932" s="85">
        <f>IF(O932&gt;0, Q932/O932, 0)</f>
        <v/>
      </c>
      <c r="U932" s="18">
        <f>IF(Q932=0, "Exceeds Limit", IF(P932&lt;=O932, "Weight Limited", "Volume Limited"))</f>
        <v/>
      </c>
      <c r="V932" s="100">
        <f>B932&amp;"|"&amp;D932&amp;"|"&amp;F932</f>
        <v/>
      </c>
    </row>
    <row r="933" ht="19" customHeight="1">
      <c r="A933" s="93" t="n">
        <v>923</v>
      </c>
      <c r="B933" s="101" t="inlineStr">
        <is>
          <t>Stainless Steel 316</t>
        </is>
      </c>
      <c r="C933" s="13" t="inlineStr">
        <is>
          <t>ASME B36.19M / B36.10M</t>
        </is>
      </c>
      <c r="D933" s="12" t="inlineStr">
        <is>
          <t>3-1/2''</t>
        </is>
      </c>
      <c r="E933" s="93" t="n">
        <v>90</v>
      </c>
      <c r="F933" s="12" t="inlineStr">
        <is>
          <t>40</t>
        </is>
      </c>
      <c r="G933" s="14" t="n">
        <v>4</v>
      </c>
      <c r="H933" s="78" t="n">
        <v>101.6</v>
      </c>
      <c r="I933" s="14" t="n">
        <v>0.226</v>
      </c>
      <c r="J933" s="78" t="n">
        <v>5.74</v>
      </c>
      <c r="K933" s="14">
        <f>ROUND((H933-J933)*J933*IF(B933="Carbon Steel",$K$7,IF(B933="Stainless Steel 304",$K$8,$L$8)), 3)</f>
        <v/>
      </c>
      <c r="L933" s="78">
        <f>ROUND(K933*$G$5, 2)</f>
        <v/>
      </c>
      <c r="M933" s="93">
        <f>INT($G$6/H933)</f>
        <v/>
      </c>
      <c r="N933" s="93">
        <f>IF(M933=0, 0, IF(OR($K$6="Square Grid", M933=1), INT($G$7/H933), IF($G$7&lt;H933, 0, 1+INT(($G$7-H933)/(0.8660254*H933)))))</f>
        <v/>
      </c>
      <c r="O933" s="59">
        <f>IF(OR(M933=0,N933=0), 0, IF(OR($K$6="Square Grid", M933=1), M933*N933*$K$5, (INT((N933+1)/2)*M933 + INT(N933/2)*IF(($G$6-M933*H933)&gt;=0.5*H933, M933, M933-1))*$K$5))</f>
        <v/>
      </c>
      <c r="P933" s="59">
        <f>IF(L933&lt;=0, 0, INT($G$8/L933))</f>
        <v/>
      </c>
      <c r="Q933" s="95">
        <f>MIN(O933, P933)</f>
        <v/>
      </c>
      <c r="R933" s="96">
        <f>ROUND((Q933*L933)/1000, 2)</f>
        <v/>
      </c>
      <c r="S933" s="79">
        <f>IF($C$8&gt;0, R933/$C$8, 0)</f>
        <v/>
      </c>
      <c r="T933" s="79">
        <f>IF(O933&gt;0, Q933/O933, 0)</f>
        <v/>
      </c>
      <c r="U933" s="12">
        <f>IF(Q933=0, "Exceeds Limit", IF(P933&lt;=O933, "Weight Limited", "Volume Limited"))</f>
        <v/>
      </c>
      <c r="V933" s="97">
        <f>B933&amp;"|"&amp;D933&amp;"|"&amp;F933</f>
        <v/>
      </c>
    </row>
    <row r="934" ht="19" customHeight="1">
      <c r="A934" s="98" t="n">
        <v>924</v>
      </c>
      <c r="B934" s="102" t="inlineStr">
        <is>
          <t>Stainless Steel 316</t>
        </is>
      </c>
      <c r="C934" s="19" t="inlineStr">
        <is>
          <t>ASME B36.19M / B36.10M</t>
        </is>
      </c>
      <c r="D934" s="18" t="inlineStr">
        <is>
          <t>3-1/2''</t>
        </is>
      </c>
      <c r="E934" s="98" t="n">
        <v>90</v>
      </c>
      <c r="F934" s="18" t="inlineStr">
        <is>
          <t>80S</t>
        </is>
      </c>
      <c r="G934" s="20" t="n">
        <v>4</v>
      </c>
      <c r="H934" s="82" t="n">
        <v>101.6</v>
      </c>
      <c r="I934" s="20" t="n">
        <v>0.318</v>
      </c>
      <c r="J934" s="82" t="n">
        <v>8.08</v>
      </c>
      <c r="K934" s="20">
        <f>ROUND((H934-J934)*J934*IF(B934="Carbon Steel",$K$7,IF(B934="Stainless Steel 304",$K$8,$L$8)), 3)</f>
        <v/>
      </c>
      <c r="L934" s="82">
        <f>ROUND(K934*$G$5, 2)</f>
        <v/>
      </c>
      <c r="M934" s="98">
        <f>INT($G$6/H934)</f>
        <v/>
      </c>
      <c r="N934" s="98">
        <f>IF(M934=0, 0, IF(OR($K$6="Square Grid", M934=1), INT($G$7/H934), IF($G$7&lt;H934, 0, 1+INT(($G$7-H934)/(0.8660254*H934)))))</f>
        <v/>
      </c>
      <c r="O934" s="84">
        <f>IF(OR(M934=0,N934=0), 0, IF(OR($K$6="Square Grid", M934=1), M934*N934*$K$5, (INT((N934+1)/2)*M934 + INT(N934/2)*IF(($G$6-M934*H934)&gt;=0.5*H934, M934, M934-1))*$K$5))</f>
        <v/>
      </c>
      <c r="P934" s="84">
        <f>IF(L934&lt;=0, 0, INT($G$8/L934))</f>
        <v/>
      </c>
      <c r="Q934" s="95">
        <f>MIN(O934, P934)</f>
        <v/>
      </c>
      <c r="R934" s="96">
        <f>ROUND((Q934*L934)/1000, 2)</f>
        <v/>
      </c>
      <c r="S934" s="85">
        <f>IF($C$8&gt;0, R934/$C$8, 0)</f>
        <v/>
      </c>
      <c r="T934" s="85">
        <f>IF(O934&gt;0, Q934/O934, 0)</f>
        <v/>
      </c>
      <c r="U934" s="18">
        <f>IF(Q934=0, "Exceeds Limit", IF(P934&lt;=O934, "Weight Limited", "Volume Limited"))</f>
        <v/>
      </c>
      <c r="V934" s="100">
        <f>B934&amp;"|"&amp;D934&amp;"|"&amp;F934</f>
        <v/>
      </c>
    </row>
    <row r="935" ht="19" customHeight="1">
      <c r="A935" s="93" t="n">
        <v>925</v>
      </c>
      <c r="B935" s="101" t="inlineStr">
        <is>
          <t>Stainless Steel 316</t>
        </is>
      </c>
      <c r="C935" s="13" t="inlineStr">
        <is>
          <t>ASME B36.19M / B36.10M</t>
        </is>
      </c>
      <c r="D935" s="12" t="inlineStr">
        <is>
          <t>3-1/2''</t>
        </is>
      </c>
      <c r="E935" s="93" t="n">
        <v>90</v>
      </c>
      <c r="F935" s="12" t="inlineStr">
        <is>
          <t>XS</t>
        </is>
      </c>
      <c r="G935" s="14" t="n">
        <v>4</v>
      </c>
      <c r="H935" s="78" t="n">
        <v>101.6</v>
      </c>
      <c r="I935" s="14" t="n">
        <v>0.318</v>
      </c>
      <c r="J935" s="78" t="n">
        <v>8.08</v>
      </c>
      <c r="K935" s="14">
        <f>ROUND((H935-J935)*J935*IF(B935="Carbon Steel",$K$7,IF(B935="Stainless Steel 304",$K$8,$L$8)), 3)</f>
        <v/>
      </c>
      <c r="L935" s="78">
        <f>ROUND(K935*$G$5, 2)</f>
        <v/>
      </c>
      <c r="M935" s="93">
        <f>INT($G$6/H935)</f>
        <v/>
      </c>
      <c r="N935" s="93">
        <f>IF(M935=0, 0, IF(OR($K$6="Square Grid", M935=1), INT($G$7/H935), IF($G$7&lt;H935, 0, 1+INT(($G$7-H935)/(0.8660254*H935)))))</f>
        <v/>
      </c>
      <c r="O935" s="59">
        <f>IF(OR(M935=0,N935=0), 0, IF(OR($K$6="Square Grid", M935=1), M935*N935*$K$5, (INT((N935+1)/2)*M935 + INT(N935/2)*IF(($G$6-M935*H935)&gt;=0.5*H935, M935, M935-1))*$K$5))</f>
        <v/>
      </c>
      <c r="P935" s="59">
        <f>IF(L935&lt;=0, 0, INT($G$8/L935))</f>
        <v/>
      </c>
      <c r="Q935" s="95">
        <f>MIN(O935, P935)</f>
        <v/>
      </c>
      <c r="R935" s="96">
        <f>ROUND((Q935*L935)/1000, 2)</f>
        <v/>
      </c>
      <c r="S935" s="79">
        <f>IF($C$8&gt;0, R935/$C$8, 0)</f>
        <v/>
      </c>
      <c r="T935" s="79">
        <f>IF(O935&gt;0, Q935/O935, 0)</f>
        <v/>
      </c>
      <c r="U935" s="12">
        <f>IF(Q935=0, "Exceeds Limit", IF(P935&lt;=O935, "Weight Limited", "Volume Limited"))</f>
        <v/>
      </c>
      <c r="V935" s="97">
        <f>B935&amp;"|"&amp;D935&amp;"|"&amp;F935</f>
        <v/>
      </c>
    </row>
    <row r="936" ht="19" customHeight="1">
      <c r="A936" s="98" t="n">
        <v>926</v>
      </c>
      <c r="B936" s="102" t="inlineStr">
        <is>
          <t>Stainless Steel 316</t>
        </is>
      </c>
      <c r="C936" s="19" t="inlineStr">
        <is>
          <t>ASME B36.19M / B36.10M</t>
        </is>
      </c>
      <c r="D936" s="18" t="inlineStr">
        <is>
          <t>3-1/2''</t>
        </is>
      </c>
      <c r="E936" s="98" t="n">
        <v>90</v>
      </c>
      <c r="F936" s="18" t="inlineStr">
        <is>
          <t>80</t>
        </is>
      </c>
      <c r="G936" s="20" t="n">
        <v>4</v>
      </c>
      <c r="H936" s="82" t="n">
        <v>101.6</v>
      </c>
      <c r="I936" s="20" t="n">
        <v>0.318</v>
      </c>
      <c r="J936" s="82" t="n">
        <v>8.08</v>
      </c>
      <c r="K936" s="20">
        <f>ROUND((H936-J936)*J936*IF(B936="Carbon Steel",$K$7,IF(B936="Stainless Steel 304",$K$8,$L$8)), 3)</f>
        <v/>
      </c>
      <c r="L936" s="82">
        <f>ROUND(K936*$G$5, 2)</f>
        <v/>
      </c>
      <c r="M936" s="98">
        <f>INT($G$6/H936)</f>
        <v/>
      </c>
      <c r="N936" s="98">
        <f>IF(M936=0, 0, IF(OR($K$6="Square Grid", M936=1), INT($G$7/H936), IF($G$7&lt;H936, 0, 1+INT(($G$7-H936)/(0.8660254*H936)))))</f>
        <v/>
      </c>
      <c r="O936" s="84">
        <f>IF(OR(M936=0,N936=0), 0, IF(OR($K$6="Square Grid", M936=1), M936*N936*$K$5, (INT((N936+1)/2)*M936 + INT(N936/2)*IF(($G$6-M936*H936)&gt;=0.5*H936, M936, M936-1))*$K$5))</f>
        <v/>
      </c>
      <c r="P936" s="84">
        <f>IF(L936&lt;=0, 0, INT($G$8/L936))</f>
        <v/>
      </c>
      <c r="Q936" s="95">
        <f>MIN(O936, P936)</f>
        <v/>
      </c>
      <c r="R936" s="96">
        <f>ROUND((Q936*L936)/1000, 2)</f>
        <v/>
      </c>
      <c r="S936" s="85">
        <f>IF($C$8&gt;0, R936/$C$8, 0)</f>
        <v/>
      </c>
      <c r="T936" s="85">
        <f>IF(O936&gt;0, Q936/O936, 0)</f>
        <v/>
      </c>
      <c r="U936" s="18">
        <f>IF(Q936=0, "Exceeds Limit", IF(P936&lt;=O936, "Weight Limited", "Volume Limited"))</f>
        <v/>
      </c>
      <c r="V936" s="100">
        <f>B936&amp;"|"&amp;D936&amp;"|"&amp;F936</f>
        <v/>
      </c>
    </row>
    <row r="937" ht="19" customHeight="1">
      <c r="A937" s="93" t="n">
        <v>927</v>
      </c>
      <c r="B937" s="101" t="inlineStr">
        <is>
          <t>Stainless Steel 316</t>
        </is>
      </c>
      <c r="C937" s="13" t="inlineStr">
        <is>
          <t>ASME B36.19M / B36.10M</t>
        </is>
      </c>
      <c r="D937" s="12" t="inlineStr">
        <is>
          <t>3-1/2''</t>
        </is>
      </c>
      <c r="E937" s="93" t="n">
        <v>90</v>
      </c>
      <c r="F937" s="12" t="inlineStr">
        <is>
          <t>XXS</t>
        </is>
      </c>
      <c r="G937" s="14" t="n">
        <v>4</v>
      </c>
      <c r="H937" s="78" t="n">
        <v>101.6</v>
      </c>
      <c r="I937" s="14" t="n">
        <v>0.636</v>
      </c>
      <c r="J937" s="78" t="n">
        <v>16.15</v>
      </c>
      <c r="K937" s="14">
        <f>ROUND((H937-J937)*J937*IF(B937="Carbon Steel",$K$7,IF(B937="Stainless Steel 304",$K$8,$L$8)), 3)</f>
        <v/>
      </c>
      <c r="L937" s="78">
        <f>ROUND(K937*$G$5, 2)</f>
        <v/>
      </c>
      <c r="M937" s="93">
        <f>INT($G$6/H937)</f>
        <v/>
      </c>
      <c r="N937" s="93">
        <f>IF(M937=0, 0, IF(OR($K$6="Square Grid", M937=1), INT($G$7/H937), IF($G$7&lt;H937, 0, 1+INT(($G$7-H937)/(0.8660254*H937)))))</f>
        <v/>
      </c>
      <c r="O937" s="59">
        <f>IF(OR(M937=0,N937=0), 0, IF(OR($K$6="Square Grid", M937=1), M937*N937*$K$5, (INT((N937+1)/2)*M937 + INT(N937/2)*IF(($G$6-M937*H937)&gt;=0.5*H937, M937, M937-1))*$K$5))</f>
        <v/>
      </c>
      <c r="P937" s="59">
        <f>IF(L937&lt;=0, 0, INT($G$8/L937))</f>
        <v/>
      </c>
      <c r="Q937" s="95">
        <f>MIN(O937, P937)</f>
        <v/>
      </c>
      <c r="R937" s="96">
        <f>ROUND((Q937*L937)/1000, 2)</f>
        <v/>
      </c>
      <c r="S937" s="79">
        <f>IF($C$8&gt;0, R937/$C$8, 0)</f>
        <v/>
      </c>
      <c r="T937" s="79">
        <f>IF(O937&gt;0, Q937/O937, 0)</f>
        <v/>
      </c>
      <c r="U937" s="12">
        <f>IF(Q937=0, "Exceeds Limit", IF(P937&lt;=O937, "Weight Limited", "Volume Limited"))</f>
        <v/>
      </c>
      <c r="V937" s="97">
        <f>B937&amp;"|"&amp;D937&amp;"|"&amp;F937</f>
        <v/>
      </c>
    </row>
    <row r="938" ht="19" customHeight="1">
      <c r="A938" s="98" t="n">
        <v>928</v>
      </c>
      <c r="B938" s="102" t="inlineStr">
        <is>
          <t>Stainless Steel 316</t>
        </is>
      </c>
      <c r="C938" s="19" t="inlineStr">
        <is>
          <t>ASME B36.19M / B36.10M</t>
        </is>
      </c>
      <c r="D938" s="18" t="inlineStr">
        <is>
          <t>4''</t>
        </is>
      </c>
      <c r="E938" s="98" t="n">
        <v>100</v>
      </c>
      <c r="F938" s="18" t="inlineStr">
        <is>
          <t>5S</t>
        </is>
      </c>
      <c r="G938" s="20" t="n">
        <v>4.5</v>
      </c>
      <c r="H938" s="82" t="n">
        <v>114.3</v>
      </c>
      <c r="I938" s="20" t="n">
        <v>0.083</v>
      </c>
      <c r="J938" s="82" t="n">
        <v>2.11</v>
      </c>
      <c r="K938" s="20">
        <f>ROUND((H938-J938)*J938*IF(B938="Carbon Steel",$K$7,IF(B938="Stainless Steel 304",$K$8,$L$8)), 3)</f>
        <v/>
      </c>
      <c r="L938" s="82">
        <f>ROUND(K938*$G$5, 2)</f>
        <v/>
      </c>
      <c r="M938" s="98">
        <f>INT($G$6/H938)</f>
        <v/>
      </c>
      <c r="N938" s="98">
        <f>IF(M938=0, 0, IF(OR($K$6="Square Grid", M938=1), INT($G$7/H938), IF($G$7&lt;H938, 0, 1+INT(($G$7-H938)/(0.8660254*H938)))))</f>
        <v/>
      </c>
      <c r="O938" s="84">
        <f>IF(OR(M938=0,N938=0), 0, IF(OR($K$6="Square Grid", M938=1), M938*N938*$K$5, (INT((N938+1)/2)*M938 + INT(N938/2)*IF(($G$6-M938*H938)&gt;=0.5*H938, M938, M938-1))*$K$5))</f>
        <v/>
      </c>
      <c r="P938" s="84">
        <f>IF(L938&lt;=0, 0, INT($G$8/L938))</f>
        <v/>
      </c>
      <c r="Q938" s="95">
        <f>MIN(O938, P938)</f>
        <v/>
      </c>
      <c r="R938" s="96">
        <f>ROUND((Q938*L938)/1000, 2)</f>
        <v/>
      </c>
      <c r="S938" s="85">
        <f>IF($C$8&gt;0, R938/$C$8, 0)</f>
        <v/>
      </c>
      <c r="T938" s="85">
        <f>IF(O938&gt;0, Q938/O938, 0)</f>
        <v/>
      </c>
      <c r="U938" s="18">
        <f>IF(Q938=0, "Exceeds Limit", IF(P938&lt;=O938, "Weight Limited", "Volume Limited"))</f>
        <v/>
      </c>
      <c r="V938" s="100">
        <f>B938&amp;"|"&amp;D938&amp;"|"&amp;F938</f>
        <v/>
      </c>
    </row>
    <row r="939" ht="19" customHeight="1">
      <c r="A939" s="93" t="n">
        <v>929</v>
      </c>
      <c r="B939" s="101" t="inlineStr">
        <is>
          <t>Stainless Steel 316</t>
        </is>
      </c>
      <c r="C939" s="13" t="inlineStr">
        <is>
          <t>ASME B36.19M / B36.10M</t>
        </is>
      </c>
      <c r="D939" s="12" t="inlineStr">
        <is>
          <t>4''</t>
        </is>
      </c>
      <c r="E939" s="93" t="n">
        <v>100</v>
      </c>
      <c r="F939" s="12" t="inlineStr">
        <is>
          <t>5</t>
        </is>
      </c>
      <c r="G939" s="14" t="n">
        <v>4.5</v>
      </c>
      <c r="H939" s="78" t="n">
        <v>114.3</v>
      </c>
      <c r="I939" s="14" t="n">
        <v>0.083</v>
      </c>
      <c r="J939" s="78" t="n">
        <v>2.11</v>
      </c>
      <c r="K939" s="14">
        <f>ROUND((H939-J939)*J939*IF(B939="Carbon Steel",$K$7,IF(B939="Stainless Steel 304",$K$8,$L$8)), 3)</f>
        <v/>
      </c>
      <c r="L939" s="78">
        <f>ROUND(K939*$G$5, 2)</f>
        <v/>
      </c>
      <c r="M939" s="93">
        <f>INT($G$6/H939)</f>
        <v/>
      </c>
      <c r="N939" s="93">
        <f>IF(M939=0, 0, IF(OR($K$6="Square Grid", M939=1), INT($G$7/H939), IF($G$7&lt;H939, 0, 1+INT(($G$7-H939)/(0.8660254*H939)))))</f>
        <v/>
      </c>
      <c r="O939" s="59">
        <f>IF(OR(M939=0,N939=0), 0, IF(OR($K$6="Square Grid", M939=1), M939*N939*$K$5, (INT((N939+1)/2)*M939 + INT(N939/2)*IF(($G$6-M939*H939)&gt;=0.5*H939, M939, M939-1))*$K$5))</f>
        <v/>
      </c>
      <c r="P939" s="59">
        <f>IF(L939&lt;=0, 0, INT($G$8/L939))</f>
        <v/>
      </c>
      <c r="Q939" s="95">
        <f>MIN(O939, P939)</f>
        <v/>
      </c>
      <c r="R939" s="96">
        <f>ROUND((Q939*L939)/1000, 2)</f>
        <v/>
      </c>
      <c r="S939" s="79">
        <f>IF($C$8&gt;0, R939/$C$8, 0)</f>
        <v/>
      </c>
      <c r="T939" s="79">
        <f>IF(O939&gt;0, Q939/O939, 0)</f>
        <v/>
      </c>
      <c r="U939" s="12">
        <f>IF(Q939=0, "Exceeds Limit", IF(P939&lt;=O939, "Weight Limited", "Volume Limited"))</f>
        <v/>
      </c>
      <c r="V939" s="97">
        <f>B939&amp;"|"&amp;D939&amp;"|"&amp;F939</f>
        <v/>
      </c>
    </row>
    <row r="940" ht="19" customHeight="1">
      <c r="A940" s="98" t="n">
        <v>930</v>
      </c>
      <c r="B940" s="102" t="inlineStr">
        <is>
          <t>Stainless Steel 316</t>
        </is>
      </c>
      <c r="C940" s="19" t="inlineStr">
        <is>
          <t>ASME B36.19M / B36.10M</t>
        </is>
      </c>
      <c r="D940" s="18" t="inlineStr">
        <is>
          <t>4''</t>
        </is>
      </c>
      <c r="E940" s="98" t="n">
        <v>100</v>
      </c>
      <c r="F940" s="18" t="inlineStr">
        <is>
          <t>10S</t>
        </is>
      </c>
      <c r="G940" s="20" t="n">
        <v>4.5</v>
      </c>
      <c r="H940" s="82" t="n">
        <v>114.3</v>
      </c>
      <c r="I940" s="20" t="n">
        <v>0.12</v>
      </c>
      <c r="J940" s="82" t="n">
        <v>3.05</v>
      </c>
      <c r="K940" s="20">
        <f>ROUND((H940-J940)*J940*IF(B940="Carbon Steel",$K$7,IF(B940="Stainless Steel 304",$K$8,$L$8)), 3)</f>
        <v/>
      </c>
      <c r="L940" s="82">
        <f>ROUND(K940*$G$5, 2)</f>
        <v/>
      </c>
      <c r="M940" s="98">
        <f>INT($G$6/H940)</f>
        <v/>
      </c>
      <c r="N940" s="98">
        <f>IF(M940=0, 0, IF(OR($K$6="Square Grid", M940=1), INT($G$7/H940), IF($G$7&lt;H940, 0, 1+INT(($G$7-H940)/(0.8660254*H940)))))</f>
        <v/>
      </c>
      <c r="O940" s="84">
        <f>IF(OR(M940=0,N940=0), 0, IF(OR($K$6="Square Grid", M940=1), M940*N940*$K$5, (INT((N940+1)/2)*M940 + INT(N940/2)*IF(($G$6-M940*H940)&gt;=0.5*H940, M940, M940-1))*$K$5))</f>
        <v/>
      </c>
      <c r="P940" s="84">
        <f>IF(L940&lt;=0, 0, INT($G$8/L940))</f>
        <v/>
      </c>
      <c r="Q940" s="95">
        <f>MIN(O940, P940)</f>
        <v/>
      </c>
      <c r="R940" s="96">
        <f>ROUND((Q940*L940)/1000, 2)</f>
        <v/>
      </c>
      <c r="S940" s="85">
        <f>IF($C$8&gt;0, R940/$C$8, 0)</f>
        <v/>
      </c>
      <c r="T940" s="85">
        <f>IF(O940&gt;0, Q940/O940, 0)</f>
        <v/>
      </c>
      <c r="U940" s="18">
        <f>IF(Q940=0, "Exceeds Limit", IF(P940&lt;=O940, "Weight Limited", "Volume Limited"))</f>
        <v/>
      </c>
      <c r="V940" s="100">
        <f>B940&amp;"|"&amp;D940&amp;"|"&amp;F940</f>
        <v/>
      </c>
    </row>
    <row r="941" ht="19" customHeight="1">
      <c r="A941" s="93" t="n">
        <v>931</v>
      </c>
      <c r="B941" s="101" t="inlineStr">
        <is>
          <t>Stainless Steel 316</t>
        </is>
      </c>
      <c r="C941" s="13" t="inlineStr">
        <is>
          <t>ASME B36.19M / B36.10M</t>
        </is>
      </c>
      <c r="D941" s="12" t="inlineStr">
        <is>
          <t>4''</t>
        </is>
      </c>
      <c r="E941" s="93" t="n">
        <v>100</v>
      </c>
      <c r="F941" s="12" t="inlineStr">
        <is>
          <t>10</t>
        </is>
      </c>
      <c r="G941" s="14" t="n">
        <v>4.5</v>
      </c>
      <c r="H941" s="78" t="n">
        <v>114.3</v>
      </c>
      <c r="I941" s="14" t="n">
        <v>0.12</v>
      </c>
      <c r="J941" s="78" t="n">
        <v>3.05</v>
      </c>
      <c r="K941" s="14">
        <f>ROUND((H941-J941)*J941*IF(B941="Carbon Steel",$K$7,IF(B941="Stainless Steel 304",$K$8,$L$8)), 3)</f>
        <v/>
      </c>
      <c r="L941" s="78">
        <f>ROUND(K941*$G$5, 2)</f>
        <v/>
      </c>
      <c r="M941" s="93">
        <f>INT($G$6/H941)</f>
        <v/>
      </c>
      <c r="N941" s="93">
        <f>IF(M941=0, 0, IF(OR($K$6="Square Grid", M941=1), INT($G$7/H941), IF($G$7&lt;H941, 0, 1+INT(($G$7-H941)/(0.8660254*H941)))))</f>
        <v/>
      </c>
      <c r="O941" s="59">
        <f>IF(OR(M941=0,N941=0), 0, IF(OR($K$6="Square Grid", M941=1), M941*N941*$K$5, (INT((N941+1)/2)*M941 + INT(N941/2)*IF(($G$6-M941*H941)&gt;=0.5*H941, M941, M941-1))*$K$5))</f>
        <v/>
      </c>
      <c r="P941" s="59">
        <f>IF(L941&lt;=0, 0, INT($G$8/L941))</f>
        <v/>
      </c>
      <c r="Q941" s="95">
        <f>MIN(O941, P941)</f>
        <v/>
      </c>
      <c r="R941" s="96">
        <f>ROUND((Q941*L941)/1000, 2)</f>
        <v/>
      </c>
      <c r="S941" s="79">
        <f>IF($C$8&gt;0, R941/$C$8, 0)</f>
        <v/>
      </c>
      <c r="T941" s="79">
        <f>IF(O941&gt;0, Q941/O941, 0)</f>
        <v/>
      </c>
      <c r="U941" s="12">
        <f>IF(Q941=0, "Exceeds Limit", IF(P941&lt;=O941, "Weight Limited", "Volume Limited"))</f>
        <v/>
      </c>
      <c r="V941" s="97">
        <f>B941&amp;"|"&amp;D941&amp;"|"&amp;F941</f>
        <v/>
      </c>
    </row>
    <row r="942" ht="19" customHeight="1">
      <c r="A942" s="98" t="n">
        <v>932</v>
      </c>
      <c r="B942" s="102" t="inlineStr">
        <is>
          <t>Stainless Steel 316</t>
        </is>
      </c>
      <c r="C942" s="19" t="inlineStr">
        <is>
          <t>ASME B36.19M / B36.10M</t>
        </is>
      </c>
      <c r="D942" s="18" t="inlineStr">
        <is>
          <t>4''</t>
        </is>
      </c>
      <c r="E942" s="98" t="n">
        <v>100</v>
      </c>
      <c r="F942" s="18" t="inlineStr">
        <is>
          <t>30</t>
        </is>
      </c>
      <c r="G942" s="20" t="n">
        <v>4.5</v>
      </c>
      <c r="H942" s="82" t="n">
        <v>114.3</v>
      </c>
      <c r="I942" s="20" t="n">
        <v>0.188</v>
      </c>
      <c r="J942" s="82" t="n">
        <v>4.78</v>
      </c>
      <c r="K942" s="20">
        <f>ROUND((H942-J942)*J942*IF(B942="Carbon Steel",$K$7,IF(B942="Stainless Steel 304",$K$8,$L$8)), 3)</f>
        <v/>
      </c>
      <c r="L942" s="82">
        <f>ROUND(K942*$G$5, 2)</f>
        <v/>
      </c>
      <c r="M942" s="98">
        <f>INT($G$6/H942)</f>
        <v/>
      </c>
      <c r="N942" s="98">
        <f>IF(M942=0, 0, IF(OR($K$6="Square Grid", M942=1), INT($G$7/H942), IF($G$7&lt;H942, 0, 1+INT(($G$7-H942)/(0.8660254*H942)))))</f>
        <v/>
      </c>
      <c r="O942" s="84">
        <f>IF(OR(M942=0,N942=0), 0, IF(OR($K$6="Square Grid", M942=1), M942*N942*$K$5, (INT((N942+1)/2)*M942 + INT(N942/2)*IF(($G$6-M942*H942)&gt;=0.5*H942, M942, M942-1))*$K$5))</f>
        <v/>
      </c>
      <c r="P942" s="84">
        <f>IF(L942&lt;=0, 0, INT($G$8/L942))</f>
        <v/>
      </c>
      <c r="Q942" s="95">
        <f>MIN(O942, P942)</f>
        <v/>
      </c>
      <c r="R942" s="96">
        <f>ROUND((Q942*L942)/1000, 2)</f>
        <v/>
      </c>
      <c r="S942" s="85">
        <f>IF($C$8&gt;0, R942/$C$8, 0)</f>
        <v/>
      </c>
      <c r="T942" s="85">
        <f>IF(O942&gt;0, Q942/O942, 0)</f>
        <v/>
      </c>
      <c r="U942" s="18">
        <f>IF(Q942=0, "Exceeds Limit", IF(P942&lt;=O942, "Weight Limited", "Volume Limited"))</f>
        <v/>
      </c>
      <c r="V942" s="100">
        <f>B942&amp;"|"&amp;D942&amp;"|"&amp;F942</f>
        <v/>
      </c>
    </row>
    <row r="943" ht="19" customHeight="1">
      <c r="A943" s="93" t="n">
        <v>933</v>
      </c>
      <c r="B943" s="101" t="inlineStr">
        <is>
          <t>Stainless Steel 316</t>
        </is>
      </c>
      <c r="C943" s="13" t="inlineStr">
        <is>
          <t>ASME B36.19M / B36.10M</t>
        </is>
      </c>
      <c r="D943" s="12" t="inlineStr">
        <is>
          <t>4''</t>
        </is>
      </c>
      <c r="E943" s="93" t="n">
        <v>100</v>
      </c>
      <c r="F943" s="12" t="inlineStr">
        <is>
          <t>40S</t>
        </is>
      </c>
      <c r="G943" s="14" t="n">
        <v>4.5</v>
      </c>
      <c r="H943" s="78" t="n">
        <v>114.3</v>
      </c>
      <c r="I943" s="14" t="n">
        <v>0.237</v>
      </c>
      <c r="J943" s="78" t="n">
        <v>6.02</v>
      </c>
      <c r="K943" s="14">
        <f>ROUND((H943-J943)*J943*IF(B943="Carbon Steel",$K$7,IF(B943="Stainless Steel 304",$K$8,$L$8)), 3)</f>
        <v/>
      </c>
      <c r="L943" s="78">
        <f>ROUND(K943*$G$5, 2)</f>
        <v/>
      </c>
      <c r="M943" s="93">
        <f>INT($G$6/H943)</f>
        <v/>
      </c>
      <c r="N943" s="93">
        <f>IF(M943=0, 0, IF(OR($K$6="Square Grid", M943=1), INT($G$7/H943), IF($G$7&lt;H943, 0, 1+INT(($G$7-H943)/(0.8660254*H943)))))</f>
        <v/>
      </c>
      <c r="O943" s="59">
        <f>IF(OR(M943=0,N943=0), 0, IF(OR($K$6="Square Grid", M943=1), M943*N943*$K$5, (INT((N943+1)/2)*M943 + INT(N943/2)*IF(($G$6-M943*H943)&gt;=0.5*H943, M943, M943-1))*$K$5))</f>
        <v/>
      </c>
      <c r="P943" s="59">
        <f>IF(L943&lt;=0, 0, INT($G$8/L943))</f>
        <v/>
      </c>
      <c r="Q943" s="95">
        <f>MIN(O943, P943)</f>
        <v/>
      </c>
      <c r="R943" s="96">
        <f>ROUND((Q943*L943)/1000, 2)</f>
        <v/>
      </c>
      <c r="S943" s="79">
        <f>IF($C$8&gt;0, R943/$C$8, 0)</f>
        <v/>
      </c>
      <c r="T943" s="79">
        <f>IF(O943&gt;0, Q943/O943, 0)</f>
        <v/>
      </c>
      <c r="U943" s="12">
        <f>IF(Q943=0, "Exceeds Limit", IF(P943&lt;=O943, "Weight Limited", "Volume Limited"))</f>
        <v/>
      </c>
      <c r="V943" s="97">
        <f>B943&amp;"|"&amp;D943&amp;"|"&amp;F943</f>
        <v/>
      </c>
    </row>
    <row r="944" ht="19" customHeight="1">
      <c r="A944" s="98" t="n">
        <v>934</v>
      </c>
      <c r="B944" s="102" t="inlineStr">
        <is>
          <t>Stainless Steel 316</t>
        </is>
      </c>
      <c r="C944" s="19" t="inlineStr">
        <is>
          <t>ASME B36.19M / B36.10M</t>
        </is>
      </c>
      <c r="D944" s="18" t="inlineStr">
        <is>
          <t>4''</t>
        </is>
      </c>
      <c r="E944" s="98" t="n">
        <v>100</v>
      </c>
      <c r="F944" s="18" t="inlineStr">
        <is>
          <t>STD</t>
        </is>
      </c>
      <c r="G944" s="20" t="n">
        <v>4.5</v>
      </c>
      <c r="H944" s="82" t="n">
        <v>114.3</v>
      </c>
      <c r="I944" s="20" t="n">
        <v>0.237</v>
      </c>
      <c r="J944" s="82" t="n">
        <v>6.02</v>
      </c>
      <c r="K944" s="20">
        <f>ROUND((H944-J944)*J944*IF(B944="Carbon Steel",$K$7,IF(B944="Stainless Steel 304",$K$8,$L$8)), 3)</f>
        <v/>
      </c>
      <c r="L944" s="82">
        <f>ROUND(K944*$G$5, 2)</f>
        <v/>
      </c>
      <c r="M944" s="98">
        <f>INT($G$6/H944)</f>
        <v/>
      </c>
      <c r="N944" s="98">
        <f>IF(M944=0, 0, IF(OR($K$6="Square Grid", M944=1), INT($G$7/H944), IF($G$7&lt;H944, 0, 1+INT(($G$7-H944)/(0.8660254*H944)))))</f>
        <v/>
      </c>
      <c r="O944" s="84">
        <f>IF(OR(M944=0,N944=0), 0, IF(OR($K$6="Square Grid", M944=1), M944*N944*$K$5, (INT((N944+1)/2)*M944 + INT(N944/2)*IF(($G$6-M944*H944)&gt;=0.5*H944, M944, M944-1))*$K$5))</f>
        <v/>
      </c>
      <c r="P944" s="84">
        <f>IF(L944&lt;=0, 0, INT($G$8/L944))</f>
        <v/>
      </c>
      <c r="Q944" s="95">
        <f>MIN(O944, P944)</f>
        <v/>
      </c>
      <c r="R944" s="96">
        <f>ROUND((Q944*L944)/1000, 2)</f>
        <v/>
      </c>
      <c r="S944" s="85">
        <f>IF($C$8&gt;0, R944/$C$8, 0)</f>
        <v/>
      </c>
      <c r="T944" s="85">
        <f>IF(O944&gt;0, Q944/O944, 0)</f>
        <v/>
      </c>
      <c r="U944" s="18">
        <f>IF(Q944=0, "Exceeds Limit", IF(P944&lt;=O944, "Weight Limited", "Volume Limited"))</f>
        <v/>
      </c>
      <c r="V944" s="100">
        <f>B944&amp;"|"&amp;D944&amp;"|"&amp;F944</f>
        <v/>
      </c>
    </row>
    <row r="945" ht="19" customHeight="1">
      <c r="A945" s="93" t="n">
        <v>935</v>
      </c>
      <c r="B945" s="101" t="inlineStr">
        <is>
          <t>Stainless Steel 316</t>
        </is>
      </c>
      <c r="C945" s="13" t="inlineStr">
        <is>
          <t>ASME B36.19M / B36.10M</t>
        </is>
      </c>
      <c r="D945" s="12" t="inlineStr">
        <is>
          <t>4''</t>
        </is>
      </c>
      <c r="E945" s="93" t="n">
        <v>100</v>
      </c>
      <c r="F945" s="12" t="inlineStr">
        <is>
          <t>40</t>
        </is>
      </c>
      <c r="G945" s="14" t="n">
        <v>4.5</v>
      </c>
      <c r="H945" s="78" t="n">
        <v>114.3</v>
      </c>
      <c r="I945" s="14" t="n">
        <v>0.237</v>
      </c>
      <c r="J945" s="78" t="n">
        <v>6.02</v>
      </c>
      <c r="K945" s="14">
        <f>ROUND((H945-J945)*J945*IF(B945="Carbon Steel",$K$7,IF(B945="Stainless Steel 304",$K$8,$L$8)), 3)</f>
        <v/>
      </c>
      <c r="L945" s="78">
        <f>ROUND(K945*$G$5, 2)</f>
        <v/>
      </c>
      <c r="M945" s="93">
        <f>INT($G$6/H945)</f>
        <v/>
      </c>
      <c r="N945" s="93">
        <f>IF(M945=0, 0, IF(OR($K$6="Square Grid", M945=1), INT($G$7/H945), IF($G$7&lt;H945, 0, 1+INT(($G$7-H945)/(0.8660254*H945)))))</f>
        <v/>
      </c>
      <c r="O945" s="59">
        <f>IF(OR(M945=0,N945=0), 0, IF(OR($K$6="Square Grid", M945=1), M945*N945*$K$5, (INT((N945+1)/2)*M945 + INT(N945/2)*IF(($G$6-M945*H945)&gt;=0.5*H945, M945, M945-1))*$K$5))</f>
        <v/>
      </c>
      <c r="P945" s="59">
        <f>IF(L945&lt;=0, 0, INT($G$8/L945))</f>
        <v/>
      </c>
      <c r="Q945" s="95">
        <f>MIN(O945, P945)</f>
        <v/>
      </c>
      <c r="R945" s="96">
        <f>ROUND((Q945*L945)/1000, 2)</f>
        <v/>
      </c>
      <c r="S945" s="79">
        <f>IF($C$8&gt;0, R945/$C$8, 0)</f>
        <v/>
      </c>
      <c r="T945" s="79">
        <f>IF(O945&gt;0, Q945/O945, 0)</f>
        <v/>
      </c>
      <c r="U945" s="12">
        <f>IF(Q945=0, "Exceeds Limit", IF(P945&lt;=O945, "Weight Limited", "Volume Limited"))</f>
        <v/>
      </c>
      <c r="V945" s="97">
        <f>B945&amp;"|"&amp;D945&amp;"|"&amp;F945</f>
        <v/>
      </c>
    </row>
    <row r="946" ht="19" customHeight="1">
      <c r="A946" s="98" t="n">
        <v>936</v>
      </c>
      <c r="B946" s="102" t="inlineStr">
        <is>
          <t>Stainless Steel 316</t>
        </is>
      </c>
      <c r="C946" s="19" t="inlineStr">
        <is>
          <t>ASME B36.19M / B36.10M</t>
        </is>
      </c>
      <c r="D946" s="18" t="inlineStr">
        <is>
          <t>4''</t>
        </is>
      </c>
      <c r="E946" s="98" t="n">
        <v>100</v>
      </c>
      <c r="F946" s="18" t="inlineStr">
        <is>
          <t>60</t>
        </is>
      </c>
      <c r="G946" s="20" t="n">
        <v>4.5</v>
      </c>
      <c r="H946" s="82" t="n">
        <v>114.3</v>
      </c>
      <c r="I946" s="20" t="n">
        <v>0.281</v>
      </c>
      <c r="J946" s="82" t="n">
        <v>7.14</v>
      </c>
      <c r="K946" s="20">
        <f>ROUND((H946-J946)*J946*IF(B946="Carbon Steel",$K$7,IF(B946="Stainless Steel 304",$K$8,$L$8)), 3)</f>
        <v/>
      </c>
      <c r="L946" s="82">
        <f>ROUND(K946*$G$5, 2)</f>
        <v/>
      </c>
      <c r="M946" s="98">
        <f>INT($G$6/H946)</f>
        <v/>
      </c>
      <c r="N946" s="98">
        <f>IF(M946=0, 0, IF(OR($K$6="Square Grid", M946=1), INT($G$7/H946), IF($G$7&lt;H946, 0, 1+INT(($G$7-H946)/(0.8660254*H946)))))</f>
        <v/>
      </c>
      <c r="O946" s="84">
        <f>IF(OR(M946=0,N946=0), 0, IF(OR($K$6="Square Grid", M946=1), M946*N946*$K$5, (INT((N946+1)/2)*M946 + INT(N946/2)*IF(($G$6-M946*H946)&gt;=0.5*H946, M946, M946-1))*$K$5))</f>
        <v/>
      </c>
      <c r="P946" s="84">
        <f>IF(L946&lt;=0, 0, INT($G$8/L946))</f>
        <v/>
      </c>
      <c r="Q946" s="95">
        <f>MIN(O946, P946)</f>
        <v/>
      </c>
      <c r="R946" s="96">
        <f>ROUND((Q946*L946)/1000, 2)</f>
        <v/>
      </c>
      <c r="S946" s="85">
        <f>IF($C$8&gt;0, R946/$C$8, 0)</f>
        <v/>
      </c>
      <c r="T946" s="85">
        <f>IF(O946&gt;0, Q946/O946, 0)</f>
        <v/>
      </c>
      <c r="U946" s="18">
        <f>IF(Q946=0, "Exceeds Limit", IF(P946&lt;=O946, "Weight Limited", "Volume Limited"))</f>
        <v/>
      </c>
      <c r="V946" s="100">
        <f>B946&amp;"|"&amp;D946&amp;"|"&amp;F946</f>
        <v/>
      </c>
    </row>
    <row r="947" ht="19" customHeight="1">
      <c r="A947" s="93" t="n">
        <v>937</v>
      </c>
      <c r="B947" s="101" t="inlineStr">
        <is>
          <t>Stainless Steel 316</t>
        </is>
      </c>
      <c r="C947" s="13" t="inlineStr">
        <is>
          <t>ASME B36.19M / B36.10M</t>
        </is>
      </c>
      <c r="D947" s="12" t="inlineStr">
        <is>
          <t>4''</t>
        </is>
      </c>
      <c r="E947" s="93" t="n">
        <v>100</v>
      </c>
      <c r="F947" s="12" t="inlineStr">
        <is>
          <t>80S</t>
        </is>
      </c>
      <c r="G947" s="14" t="n">
        <v>4.5</v>
      </c>
      <c r="H947" s="78" t="n">
        <v>114.3</v>
      </c>
      <c r="I947" s="14" t="n">
        <v>0.337</v>
      </c>
      <c r="J947" s="78" t="n">
        <v>8.56</v>
      </c>
      <c r="K947" s="14">
        <f>ROUND((H947-J947)*J947*IF(B947="Carbon Steel",$K$7,IF(B947="Stainless Steel 304",$K$8,$L$8)), 3)</f>
        <v/>
      </c>
      <c r="L947" s="78">
        <f>ROUND(K947*$G$5, 2)</f>
        <v/>
      </c>
      <c r="M947" s="93">
        <f>INT($G$6/H947)</f>
        <v/>
      </c>
      <c r="N947" s="93">
        <f>IF(M947=0, 0, IF(OR($K$6="Square Grid", M947=1), INT($G$7/H947), IF($G$7&lt;H947, 0, 1+INT(($G$7-H947)/(0.8660254*H947)))))</f>
        <v/>
      </c>
      <c r="O947" s="59">
        <f>IF(OR(M947=0,N947=0), 0, IF(OR($K$6="Square Grid", M947=1), M947*N947*$K$5, (INT((N947+1)/2)*M947 + INT(N947/2)*IF(($G$6-M947*H947)&gt;=0.5*H947, M947, M947-1))*$K$5))</f>
        <v/>
      </c>
      <c r="P947" s="59">
        <f>IF(L947&lt;=0, 0, INT($G$8/L947))</f>
        <v/>
      </c>
      <c r="Q947" s="95">
        <f>MIN(O947, P947)</f>
        <v/>
      </c>
      <c r="R947" s="96">
        <f>ROUND((Q947*L947)/1000, 2)</f>
        <v/>
      </c>
      <c r="S947" s="79">
        <f>IF($C$8&gt;0, R947/$C$8, 0)</f>
        <v/>
      </c>
      <c r="T947" s="79">
        <f>IF(O947&gt;0, Q947/O947, 0)</f>
        <v/>
      </c>
      <c r="U947" s="12">
        <f>IF(Q947=0, "Exceeds Limit", IF(P947&lt;=O947, "Weight Limited", "Volume Limited"))</f>
        <v/>
      </c>
      <c r="V947" s="97">
        <f>B947&amp;"|"&amp;D947&amp;"|"&amp;F947</f>
        <v/>
      </c>
    </row>
    <row r="948" ht="19" customHeight="1">
      <c r="A948" s="98" t="n">
        <v>938</v>
      </c>
      <c r="B948" s="102" t="inlineStr">
        <is>
          <t>Stainless Steel 316</t>
        </is>
      </c>
      <c r="C948" s="19" t="inlineStr">
        <is>
          <t>ASME B36.19M / B36.10M</t>
        </is>
      </c>
      <c r="D948" s="18" t="inlineStr">
        <is>
          <t>4''</t>
        </is>
      </c>
      <c r="E948" s="98" t="n">
        <v>100</v>
      </c>
      <c r="F948" s="18" t="inlineStr">
        <is>
          <t>XS</t>
        </is>
      </c>
      <c r="G948" s="20" t="n">
        <v>4.5</v>
      </c>
      <c r="H948" s="82" t="n">
        <v>114.3</v>
      </c>
      <c r="I948" s="20" t="n">
        <v>0.337</v>
      </c>
      <c r="J948" s="82" t="n">
        <v>8.56</v>
      </c>
      <c r="K948" s="20">
        <f>ROUND((H948-J948)*J948*IF(B948="Carbon Steel",$K$7,IF(B948="Stainless Steel 304",$K$8,$L$8)), 3)</f>
        <v/>
      </c>
      <c r="L948" s="82">
        <f>ROUND(K948*$G$5, 2)</f>
        <v/>
      </c>
      <c r="M948" s="98">
        <f>INT($G$6/H948)</f>
        <v/>
      </c>
      <c r="N948" s="98">
        <f>IF(M948=0, 0, IF(OR($K$6="Square Grid", M948=1), INT($G$7/H948), IF($G$7&lt;H948, 0, 1+INT(($G$7-H948)/(0.8660254*H948)))))</f>
        <v/>
      </c>
      <c r="O948" s="84">
        <f>IF(OR(M948=0,N948=0), 0, IF(OR($K$6="Square Grid", M948=1), M948*N948*$K$5, (INT((N948+1)/2)*M948 + INT(N948/2)*IF(($G$6-M948*H948)&gt;=0.5*H948, M948, M948-1))*$K$5))</f>
        <v/>
      </c>
      <c r="P948" s="84">
        <f>IF(L948&lt;=0, 0, INT($G$8/L948))</f>
        <v/>
      </c>
      <c r="Q948" s="95">
        <f>MIN(O948, P948)</f>
        <v/>
      </c>
      <c r="R948" s="96">
        <f>ROUND((Q948*L948)/1000, 2)</f>
        <v/>
      </c>
      <c r="S948" s="85">
        <f>IF($C$8&gt;0, R948/$C$8, 0)</f>
        <v/>
      </c>
      <c r="T948" s="85">
        <f>IF(O948&gt;0, Q948/O948, 0)</f>
        <v/>
      </c>
      <c r="U948" s="18">
        <f>IF(Q948=0, "Exceeds Limit", IF(P948&lt;=O948, "Weight Limited", "Volume Limited"))</f>
        <v/>
      </c>
      <c r="V948" s="100">
        <f>B948&amp;"|"&amp;D948&amp;"|"&amp;F948</f>
        <v/>
      </c>
    </row>
    <row r="949" ht="19" customHeight="1">
      <c r="A949" s="93" t="n">
        <v>939</v>
      </c>
      <c r="B949" s="101" t="inlineStr">
        <is>
          <t>Stainless Steel 316</t>
        </is>
      </c>
      <c r="C949" s="13" t="inlineStr">
        <is>
          <t>ASME B36.19M / B36.10M</t>
        </is>
      </c>
      <c r="D949" s="12" t="inlineStr">
        <is>
          <t>4''</t>
        </is>
      </c>
      <c r="E949" s="93" t="n">
        <v>100</v>
      </c>
      <c r="F949" s="12" t="inlineStr">
        <is>
          <t>80</t>
        </is>
      </c>
      <c r="G949" s="14" t="n">
        <v>4.5</v>
      </c>
      <c r="H949" s="78" t="n">
        <v>114.3</v>
      </c>
      <c r="I949" s="14" t="n">
        <v>0.337</v>
      </c>
      <c r="J949" s="78" t="n">
        <v>8.56</v>
      </c>
      <c r="K949" s="14">
        <f>ROUND((H949-J949)*J949*IF(B949="Carbon Steel",$K$7,IF(B949="Stainless Steel 304",$K$8,$L$8)), 3)</f>
        <v/>
      </c>
      <c r="L949" s="78">
        <f>ROUND(K949*$G$5, 2)</f>
        <v/>
      </c>
      <c r="M949" s="93">
        <f>INT($G$6/H949)</f>
        <v/>
      </c>
      <c r="N949" s="93">
        <f>IF(M949=0, 0, IF(OR($K$6="Square Grid", M949=1), INT($G$7/H949), IF($G$7&lt;H949, 0, 1+INT(($G$7-H949)/(0.8660254*H949)))))</f>
        <v/>
      </c>
      <c r="O949" s="59">
        <f>IF(OR(M949=0,N949=0), 0, IF(OR($K$6="Square Grid", M949=1), M949*N949*$K$5, (INT((N949+1)/2)*M949 + INT(N949/2)*IF(($G$6-M949*H949)&gt;=0.5*H949, M949, M949-1))*$K$5))</f>
        <v/>
      </c>
      <c r="P949" s="59">
        <f>IF(L949&lt;=0, 0, INT($G$8/L949))</f>
        <v/>
      </c>
      <c r="Q949" s="95">
        <f>MIN(O949, P949)</f>
        <v/>
      </c>
      <c r="R949" s="96">
        <f>ROUND((Q949*L949)/1000, 2)</f>
        <v/>
      </c>
      <c r="S949" s="79">
        <f>IF($C$8&gt;0, R949/$C$8, 0)</f>
        <v/>
      </c>
      <c r="T949" s="79">
        <f>IF(O949&gt;0, Q949/O949, 0)</f>
        <v/>
      </c>
      <c r="U949" s="12">
        <f>IF(Q949=0, "Exceeds Limit", IF(P949&lt;=O949, "Weight Limited", "Volume Limited"))</f>
        <v/>
      </c>
      <c r="V949" s="97">
        <f>B949&amp;"|"&amp;D949&amp;"|"&amp;F949</f>
        <v/>
      </c>
    </row>
    <row r="950" ht="19" customHeight="1">
      <c r="A950" s="98" t="n">
        <v>940</v>
      </c>
      <c r="B950" s="102" t="inlineStr">
        <is>
          <t>Stainless Steel 316</t>
        </is>
      </c>
      <c r="C950" s="19" t="inlineStr">
        <is>
          <t>ASME B36.19M / B36.10M</t>
        </is>
      </c>
      <c r="D950" s="18" t="inlineStr">
        <is>
          <t>4''</t>
        </is>
      </c>
      <c r="E950" s="98" t="n">
        <v>100</v>
      </c>
      <c r="F950" s="18" t="inlineStr">
        <is>
          <t>120</t>
        </is>
      </c>
      <c r="G950" s="20" t="n">
        <v>4.5</v>
      </c>
      <c r="H950" s="82" t="n">
        <v>114.3</v>
      </c>
      <c r="I950" s="20" t="n">
        <v>0.438</v>
      </c>
      <c r="J950" s="82" t="n">
        <v>11.13</v>
      </c>
      <c r="K950" s="20">
        <f>ROUND((H950-J950)*J950*IF(B950="Carbon Steel",$K$7,IF(B950="Stainless Steel 304",$K$8,$L$8)), 3)</f>
        <v/>
      </c>
      <c r="L950" s="82">
        <f>ROUND(K950*$G$5, 2)</f>
        <v/>
      </c>
      <c r="M950" s="98">
        <f>INT($G$6/H950)</f>
        <v/>
      </c>
      <c r="N950" s="98">
        <f>IF(M950=0, 0, IF(OR($K$6="Square Grid", M950=1), INT($G$7/H950), IF($G$7&lt;H950, 0, 1+INT(($G$7-H950)/(0.8660254*H950)))))</f>
        <v/>
      </c>
      <c r="O950" s="84">
        <f>IF(OR(M950=0,N950=0), 0, IF(OR($K$6="Square Grid", M950=1), M950*N950*$K$5, (INT((N950+1)/2)*M950 + INT(N950/2)*IF(($G$6-M950*H950)&gt;=0.5*H950, M950, M950-1))*$K$5))</f>
        <v/>
      </c>
      <c r="P950" s="84">
        <f>IF(L950&lt;=0, 0, INT($G$8/L950))</f>
        <v/>
      </c>
      <c r="Q950" s="95">
        <f>MIN(O950, P950)</f>
        <v/>
      </c>
      <c r="R950" s="96">
        <f>ROUND((Q950*L950)/1000, 2)</f>
        <v/>
      </c>
      <c r="S950" s="85">
        <f>IF($C$8&gt;0, R950/$C$8, 0)</f>
        <v/>
      </c>
      <c r="T950" s="85">
        <f>IF(O950&gt;0, Q950/O950, 0)</f>
        <v/>
      </c>
      <c r="U950" s="18">
        <f>IF(Q950=0, "Exceeds Limit", IF(P950&lt;=O950, "Weight Limited", "Volume Limited"))</f>
        <v/>
      </c>
      <c r="V950" s="100">
        <f>B950&amp;"|"&amp;D950&amp;"|"&amp;F950</f>
        <v/>
      </c>
    </row>
    <row r="951" ht="19" customHeight="1">
      <c r="A951" s="93" t="n">
        <v>941</v>
      </c>
      <c r="B951" s="101" t="inlineStr">
        <is>
          <t>Stainless Steel 316</t>
        </is>
      </c>
      <c r="C951" s="13" t="inlineStr">
        <is>
          <t>ASME B36.19M / B36.10M</t>
        </is>
      </c>
      <c r="D951" s="12" t="inlineStr">
        <is>
          <t>4''</t>
        </is>
      </c>
      <c r="E951" s="93" t="n">
        <v>100</v>
      </c>
      <c r="F951" s="12" t="inlineStr">
        <is>
          <t>160</t>
        </is>
      </c>
      <c r="G951" s="14" t="n">
        <v>4.5</v>
      </c>
      <c r="H951" s="78" t="n">
        <v>114.3</v>
      </c>
      <c r="I951" s="14" t="n">
        <v>0.531</v>
      </c>
      <c r="J951" s="78" t="n">
        <v>13.49</v>
      </c>
      <c r="K951" s="14">
        <f>ROUND((H951-J951)*J951*IF(B951="Carbon Steel",$K$7,IF(B951="Stainless Steel 304",$K$8,$L$8)), 3)</f>
        <v/>
      </c>
      <c r="L951" s="78">
        <f>ROUND(K951*$G$5, 2)</f>
        <v/>
      </c>
      <c r="M951" s="93">
        <f>INT($G$6/H951)</f>
        <v/>
      </c>
      <c r="N951" s="93">
        <f>IF(M951=0, 0, IF(OR($K$6="Square Grid", M951=1), INT($G$7/H951), IF($G$7&lt;H951, 0, 1+INT(($G$7-H951)/(0.8660254*H951)))))</f>
        <v/>
      </c>
      <c r="O951" s="59">
        <f>IF(OR(M951=0,N951=0), 0, IF(OR($K$6="Square Grid", M951=1), M951*N951*$K$5, (INT((N951+1)/2)*M951 + INT(N951/2)*IF(($G$6-M951*H951)&gt;=0.5*H951, M951, M951-1))*$K$5))</f>
        <v/>
      </c>
      <c r="P951" s="59">
        <f>IF(L951&lt;=0, 0, INT($G$8/L951))</f>
        <v/>
      </c>
      <c r="Q951" s="95">
        <f>MIN(O951, P951)</f>
        <v/>
      </c>
      <c r="R951" s="96">
        <f>ROUND((Q951*L951)/1000, 2)</f>
        <v/>
      </c>
      <c r="S951" s="79">
        <f>IF($C$8&gt;0, R951/$C$8, 0)</f>
        <v/>
      </c>
      <c r="T951" s="79">
        <f>IF(O951&gt;0, Q951/O951, 0)</f>
        <v/>
      </c>
      <c r="U951" s="12">
        <f>IF(Q951=0, "Exceeds Limit", IF(P951&lt;=O951, "Weight Limited", "Volume Limited"))</f>
        <v/>
      </c>
      <c r="V951" s="97">
        <f>B951&amp;"|"&amp;D951&amp;"|"&amp;F951</f>
        <v/>
      </c>
    </row>
    <row r="952" ht="19" customHeight="1">
      <c r="A952" s="98" t="n">
        <v>942</v>
      </c>
      <c r="B952" s="102" t="inlineStr">
        <is>
          <t>Stainless Steel 316</t>
        </is>
      </c>
      <c r="C952" s="19" t="inlineStr">
        <is>
          <t>ASME B36.19M / B36.10M</t>
        </is>
      </c>
      <c r="D952" s="18" t="inlineStr">
        <is>
          <t>4''</t>
        </is>
      </c>
      <c r="E952" s="98" t="n">
        <v>100</v>
      </c>
      <c r="F952" s="18" t="inlineStr">
        <is>
          <t>XXS</t>
        </is>
      </c>
      <c r="G952" s="20" t="n">
        <v>4.5</v>
      </c>
      <c r="H952" s="82" t="n">
        <v>114.3</v>
      </c>
      <c r="I952" s="20" t="n">
        <v>0.674</v>
      </c>
      <c r="J952" s="82" t="n">
        <v>17.12</v>
      </c>
      <c r="K952" s="20">
        <f>ROUND((H952-J952)*J952*IF(B952="Carbon Steel",$K$7,IF(B952="Stainless Steel 304",$K$8,$L$8)), 3)</f>
        <v/>
      </c>
      <c r="L952" s="82">
        <f>ROUND(K952*$G$5, 2)</f>
        <v/>
      </c>
      <c r="M952" s="98">
        <f>INT($G$6/H952)</f>
        <v/>
      </c>
      <c r="N952" s="98">
        <f>IF(M952=0, 0, IF(OR($K$6="Square Grid", M952=1), INT($G$7/H952), IF($G$7&lt;H952, 0, 1+INT(($G$7-H952)/(0.8660254*H952)))))</f>
        <v/>
      </c>
      <c r="O952" s="84">
        <f>IF(OR(M952=0,N952=0), 0, IF(OR($K$6="Square Grid", M952=1), M952*N952*$K$5, (INT((N952+1)/2)*M952 + INT(N952/2)*IF(($G$6-M952*H952)&gt;=0.5*H952, M952, M952-1))*$K$5))</f>
        <v/>
      </c>
      <c r="P952" s="84">
        <f>IF(L952&lt;=0, 0, INT($G$8/L952))</f>
        <v/>
      </c>
      <c r="Q952" s="95">
        <f>MIN(O952, P952)</f>
        <v/>
      </c>
      <c r="R952" s="96">
        <f>ROUND((Q952*L952)/1000, 2)</f>
        <v/>
      </c>
      <c r="S952" s="85">
        <f>IF($C$8&gt;0, R952/$C$8, 0)</f>
        <v/>
      </c>
      <c r="T952" s="85">
        <f>IF(O952&gt;0, Q952/O952, 0)</f>
        <v/>
      </c>
      <c r="U952" s="18">
        <f>IF(Q952=0, "Exceeds Limit", IF(P952&lt;=O952, "Weight Limited", "Volume Limited"))</f>
        <v/>
      </c>
      <c r="V952" s="100">
        <f>B952&amp;"|"&amp;D952&amp;"|"&amp;F952</f>
        <v/>
      </c>
    </row>
    <row r="953" ht="19" customHeight="1">
      <c r="A953" s="93" t="n">
        <v>943</v>
      </c>
      <c r="B953" s="101" t="inlineStr">
        <is>
          <t>Stainless Steel 316</t>
        </is>
      </c>
      <c r="C953" s="13" t="inlineStr">
        <is>
          <t>ASME B36.19M / B36.10M</t>
        </is>
      </c>
      <c r="D953" s="12" t="inlineStr">
        <is>
          <t>5''</t>
        </is>
      </c>
      <c r="E953" s="93" t="n">
        <v>125</v>
      </c>
      <c r="F953" s="12" t="inlineStr">
        <is>
          <t>5S</t>
        </is>
      </c>
      <c r="G953" s="14" t="n">
        <v>5.563</v>
      </c>
      <c r="H953" s="78" t="n">
        <v>141.3</v>
      </c>
      <c r="I953" s="14" t="n">
        <v>0.109</v>
      </c>
      <c r="J953" s="78" t="n">
        <v>2.77</v>
      </c>
      <c r="K953" s="14">
        <f>ROUND((H953-J953)*J953*IF(B953="Carbon Steel",$K$7,IF(B953="Stainless Steel 304",$K$8,$L$8)), 3)</f>
        <v/>
      </c>
      <c r="L953" s="78">
        <f>ROUND(K953*$G$5, 2)</f>
        <v/>
      </c>
      <c r="M953" s="93">
        <f>INT($G$6/H953)</f>
        <v/>
      </c>
      <c r="N953" s="93">
        <f>IF(M953=0, 0, IF(OR($K$6="Square Grid", M953=1), INT($G$7/H953), IF($G$7&lt;H953, 0, 1+INT(($G$7-H953)/(0.8660254*H953)))))</f>
        <v/>
      </c>
      <c r="O953" s="59">
        <f>IF(OR(M953=0,N953=0), 0, IF(OR($K$6="Square Grid", M953=1), M953*N953*$K$5, (INT((N953+1)/2)*M953 + INT(N953/2)*IF(($G$6-M953*H953)&gt;=0.5*H953, M953, M953-1))*$K$5))</f>
        <v/>
      </c>
      <c r="P953" s="59">
        <f>IF(L953&lt;=0, 0, INT($G$8/L953))</f>
        <v/>
      </c>
      <c r="Q953" s="95">
        <f>MIN(O953, P953)</f>
        <v/>
      </c>
      <c r="R953" s="96">
        <f>ROUND((Q953*L953)/1000, 2)</f>
        <v/>
      </c>
      <c r="S953" s="79">
        <f>IF($C$8&gt;0, R953/$C$8, 0)</f>
        <v/>
      </c>
      <c r="T953" s="79">
        <f>IF(O953&gt;0, Q953/O953, 0)</f>
        <v/>
      </c>
      <c r="U953" s="12">
        <f>IF(Q953=0, "Exceeds Limit", IF(P953&lt;=O953, "Weight Limited", "Volume Limited"))</f>
        <v/>
      </c>
      <c r="V953" s="97">
        <f>B953&amp;"|"&amp;D953&amp;"|"&amp;F953</f>
        <v/>
      </c>
    </row>
    <row r="954" ht="19" customHeight="1">
      <c r="A954" s="98" t="n">
        <v>944</v>
      </c>
      <c r="B954" s="102" t="inlineStr">
        <is>
          <t>Stainless Steel 316</t>
        </is>
      </c>
      <c r="C954" s="19" t="inlineStr">
        <is>
          <t>ASME B36.19M / B36.10M</t>
        </is>
      </c>
      <c r="D954" s="18" t="inlineStr">
        <is>
          <t>5''</t>
        </is>
      </c>
      <c r="E954" s="98" t="n">
        <v>125</v>
      </c>
      <c r="F954" s="18" t="inlineStr">
        <is>
          <t>5</t>
        </is>
      </c>
      <c r="G954" s="20" t="n">
        <v>5.563</v>
      </c>
      <c r="H954" s="82" t="n">
        <v>141.3</v>
      </c>
      <c r="I954" s="20" t="n">
        <v>0.109</v>
      </c>
      <c r="J954" s="82" t="n">
        <v>2.77</v>
      </c>
      <c r="K954" s="20">
        <f>ROUND((H954-J954)*J954*IF(B954="Carbon Steel",$K$7,IF(B954="Stainless Steel 304",$K$8,$L$8)), 3)</f>
        <v/>
      </c>
      <c r="L954" s="82">
        <f>ROUND(K954*$G$5, 2)</f>
        <v/>
      </c>
      <c r="M954" s="98">
        <f>INT($G$6/H954)</f>
        <v/>
      </c>
      <c r="N954" s="98">
        <f>IF(M954=0, 0, IF(OR($K$6="Square Grid", M954=1), INT($G$7/H954), IF($G$7&lt;H954, 0, 1+INT(($G$7-H954)/(0.8660254*H954)))))</f>
        <v/>
      </c>
      <c r="O954" s="84">
        <f>IF(OR(M954=0,N954=0), 0, IF(OR($K$6="Square Grid", M954=1), M954*N954*$K$5, (INT((N954+1)/2)*M954 + INT(N954/2)*IF(($G$6-M954*H954)&gt;=0.5*H954, M954, M954-1))*$K$5))</f>
        <v/>
      </c>
      <c r="P954" s="84">
        <f>IF(L954&lt;=0, 0, INT($G$8/L954))</f>
        <v/>
      </c>
      <c r="Q954" s="95">
        <f>MIN(O954, P954)</f>
        <v/>
      </c>
      <c r="R954" s="96">
        <f>ROUND((Q954*L954)/1000, 2)</f>
        <v/>
      </c>
      <c r="S954" s="85">
        <f>IF($C$8&gt;0, R954/$C$8, 0)</f>
        <v/>
      </c>
      <c r="T954" s="85">
        <f>IF(O954&gt;0, Q954/O954, 0)</f>
        <v/>
      </c>
      <c r="U954" s="18">
        <f>IF(Q954=0, "Exceeds Limit", IF(P954&lt;=O954, "Weight Limited", "Volume Limited"))</f>
        <v/>
      </c>
      <c r="V954" s="100">
        <f>B954&amp;"|"&amp;D954&amp;"|"&amp;F954</f>
        <v/>
      </c>
    </row>
    <row r="955" ht="19" customHeight="1">
      <c r="A955" s="93" t="n">
        <v>945</v>
      </c>
      <c r="B955" s="101" t="inlineStr">
        <is>
          <t>Stainless Steel 316</t>
        </is>
      </c>
      <c r="C955" s="13" t="inlineStr">
        <is>
          <t>ASME B36.19M / B36.10M</t>
        </is>
      </c>
      <c r="D955" s="12" t="inlineStr">
        <is>
          <t>5''</t>
        </is>
      </c>
      <c r="E955" s="93" t="n">
        <v>125</v>
      </c>
      <c r="F955" s="12" t="inlineStr">
        <is>
          <t>10S</t>
        </is>
      </c>
      <c r="G955" s="14" t="n">
        <v>5.563</v>
      </c>
      <c r="H955" s="78" t="n">
        <v>141.3</v>
      </c>
      <c r="I955" s="14" t="n">
        <v>0.134</v>
      </c>
      <c r="J955" s="78" t="n">
        <v>3.4</v>
      </c>
      <c r="K955" s="14">
        <f>ROUND((H955-J955)*J955*IF(B955="Carbon Steel",$K$7,IF(B955="Stainless Steel 304",$K$8,$L$8)), 3)</f>
        <v/>
      </c>
      <c r="L955" s="78">
        <f>ROUND(K955*$G$5, 2)</f>
        <v/>
      </c>
      <c r="M955" s="93">
        <f>INT($G$6/H955)</f>
        <v/>
      </c>
      <c r="N955" s="93">
        <f>IF(M955=0, 0, IF(OR($K$6="Square Grid", M955=1), INT($G$7/H955), IF($G$7&lt;H955, 0, 1+INT(($G$7-H955)/(0.8660254*H955)))))</f>
        <v/>
      </c>
      <c r="O955" s="59">
        <f>IF(OR(M955=0,N955=0), 0, IF(OR($K$6="Square Grid", M955=1), M955*N955*$K$5, (INT((N955+1)/2)*M955 + INT(N955/2)*IF(($G$6-M955*H955)&gt;=0.5*H955, M955, M955-1))*$K$5))</f>
        <v/>
      </c>
      <c r="P955" s="59">
        <f>IF(L955&lt;=0, 0, INT($G$8/L955))</f>
        <v/>
      </c>
      <c r="Q955" s="95">
        <f>MIN(O955, P955)</f>
        <v/>
      </c>
      <c r="R955" s="96">
        <f>ROUND((Q955*L955)/1000, 2)</f>
        <v/>
      </c>
      <c r="S955" s="79">
        <f>IF($C$8&gt;0, R955/$C$8, 0)</f>
        <v/>
      </c>
      <c r="T955" s="79">
        <f>IF(O955&gt;0, Q955/O955, 0)</f>
        <v/>
      </c>
      <c r="U955" s="12">
        <f>IF(Q955=0, "Exceeds Limit", IF(P955&lt;=O955, "Weight Limited", "Volume Limited"))</f>
        <v/>
      </c>
      <c r="V955" s="97">
        <f>B955&amp;"|"&amp;D955&amp;"|"&amp;F955</f>
        <v/>
      </c>
    </row>
    <row r="956" ht="19" customHeight="1">
      <c r="A956" s="98" t="n">
        <v>946</v>
      </c>
      <c r="B956" s="102" t="inlineStr">
        <is>
          <t>Stainless Steel 316</t>
        </is>
      </c>
      <c r="C956" s="19" t="inlineStr">
        <is>
          <t>ASME B36.19M / B36.10M</t>
        </is>
      </c>
      <c r="D956" s="18" t="inlineStr">
        <is>
          <t>5''</t>
        </is>
      </c>
      <c r="E956" s="98" t="n">
        <v>125</v>
      </c>
      <c r="F956" s="18" t="inlineStr">
        <is>
          <t>10</t>
        </is>
      </c>
      <c r="G956" s="20" t="n">
        <v>5.563</v>
      </c>
      <c r="H956" s="82" t="n">
        <v>141.3</v>
      </c>
      <c r="I956" s="20" t="n">
        <v>0.134</v>
      </c>
      <c r="J956" s="82" t="n">
        <v>3.4</v>
      </c>
      <c r="K956" s="20">
        <f>ROUND((H956-J956)*J956*IF(B956="Carbon Steel",$K$7,IF(B956="Stainless Steel 304",$K$8,$L$8)), 3)</f>
        <v/>
      </c>
      <c r="L956" s="82">
        <f>ROUND(K956*$G$5, 2)</f>
        <v/>
      </c>
      <c r="M956" s="98">
        <f>INT($G$6/H956)</f>
        <v/>
      </c>
      <c r="N956" s="98">
        <f>IF(M956=0, 0, IF(OR($K$6="Square Grid", M956=1), INT($G$7/H956), IF($G$7&lt;H956, 0, 1+INT(($G$7-H956)/(0.8660254*H956)))))</f>
        <v/>
      </c>
      <c r="O956" s="84">
        <f>IF(OR(M956=0,N956=0), 0, IF(OR($K$6="Square Grid", M956=1), M956*N956*$K$5, (INT((N956+1)/2)*M956 + INT(N956/2)*IF(($G$6-M956*H956)&gt;=0.5*H956, M956, M956-1))*$K$5))</f>
        <v/>
      </c>
      <c r="P956" s="84">
        <f>IF(L956&lt;=0, 0, INT($G$8/L956))</f>
        <v/>
      </c>
      <c r="Q956" s="95">
        <f>MIN(O956, P956)</f>
        <v/>
      </c>
      <c r="R956" s="96">
        <f>ROUND((Q956*L956)/1000, 2)</f>
        <v/>
      </c>
      <c r="S956" s="85">
        <f>IF($C$8&gt;0, R956/$C$8, 0)</f>
        <v/>
      </c>
      <c r="T956" s="85">
        <f>IF(O956&gt;0, Q956/O956, 0)</f>
        <v/>
      </c>
      <c r="U956" s="18">
        <f>IF(Q956=0, "Exceeds Limit", IF(P956&lt;=O956, "Weight Limited", "Volume Limited"))</f>
        <v/>
      </c>
      <c r="V956" s="100">
        <f>B956&amp;"|"&amp;D956&amp;"|"&amp;F956</f>
        <v/>
      </c>
    </row>
    <row r="957" ht="19" customHeight="1">
      <c r="A957" s="93" t="n">
        <v>947</v>
      </c>
      <c r="B957" s="101" t="inlineStr">
        <is>
          <t>Stainless Steel 316</t>
        </is>
      </c>
      <c r="C957" s="13" t="inlineStr">
        <is>
          <t>ASME B36.19M / B36.10M</t>
        </is>
      </c>
      <c r="D957" s="12" t="inlineStr">
        <is>
          <t>5''</t>
        </is>
      </c>
      <c r="E957" s="93" t="n">
        <v>125</v>
      </c>
      <c r="F957" s="12" t="inlineStr">
        <is>
          <t>40S</t>
        </is>
      </c>
      <c r="G957" s="14" t="n">
        <v>5.563</v>
      </c>
      <c r="H957" s="78" t="n">
        <v>141.3</v>
      </c>
      <c r="I957" s="14" t="n">
        <v>0.258</v>
      </c>
      <c r="J957" s="78" t="n">
        <v>6.55</v>
      </c>
      <c r="K957" s="14">
        <f>ROUND((H957-J957)*J957*IF(B957="Carbon Steel",$K$7,IF(B957="Stainless Steel 304",$K$8,$L$8)), 3)</f>
        <v/>
      </c>
      <c r="L957" s="78">
        <f>ROUND(K957*$G$5, 2)</f>
        <v/>
      </c>
      <c r="M957" s="93">
        <f>INT($G$6/H957)</f>
        <v/>
      </c>
      <c r="N957" s="93">
        <f>IF(M957=0, 0, IF(OR($K$6="Square Grid", M957=1), INT($G$7/H957), IF($G$7&lt;H957, 0, 1+INT(($G$7-H957)/(0.8660254*H957)))))</f>
        <v/>
      </c>
      <c r="O957" s="59">
        <f>IF(OR(M957=0,N957=0), 0, IF(OR($K$6="Square Grid", M957=1), M957*N957*$K$5, (INT((N957+1)/2)*M957 + INT(N957/2)*IF(($G$6-M957*H957)&gt;=0.5*H957, M957, M957-1))*$K$5))</f>
        <v/>
      </c>
      <c r="P957" s="59">
        <f>IF(L957&lt;=0, 0, INT($G$8/L957))</f>
        <v/>
      </c>
      <c r="Q957" s="95">
        <f>MIN(O957, P957)</f>
        <v/>
      </c>
      <c r="R957" s="96">
        <f>ROUND((Q957*L957)/1000, 2)</f>
        <v/>
      </c>
      <c r="S957" s="79">
        <f>IF($C$8&gt;0, R957/$C$8, 0)</f>
        <v/>
      </c>
      <c r="T957" s="79">
        <f>IF(O957&gt;0, Q957/O957, 0)</f>
        <v/>
      </c>
      <c r="U957" s="12">
        <f>IF(Q957=0, "Exceeds Limit", IF(P957&lt;=O957, "Weight Limited", "Volume Limited"))</f>
        <v/>
      </c>
      <c r="V957" s="97">
        <f>B957&amp;"|"&amp;D957&amp;"|"&amp;F957</f>
        <v/>
      </c>
    </row>
    <row r="958" ht="19" customHeight="1">
      <c r="A958" s="98" t="n">
        <v>948</v>
      </c>
      <c r="B958" s="102" t="inlineStr">
        <is>
          <t>Stainless Steel 316</t>
        </is>
      </c>
      <c r="C958" s="19" t="inlineStr">
        <is>
          <t>ASME B36.19M / B36.10M</t>
        </is>
      </c>
      <c r="D958" s="18" t="inlineStr">
        <is>
          <t>5''</t>
        </is>
      </c>
      <c r="E958" s="98" t="n">
        <v>125</v>
      </c>
      <c r="F958" s="18" t="inlineStr">
        <is>
          <t>STD</t>
        </is>
      </c>
      <c r="G958" s="20" t="n">
        <v>5.563</v>
      </c>
      <c r="H958" s="82" t="n">
        <v>141.3</v>
      </c>
      <c r="I958" s="20" t="n">
        <v>0.258</v>
      </c>
      <c r="J958" s="82" t="n">
        <v>6.55</v>
      </c>
      <c r="K958" s="20">
        <f>ROUND((H958-J958)*J958*IF(B958="Carbon Steel",$K$7,IF(B958="Stainless Steel 304",$K$8,$L$8)), 3)</f>
        <v/>
      </c>
      <c r="L958" s="82">
        <f>ROUND(K958*$G$5, 2)</f>
        <v/>
      </c>
      <c r="M958" s="98">
        <f>INT($G$6/H958)</f>
        <v/>
      </c>
      <c r="N958" s="98">
        <f>IF(M958=0, 0, IF(OR($K$6="Square Grid", M958=1), INT($G$7/H958), IF($G$7&lt;H958, 0, 1+INT(($G$7-H958)/(0.8660254*H958)))))</f>
        <v/>
      </c>
      <c r="O958" s="84">
        <f>IF(OR(M958=0,N958=0), 0, IF(OR($K$6="Square Grid", M958=1), M958*N958*$K$5, (INT((N958+1)/2)*M958 + INT(N958/2)*IF(($G$6-M958*H958)&gt;=0.5*H958, M958, M958-1))*$K$5))</f>
        <v/>
      </c>
      <c r="P958" s="84">
        <f>IF(L958&lt;=0, 0, INT($G$8/L958))</f>
        <v/>
      </c>
      <c r="Q958" s="95">
        <f>MIN(O958, P958)</f>
        <v/>
      </c>
      <c r="R958" s="96">
        <f>ROUND((Q958*L958)/1000, 2)</f>
        <v/>
      </c>
      <c r="S958" s="85">
        <f>IF($C$8&gt;0, R958/$C$8, 0)</f>
        <v/>
      </c>
      <c r="T958" s="85">
        <f>IF(O958&gt;0, Q958/O958, 0)</f>
        <v/>
      </c>
      <c r="U958" s="18">
        <f>IF(Q958=0, "Exceeds Limit", IF(P958&lt;=O958, "Weight Limited", "Volume Limited"))</f>
        <v/>
      </c>
      <c r="V958" s="100">
        <f>B958&amp;"|"&amp;D958&amp;"|"&amp;F958</f>
        <v/>
      </c>
    </row>
    <row r="959" ht="19" customHeight="1">
      <c r="A959" s="93" t="n">
        <v>949</v>
      </c>
      <c r="B959" s="101" t="inlineStr">
        <is>
          <t>Stainless Steel 316</t>
        </is>
      </c>
      <c r="C959" s="13" t="inlineStr">
        <is>
          <t>ASME B36.19M / B36.10M</t>
        </is>
      </c>
      <c r="D959" s="12" t="inlineStr">
        <is>
          <t>5''</t>
        </is>
      </c>
      <c r="E959" s="93" t="n">
        <v>125</v>
      </c>
      <c r="F959" s="12" t="inlineStr">
        <is>
          <t>40</t>
        </is>
      </c>
      <c r="G959" s="14" t="n">
        <v>5.563</v>
      </c>
      <c r="H959" s="78" t="n">
        <v>141.3</v>
      </c>
      <c r="I959" s="14" t="n">
        <v>0.258</v>
      </c>
      <c r="J959" s="78" t="n">
        <v>6.55</v>
      </c>
      <c r="K959" s="14">
        <f>ROUND((H959-J959)*J959*IF(B959="Carbon Steel",$K$7,IF(B959="Stainless Steel 304",$K$8,$L$8)), 3)</f>
        <v/>
      </c>
      <c r="L959" s="78">
        <f>ROUND(K959*$G$5, 2)</f>
        <v/>
      </c>
      <c r="M959" s="93">
        <f>INT($G$6/H959)</f>
        <v/>
      </c>
      <c r="N959" s="93">
        <f>IF(M959=0, 0, IF(OR($K$6="Square Grid", M959=1), INT($G$7/H959), IF($G$7&lt;H959, 0, 1+INT(($G$7-H959)/(0.8660254*H959)))))</f>
        <v/>
      </c>
      <c r="O959" s="59">
        <f>IF(OR(M959=0,N959=0), 0, IF(OR($K$6="Square Grid", M959=1), M959*N959*$K$5, (INT((N959+1)/2)*M959 + INT(N959/2)*IF(($G$6-M959*H959)&gt;=0.5*H959, M959, M959-1))*$K$5))</f>
        <v/>
      </c>
      <c r="P959" s="59">
        <f>IF(L959&lt;=0, 0, INT($G$8/L959))</f>
        <v/>
      </c>
      <c r="Q959" s="95">
        <f>MIN(O959, P959)</f>
        <v/>
      </c>
      <c r="R959" s="96">
        <f>ROUND((Q959*L959)/1000, 2)</f>
        <v/>
      </c>
      <c r="S959" s="79">
        <f>IF($C$8&gt;0, R959/$C$8, 0)</f>
        <v/>
      </c>
      <c r="T959" s="79">
        <f>IF(O959&gt;0, Q959/O959, 0)</f>
        <v/>
      </c>
      <c r="U959" s="12">
        <f>IF(Q959=0, "Exceeds Limit", IF(P959&lt;=O959, "Weight Limited", "Volume Limited"))</f>
        <v/>
      </c>
      <c r="V959" s="97">
        <f>B959&amp;"|"&amp;D959&amp;"|"&amp;F959</f>
        <v/>
      </c>
    </row>
    <row r="960" ht="19" customHeight="1">
      <c r="A960" s="98" t="n">
        <v>950</v>
      </c>
      <c r="B960" s="102" t="inlineStr">
        <is>
          <t>Stainless Steel 316</t>
        </is>
      </c>
      <c r="C960" s="19" t="inlineStr">
        <is>
          <t>ASME B36.19M / B36.10M</t>
        </is>
      </c>
      <c r="D960" s="18" t="inlineStr">
        <is>
          <t>5''</t>
        </is>
      </c>
      <c r="E960" s="98" t="n">
        <v>125</v>
      </c>
      <c r="F960" s="18" t="inlineStr">
        <is>
          <t>80S</t>
        </is>
      </c>
      <c r="G960" s="20" t="n">
        <v>5.563</v>
      </c>
      <c r="H960" s="82" t="n">
        <v>141.3</v>
      </c>
      <c r="I960" s="20" t="n">
        <v>0.375</v>
      </c>
      <c r="J960" s="82" t="n">
        <v>9.52</v>
      </c>
      <c r="K960" s="20">
        <f>ROUND((H960-J960)*J960*IF(B960="Carbon Steel",$K$7,IF(B960="Stainless Steel 304",$K$8,$L$8)), 3)</f>
        <v/>
      </c>
      <c r="L960" s="82">
        <f>ROUND(K960*$G$5, 2)</f>
        <v/>
      </c>
      <c r="M960" s="98">
        <f>INT($G$6/H960)</f>
        <v/>
      </c>
      <c r="N960" s="98">
        <f>IF(M960=0, 0, IF(OR($K$6="Square Grid", M960=1), INT($G$7/H960), IF($G$7&lt;H960, 0, 1+INT(($G$7-H960)/(0.8660254*H960)))))</f>
        <v/>
      </c>
      <c r="O960" s="84">
        <f>IF(OR(M960=0,N960=0), 0, IF(OR($K$6="Square Grid", M960=1), M960*N960*$K$5, (INT((N960+1)/2)*M960 + INT(N960/2)*IF(($G$6-M960*H960)&gt;=0.5*H960, M960, M960-1))*$K$5))</f>
        <v/>
      </c>
      <c r="P960" s="84">
        <f>IF(L960&lt;=0, 0, INT($G$8/L960))</f>
        <v/>
      </c>
      <c r="Q960" s="95">
        <f>MIN(O960, P960)</f>
        <v/>
      </c>
      <c r="R960" s="96">
        <f>ROUND((Q960*L960)/1000, 2)</f>
        <v/>
      </c>
      <c r="S960" s="85">
        <f>IF($C$8&gt;0, R960/$C$8, 0)</f>
        <v/>
      </c>
      <c r="T960" s="85">
        <f>IF(O960&gt;0, Q960/O960, 0)</f>
        <v/>
      </c>
      <c r="U960" s="18">
        <f>IF(Q960=0, "Exceeds Limit", IF(P960&lt;=O960, "Weight Limited", "Volume Limited"))</f>
        <v/>
      </c>
      <c r="V960" s="100">
        <f>B960&amp;"|"&amp;D960&amp;"|"&amp;F960</f>
        <v/>
      </c>
    </row>
    <row r="961" ht="19" customHeight="1">
      <c r="A961" s="93" t="n">
        <v>951</v>
      </c>
      <c r="B961" s="101" t="inlineStr">
        <is>
          <t>Stainless Steel 316</t>
        </is>
      </c>
      <c r="C961" s="13" t="inlineStr">
        <is>
          <t>ASME B36.19M / B36.10M</t>
        </is>
      </c>
      <c r="D961" s="12" t="inlineStr">
        <is>
          <t>5''</t>
        </is>
      </c>
      <c r="E961" s="93" t="n">
        <v>125</v>
      </c>
      <c r="F961" s="12" t="inlineStr">
        <is>
          <t>XS</t>
        </is>
      </c>
      <c r="G961" s="14" t="n">
        <v>5.563</v>
      </c>
      <c r="H961" s="78" t="n">
        <v>141.3</v>
      </c>
      <c r="I961" s="14" t="n">
        <v>0.375</v>
      </c>
      <c r="J961" s="78" t="n">
        <v>9.52</v>
      </c>
      <c r="K961" s="14">
        <f>ROUND((H961-J961)*J961*IF(B961="Carbon Steel",$K$7,IF(B961="Stainless Steel 304",$K$8,$L$8)), 3)</f>
        <v/>
      </c>
      <c r="L961" s="78">
        <f>ROUND(K961*$G$5, 2)</f>
        <v/>
      </c>
      <c r="M961" s="93">
        <f>INT($G$6/H961)</f>
        <v/>
      </c>
      <c r="N961" s="93">
        <f>IF(M961=0, 0, IF(OR($K$6="Square Grid", M961=1), INT($G$7/H961), IF($G$7&lt;H961, 0, 1+INT(($G$7-H961)/(0.8660254*H961)))))</f>
        <v/>
      </c>
      <c r="O961" s="59">
        <f>IF(OR(M961=0,N961=0), 0, IF(OR($K$6="Square Grid", M961=1), M961*N961*$K$5, (INT((N961+1)/2)*M961 + INT(N961/2)*IF(($G$6-M961*H961)&gt;=0.5*H961, M961, M961-1))*$K$5))</f>
        <v/>
      </c>
      <c r="P961" s="59">
        <f>IF(L961&lt;=0, 0, INT($G$8/L961))</f>
        <v/>
      </c>
      <c r="Q961" s="95">
        <f>MIN(O961, P961)</f>
        <v/>
      </c>
      <c r="R961" s="96">
        <f>ROUND((Q961*L961)/1000, 2)</f>
        <v/>
      </c>
      <c r="S961" s="79">
        <f>IF($C$8&gt;0, R961/$C$8, 0)</f>
        <v/>
      </c>
      <c r="T961" s="79">
        <f>IF(O961&gt;0, Q961/O961, 0)</f>
        <v/>
      </c>
      <c r="U961" s="12">
        <f>IF(Q961=0, "Exceeds Limit", IF(P961&lt;=O961, "Weight Limited", "Volume Limited"))</f>
        <v/>
      </c>
      <c r="V961" s="97">
        <f>B961&amp;"|"&amp;D961&amp;"|"&amp;F961</f>
        <v/>
      </c>
    </row>
    <row r="962" ht="19" customHeight="1">
      <c r="A962" s="98" t="n">
        <v>952</v>
      </c>
      <c r="B962" s="102" t="inlineStr">
        <is>
          <t>Stainless Steel 316</t>
        </is>
      </c>
      <c r="C962" s="19" t="inlineStr">
        <is>
          <t>ASME B36.19M / B36.10M</t>
        </is>
      </c>
      <c r="D962" s="18" t="inlineStr">
        <is>
          <t>5''</t>
        </is>
      </c>
      <c r="E962" s="98" t="n">
        <v>125</v>
      </c>
      <c r="F962" s="18" t="inlineStr">
        <is>
          <t>80</t>
        </is>
      </c>
      <c r="G962" s="20" t="n">
        <v>5.563</v>
      </c>
      <c r="H962" s="82" t="n">
        <v>141.3</v>
      </c>
      <c r="I962" s="20" t="n">
        <v>0.375</v>
      </c>
      <c r="J962" s="82" t="n">
        <v>9.52</v>
      </c>
      <c r="K962" s="20">
        <f>ROUND((H962-J962)*J962*IF(B962="Carbon Steel",$K$7,IF(B962="Stainless Steel 304",$K$8,$L$8)), 3)</f>
        <v/>
      </c>
      <c r="L962" s="82">
        <f>ROUND(K962*$G$5, 2)</f>
        <v/>
      </c>
      <c r="M962" s="98">
        <f>INT($G$6/H962)</f>
        <v/>
      </c>
      <c r="N962" s="98">
        <f>IF(M962=0, 0, IF(OR($K$6="Square Grid", M962=1), INT($G$7/H962), IF($G$7&lt;H962, 0, 1+INT(($G$7-H962)/(0.8660254*H962)))))</f>
        <v/>
      </c>
      <c r="O962" s="84">
        <f>IF(OR(M962=0,N962=0), 0, IF(OR($K$6="Square Grid", M962=1), M962*N962*$K$5, (INT((N962+1)/2)*M962 + INT(N962/2)*IF(($G$6-M962*H962)&gt;=0.5*H962, M962, M962-1))*$K$5))</f>
        <v/>
      </c>
      <c r="P962" s="84">
        <f>IF(L962&lt;=0, 0, INT($G$8/L962))</f>
        <v/>
      </c>
      <c r="Q962" s="95">
        <f>MIN(O962, P962)</f>
        <v/>
      </c>
      <c r="R962" s="96">
        <f>ROUND((Q962*L962)/1000, 2)</f>
        <v/>
      </c>
      <c r="S962" s="85">
        <f>IF($C$8&gt;0, R962/$C$8, 0)</f>
        <v/>
      </c>
      <c r="T962" s="85">
        <f>IF(O962&gt;0, Q962/O962, 0)</f>
        <v/>
      </c>
      <c r="U962" s="18">
        <f>IF(Q962=0, "Exceeds Limit", IF(P962&lt;=O962, "Weight Limited", "Volume Limited"))</f>
        <v/>
      </c>
      <c r="V962" s="100">
        <f>B962&amp;"|"&amp;D962&amp;"|"&amp;F962</f>
        <v/>
      </c>
    </row>
    <row r="963" ht="19" customHeight="1">
      <c r="A963" s="93" t="n">
        <v>953</v>
      </c>
      <c r="B963" s="101" t="inlineStr">
        <is>
          <t>Stainless Steel 316</t>
        </is>
      </c>
      <c r="C963" s="13" t="inlineStr">
        <is>
          <t>ASME B36.19M / B36.10M</t>
        </is>
      </c>
      <c r="D963" s="12" t="inlineStr">
        <is>
          <t>5''</t>
        </is>
      </c>
      <c r="E963" s="93" t="n">
        <v>125</v>
      </c>
      <c r="F963" s="12" t="inlineStr">
        <is>
          <t>120</t>
        </is>
      </c>
      <c r="G963" s="14" t="n">
        <v>5.563</v>
      </c>
      <c r="H963" s="78" t="n">
        <v>141.3</v>
      </c>
      <c r="I963" s="14" t="n">
        <v>0.5</v>
      </c>
      <c r="J963" s="78" t="n">
        <v>12.7</v>
      </c>
      <c r="K963" s="14">
        <f>ROUND((H963-J963)*J963*IF(B963="Carbon Steel",$K$7,IF(B963="Stainless Steel 304",$K$8,$L$8)), 3)</f>
        <v/>
      </c>
      <c r="L963" s="78">
        <f>ROUND(K963*$G$5, 2)</f>
        <v/>
      </c>
      <c r="M963" s="93">
        <f>INT($G$6/H963)</f>
        <v/>
      </c>
      <c r="N963" s="93">
        <f>IF(M963=0, 0, IF(OR($K$6="Square Grid", M963=1), INT($G$7/H963), IF($G$7&lt;H963, 0, 1+INT(($G$7-H963)/(0.8660254*H963)))))</f>
        <v/>
      </c>
      <c r="O963" s="59">
        <f>IF(OR(M963=0,N963=0), 0, IF(OR($K$6="Square Grid", M963=1), M963*N963*$K$5, (INT((N963+1)/2)*M963 + INT(N963/2)*IF(($G$6-M963*H963)&gt;=0.5*H963, M963, M963-1))*$K$5))</f>
        <v/>
      </c>
      <c r="P963" s="59">
        <f>IF(L963&lt;=0, 0, INT($G$8/L963))</f>
        <v/>
      </c>
      <c r="Q963" s="95">
        <f>MIN(O963, P963)</f>
        <v/>
      </c>
      <c r="R963" s="96">
        <f>ROUND((Q963*L963)/1000, 2)</f>
        <v/>
      </c>
      <c r="S963" s="79">
        <f>IF($C$8&gt;0, R963/$C$8, 0)</f>
        <v/>
      </c>
      <c r="T963" s="79">
        <f>IF(O963&gt;0, Q963/O963, 0)</f>
        <v/>
      </c>
      <c r="U963" s="12">
        <f>IF(Q963=0, "Exceeds Limit", IF(P963&lt;=O963, "Weight Limited", "Volume Limited"))</f>
        <v/>
      </c>
      <c r="V963" s="97">
        <f>B963&amp;"|"&amp;D963&amp;"|"&amp;F963</f>
        <v/>
      </c>
    </row>
    <row r="964" ht="19" customHeight="1">
      <c r="A964" s="98" t="n">
        <v>954</v>
      </c>
      <c r="B964" s="102" t="inlineStr">
        <is>
          <t>Stainless Steel 316</t>
        </is>
      </c>
      <c r="C964" s="19" t="inlineStr">
        <is>
          <t>ASME B36.19M / B36.10M</t>
        </is>
      </c>
      <c r="D964" s="18" t="inlineStr">
        <is>
          <t>5''</t>
        </is>
      </c>
      <c r="E964" s="98" t="n">
        <v>125</v>
      </c>
      <c r="F964" s="18" t="inlineStr">
        <is>
          <t>160</t>
        </is>
      </c>
      <c r="G964" s="20" t="n">
        <v>5.563</v>
      </c>
      <c r="H964" s="82" t="n">
        <v>141.3</v>
      </c>
      <c r="I964" s="20" t="n">
        <v>0.625</v>
      </c>
      <c r="J964" s="82" t="n">
        <v>15.88</v>
      </c>
      <c r="K964" s="20">
        <f>ROUND((H964-J964)*J964*IF(B964="Carbon Steel",$K$7,IF(B964="Stainless Steel 304",$K$8,$L$8)), 3)</f>
        <v/>
      </c>
      <c r="L964" s="82">
        <f>ROUND(K964*$G$5, 2)</f>
        <v/>
      </c>
      <c r="M964" s="98">
        <f>INT($G$6/H964)</f>
        <v/>
      </c>
      <c r="N964" s="98">
        <f>IF(M964=0, 0, IF(OR($K$6="Square Grid", M964=1), INT($G$7/H964), IF($G$7&lt;H964, 0, 1+INT(($G$7-H964)/(0.8660254*H964)))))</f>
        <v/>
      </c>
      <c r="O964" s="84">
        <f>IF(OR(M964=0,N964=0), 0, IF(OR($K$6="Square Grid", M964=1), M964*N964*$K$5, (INT((N964+1)/2)*M964 + INT(N964/2)*IF(($G$6-M964*H964)&gt;=0.5*H964, M964, M964-1))*$K$5))</f>
        <v/>
      </c>
      <c r="P964" s="84">
        <f>IF(L964&lt;=0, 0, INT($G$8/L964))</f>
        <v/>
      </c>
      <c r="Q964" s="95">
        <f>MIN(O964, P964)</f>
        <v/>
      </c>
      <c r="R964" s="96">
        <f>ROUND((Q964*L964)/1000, 2)</f>
        <v/>
      </c>
      <c r="S964" s="85">
        <f>IF($C$8&gt;0, R964/$C$8, 0)</f>
        <v/>
      </c>
      <c r="T964" s="85">
        <f>IF(O964&gt;0, Q964/O964, 0)</f>
        <v/>
      </c>
      <c r="U964" s="18">
        <f>IF(Q964=0, "Exceeds Limit", IF(P964&lt;=O964, "Weight Limited", "Volume Limited"))</f>
        <v/>
      </c>
      <c r="V964" s="100">
        <f>B964&amp;"|"&amp;D964&amp;"|"&amp;F964</f>
        <v/>
      </c>
    </row>
    <row r="965" ht="19" customHeight="1">
      <c r="A965" s="93" t="n">
        <v>955</v>
      </c>
      <c r="B965" s="101" t="inlineStr">
        <is>
          <t>Stainless Steel 316</t>
        </is>
      </c>
      <c r="C965" s="13" t="inlineStr">
        <is>
          <t>ASME B36.19M / B36.10M</t>
        </is>
      </c>
      <c r="D965" s="12" t="inlineStr">
        <is>
          <t>5''</t>
        </is>
      </c>
      <c r="E965" s="93" t="n">
        <v>125</v>
      </c>
      <c r="F965" s="12" t="inlineStr">
        <is>
          <t>XXS</t>
        </is>
      </c>
      <c r="G965" s="14" t="n">
        <v>5.563</v>
      </c>
      <c r="H965" s="78" t="n">
        <v>141.3</v>
      </c>
      <c r="I965" s="14" t="n">
        <v>0.75</v>
      </c>
      <c r="J965" s="78" t="n">
        <v>19.05</v>
      </c>
      <c r="K965" s="14">
        <f>ROUND((H965-J965)*J965*IF(B965="Carbon Steel",$K$7,IF(B965="Stainless Steel 304",$K$8,$L$8)), 3)</f>
        <v/>
      </c>
      <c r="L965" s="78">
        <f>ROUND(K965*$G$5, 2)</f>
        <v/>
      </c>
      <c r="M965" s="93">
        <f>INT($G$6/H965)</f>
        <v/>
      </c>
      <c r="N965" s="93">
        <f>IF(M965=0, 0, IF(OR($K$6="Square Grid", M965=1), INT($G$7/H965), IF($G$7&lt;H965, 0, 1+INT(($G$7-H965)/(0.8660254*H965)))))</f>
        <v/>
      </c>
      <c r="O965" s="59">
        <f>IF(OR(M965=0,N965=0), 0, IF(OR($K$6="Square Grid", M965=1), M965*N965*$K$5, (INT((N965+1)/2)*M965 + INT(N965/2)*IF(($G$6-M965*H965)&gt;=0.5*H965, M965, M965-1))*$K$5))</f>
        <v/>
      </c>
      <c r="P965" s="59">
        <f>IF(L965&lt;=0, 0, INT($G$8/L965))</f>
        <v/>
      </c>
      <c r="Q965" s="95">
        <f>MIN(O965, P965)</f>
        <v/>
      </c>
      <c r="R965" s="96">
        <f>ROUND((Q965*L965)/1000, 2)</f>
        <v/>
      </c>
      <c r="S965" s="79">
        <f>IF($C$8&gt;0, R965/$C$8, 0)</f>
        <v/>
      </c>
      <c r="T965" s="79">
        <f>IF(O965&gt;0, Q965/O965, 0)</f>
        <v/>
      </c>
      <c r="U965" s="12">
        <f>IF(Q965=0, "Exceeds Limit", IF(P965&lt;=O965, "Weight Limited", "Volume Limited"))</f>
        <v/>
      </c>
      <c r="V965" s="97">
        <f>B965&amp;"|"&amp;D965&amp;"|"&amp;F965</f>
        <v/>
      </c>
    </row>
    <row r="966" ht="19" customHeight="1">
      <c r="A966" s="98" t="n">
        <v>956</v>
      </c>
      <c r="B966" s="102" t="inlineStr">
        <is>
          <t>Stainless Steel 316</t>
        </is>
      </c>
      <c r="C966" s="19" t="inlineStr">
        <is>
          <t>ASME B36.19M / B36.10M</t>
        </is>
      </c>
      <c r="D966" s="18" t="inlineStr">
        <is>
          <t>6''</t>
        </is>
      </c>
      <c r="E966" s="98" t="n">
        <v>150</v>
      </c>
      <c r="F966" s="18" t="inlineStr">
        <is>
          <t>5S</t>
        </is>
      </c>
      <c r="G966" s="20" t="n">
        <v>6.625</v>
      </c>
      <c r="H966" s="82" t="n">
        <v>168.27</v>
      </c>
      <c r="I966" s="20" t="n">
        <v>0.109</v>
      </c>
      <c r="J966" s="82" t="n">
        <v>2.77</v>
      </c>
      <c r="K966" s="20">
        <f>ROUND((H966-J966)*J966*IF(B966="Carbon Steel",$K$7,IF(B966="Stainless Steel 304",$K$8,$L$8)), 3)</f>
        <v/>
      </c>
      <c r="L966" s="82">
        <f>ROUND(K966*$G$5, 2)</f>
        <v/>
      </c>
      <c r="M966" s="98">
        <f>INT($G$6/H966)</f>
        <v/>
      </c>
      <c r="N966" s="98">
        <f>IF(M966=0, 0, IF(OR($K$6="Square Grid", M966=1), INT($G$7/H966), IF($G$7&lt;H966, 0, 1+INT(($G$7-H966)/(0.8660254*H966)))))</f>
        <v/>
      </c>
      <c r="O966" s="84">
        <f>IF(OR(M966=0,N966=0), 0, IF(OR($K$6="Square Grid", M966=1), M966*N966*$K$5, (INT((N966+1)/2)*M966 + INT(N966/2)*IF(($G$6-M966*H966)&gt;=0.5*H966, M966, M966-1))*$K$5))</f>
        <v/>
      </c>
      <c r="P966" s="84">
        <f>IF(L966&lt;=0, 0, INT($G$8/L966))</f>
        <v/>
      </c>
      <c r="Q966" s="95">
        <f>MIN(O966, P966)</f>
        <v/>
      </c>
      <c r="R966" s="96">
        <f>ROUND((Q966*L966)/1000, 2)</f>
        <v/>
      </c>
      <c r="S966" s="85">
        <f>IF($C$8&gt;0, R966/$C$8, 0)</f>
        <v/>
      </c>
      <c r="T966" s="85">
        <f>IF(O966&gt;0, Q966/O966, 0)</f>
        <v/>
      </c>
      <c r="U966" s="18">
        <f>IF(Q966=0, "Exceeds Limit", IF(P966&lt;=O966, "Weight Limited", "Volume Limited"))</f>
        <v/>
      </c>
      <c r="V966" s="100">
        <f>B966&amp;"|"&amp;D966&amp;"|"&amp;F966</f>
        <v/>
      </c>
    </row>
    <row r="967" ht="19" customHeight="1">
      <c r="A967" s="93" t="n">
        <v>957</v>
      </c>
      <c r="B967" s="101" t="inlineStr">
        <is>
          <t>Stainless Steel 316</t>
        </is>
      </c>
      <c r="C967" s="13" t="inlineStr">
        <is>
          <t>ASME B36.19M / B36.10M</t>
        </is>
      </c>
      <c r="D967" s="12" t="inlineStr">
        <is>
          <t>6''</t>
        </is>
      </c>
      <c r="E967" s="93" t="n">
        <v>150</v>
      </c>
      <c r="F967" s="12" t="inlineStr">
        <is>
          <t>5</t>
        </is>
      </c>
      <c r="G967" s="14" t="n">
        <v>6.625</v>
      </c>
      <c r="H967" s="78" t="n">
        <v>168.27</v>
      </c>
      <c r="I967" s="14" t="n">
        <v>0.109</v>
      </c>
      <c r="J967" s="78" t="n">
        <v>2.77</v>
      </c>
      <c r="K967" s="14">
        <f>ROUND((H967-J967)*J967*IF(B967="Carbon Steel",$K$7,IF(B967="Stainless Steel 304",$K$8,$L$8)), 3)</f>
        <v/>
      </c>
      <c r="L967" s="78">
        <f>ROUND(K967*$G$5, 2)</f>
        <v/>
      </c>
      <c r="M967" s="93">
        <f>INT($G$6/H967)</f>
        <v/>
      </c>
      <c r="N967" s="93">
        <f>IF(M967=0, 0, IF(OR($K$6="Square Grid", M967=1), INT($G$7/H967), IF($G$7&lt;H967, 0, 1+INT(($G$7-H967)/(0.8660254*H967)))))</f>
        <v/>
      </c>
      <c r="O967" s="59">
        <f>IF(OR(M967=0,N967=0), 0, IF(OR($K$6="Square Grid", M967=1), M967*N967*$K$5, (INT((N967+1)/2)*M967 + INT(N967/2)*IF(($G$6-M967*H967)&gt;=0.5*H967, M967, M967-1))*$K$5))</f>
        <v/>
      </c>
      <c r="P967" s="59">
        <f>IF(L967&lt;=0, 0, INT($G$8/L967))</f>
        <v/>
      </c>
      <c r="Q967" s="95">
        <f>MIN(O967, P967)</f>
        <v/>
      </c>
      <c r="R967" s="96">
        <f>ROUND((Q967*L967)/1000, 2)</f>
        <v/>
      </c>
      <c r="S967" s="79">
        <f>IF($C$8&gt;0, R967/$C$8, 0)</f>
        <v/>
      </c>
      <c r="T967" s="79">
        <f>IF(O967&gt;0, Q967/O967, 0)</f>
        <v/>
      </c>
      <c r="U967" s="12">
        <f>IF(Q967=0, "Exceeds Limit", IF(P967&lt;=O967, "Weight Limited", "Volume Limited"))</f>
        <v/>
      </c>
      <c r="V967" s="97">
        <f>B967&amp;"|"&amp;D967&amp;"|"&amp;F967</f>
        <v/>
      </c>
    </row>
    <row r="968" ht="19" customHeight="1">
      <c r="A968" s="98" t="n">
        <v>958</v>
      </c>
      <c r="B968" s="102" t="inlineStr">
        <is>
          <t>Stainless Steel 316</t>
        </is>
      </c>
      <c r="C968" s="19" t="inlineStr">
        <is>
          <t>ASME B36.19M / B36.10M</t>
        </is>
      </c>
      <c r="D968" s="18" t="inlineStr">
        <is>
          <t>6''</t>
        </is>
      </c>
      <c r="E968" s="98" t="n">
        <v>150</v>
      </c>
      <c r="F968" s="18" t="inlineStr">
        <is>
          <t>10S</t>
        </is>
      </c>
      <c r="G968" s="20" t="n">
        <v>6.625</v>
      </c>
      <c r="H968" s="82" t="n">
        <v>168.27</v>
      </c>
      <c r="I968" s="20" t="n">
        <v>0.134</v>
      </c>
      <c r="J968" s="82" t="n">
        <v>3.4</v>
      </c>
      <c r="K968" s="20">
        <f>ROUND((H968-J968)*J968*IF(B968="Carbon Steel",$K$7,IF(B968="Stainless Steel 304",$K$8,$L$8)), 3)</f>
        <v/>
      </c>
      <c r="L968" s="82">
        <f>ROUND(K968*$G$5, 2)</f>
        <v/>
      </c>
      <c r="M968" s="98">
        <f>INT($G$6/H968)</f>
        <v/>
      </c>
      <c r="N968" s="98">
        <f>IF(M968=0, 0, IF(OR($K$6="Square Grid", M968=1), INT($G$7/H968), IF($G$7&lt;H968, 0, 1+INT(($G$7-H968)/(0.8660254*H968)))))</f>
        <v/>
      </c>
      <c r="O968" s="84">
        <f>IF(OR(M968=0,N968=0), 0, IF(OR($K$6="Square Grid", M968=1), M968*N968*$K$5, (INT((N968+1)/2)*M968 + INT(N968/2)*IF(($G$6-M968*H968)&gt;=0.5*H968, M968, M968-1))*$K$5))</f>
        <v/>
      </c>
      <c r="P968" s="84">
        <f>IF(L968&lt;=0, 0, INT($G$8/L968))</f>
        <v/>
      </c>
      <c r="Q968" s="95">
        <f>MIN(O968, P968)</f>
        <v/>
      </c>
      <c r="R968" s="96">
        <f>ROUND((Q968*L968)/1000, 2)</f>
        <v/>
      </c>
      <c r="S968" s="85">
        <f>IF($C$8&gt;0, R968/$C$8, 0)</f>
        <v/>
      </c>
      <c r="T968" s="85">
        <f>IF(O968&gt;0, Q968/O968, 0)</f>
        <v/>
      </c>
      <c r="U968" s="18">
        <f>IF(Q968=0, "Exceeds Limit", IF(P968&lt;=O968, "Weight Limited", "Volume Limited"))</f>
        <v/>
      </c>
      <c r="V968" s="100">
        <f>B968&amp;"|"&amp;D968&amp;"|"&amp;F968</f>
        <v/>
      </c>
    </row>
    <row r="969" ht="19" customHeight="1">
      <c r="A969" s="93" t="n">
        <v>959</v>
      </c>
      <c r="B969" s="101" t="inlineStr">
        <is>
          <t>Stainless Steel 316</t>
        </is>
      </c>
      <c r="C969" s="13" t="inlineStr">
        <is>
          <t>ASME B36.19M / B36.10M</t>
        </is>
      </c>
      <c r="D969" s="12" t="inlineStr">
        <is>
          <t>6''</t>
        </is>
      </c>
      <c r="E969" s="93" t="n">
        <v>150</v>
      </c>
      <c r="F969" s="12" t="inlineStr">
        <is>
          <t>10</t>
        </is>
      </c>
      <c r="G969" s="14" t="n">
        <v>6.625</v>
      </c>
      <c r="H969" s="78" t="n">
        <v>168.27</v>
      </c>
      <c r="I969" s="14" t="n">
        <v>0.134</v>
      </c>
      <c r="J969" s="78" t="n">
        <v>3.4</v>
      </c>
      <c r="K969" s="14">
        <f>ROUND((H969-J969)*J969*IF(B969="Carbon Steel",$K$7,IF(B969="Stainless Steel 304",$K$8,$L$8)), 3)</f>
        <v/>
      </c>
      <c r="L969" s="78">
        <f>ROUND(K969*$G$5, 2)</f>
        <v/>
      </c>
      <c r="M969" s="93">
        <f>INT($G$6/H969)</f>
        <v/>
      </c>
      <c r="N969" s="93">
        <f>IF(M969=0, 0, IF(OR($K$6="Square Grid", M969=1), INT($G$7/H969), IF($G$7&lt;H969, 0, 1+INT(($G$7-H969)/(0.8660254*H969)))))</f>
        <v/>
      </c>
      <c r="O969" s="59">
        <f>IF(OR(M969=0,N969=0), 0, IF(OR($K$6="Square Grid", M969=1), M969*N969*$K$5, (INT((N969+1)/2)*M969 + INT(N969/2)*IF(($G$6-M969*H969)&gt;=0.5*H969, M969, M969-1))*$K$5))</f>
        <v/>
      </c>
      <c r="P969" s="59">
        <f>IF(L969&lt;=0, 0, INT($G$8/L969))</f>
        <v/>
      </c>
      <c r="Q969" s="95">
        <f>MIN(O969, P969)</f>
        <v/>
      </c>
      <c r="R969" s="96">
        <f>ROUND((Q969*L969)/1000, 2)</f>
        <v/>
      </c>
      <c r="S969" s="79">
        <f>IF($C$8&gt;0, R969/$C$8, 0)</f>
        <v/>
      </c>
      <c r="T969" s="79">
        <f>IF(O969&gt;0, Q969/O969, 0)</f>
        <v/>
      </c>
      <c r="U969" s="12">
        <f>IF(Q969=0, "Exceeds Limit", IF(P969&lt;=O969, "Weight Limited", "Volume Limited"))</f>
        <v/>
      </c>
      <c r="V969" s="97">
        <f>B969&amp;"|"&amp;D969&amp;"|"&amp;F969</f>
        <v/>
      </c>
    </row>
    <row r="970" ht="19" customHeight="1">
      <c r="A970" s="98" t="n">
        <v>960</v>
      </c>
      <c r="B970" s="102" t="inlineStr">
        <is>
          <t>Stainless Steel 316</t>
        </is>
      </c>
      <c r="C970" s="19" t="inlineStr">
        <is>
          <t>ASME B36.19M / B36.10M</t>
        </is>
      </c>
      <c r="D970" s="18" t="inlineStr">
        <is>
          <t>6''</t>
        </is>
      </c>
      <c r="E970" s="98" t="n">
        <v>150</v>
      </c>
      <c r="F970" s="18" t="inlineStr">
        <is>
          <t>40S</t>
        </is>
      </c>
      <c r="G970" s="20" t="n">
        <v>6.625</v>
      </c>
      <c r="H970" s="82" t="n">
        <v>168.27</v>
      </c>
      <c r="I970" s="20" t="n">
        <v>0.28</v>
      </c>
      <c r="J970" s="82" t="n">
        <v>7.11</v>
      </c>
      <c r="K970" s="20">
        <f>ROUND((H970-J970)*J970*IF(B970="Carbon Steel",$K$7,IF(B970="Stainless Steel 304",$K$8,$L$8)), 3)</f>
        <v/>
      </c>
      <c r="L970" s="82">
        <f>ROUND(K970*$G$5, 2)</f>
        <v/>
      </c>
      <c r="M970" s="98">
        <f>INT($G$6/H970)</f>
        <v/>
      </c>
      <c r="N970" s="98">
        <f>IF(M970=0, 0, IF(OR($K$6="Square Grid", M970=1), INT($G$7/H970), IF($G$7&lt;H970, 0, 1+INT(($G$7-H970)/(0.8660254*H970)))))</f>
        <v/>
      </c>
      <c r="O970" s="84">
        <f>IF(OR(M970=0,N970=0), 0, IF(OR($K$6="Square Grid", M970=1), M970*N970*$K$5, (INT((N970+1)/2)*M970 + INT(N970/2)*IF(($G$6-M970*H970)&gt;=0.5*H970, M970, M970-1))*$K$5))</f>
        <v/>
      </c>
      <c r="P970" s="84">
        <f>IF(L970&lt;=0, 0, INT($G$8/L970))</f>
        <v/>
      </c>
      <c r="Q970" s="95">
        <f>MIN(O970, P970)</f>
        <v/>
      </c>
      <c r="R970" s="96">
        <f>ROUND((Q970*L970)/1000, 2)</f>
        <v/>
      </c>
      <c r="S970" s="85">
        <f>IF($C$8&gt;0, R970/$C$8, 0)</f>
        <v/>
      </c>
      <c r="T970" s="85">
        <f>IF(O970&gt;0, Q970/O970, 0)</f>
        <v/>
      </c>
      <c r="U970" s="18">
        <f>IF(Q970=0, "Exceeds Limit", IF(P970&lt;=O970, "Weight Limited", "Volume Limited"))</f>
        <v/>
      </c>
      <c r="V970" s="100">
        <f>B970&amp;"|"&amp;D970&amp;"|"&amp;F970</f>
        <v/>
      </c>
    </row>
    <row r="971" ht="19" customHeight="1">
      <c r="A971" s="93" t="n">
        <v>961</v>
      </c>
      <c r="B971" s="101" t="inlineStr">
        <is>
          <t>Stainless Steel 316</t>
        </is>
      </c>
      <c r="C971" s="13" t="inlineStr">
        <is>
          <t>ASME B36.19M / B36.10M</t>
        </is>
      </c>
      <c r="D971" s="12" t="inlineStr">
        <is>
          <t>6''</t>
        </is>
      </c>
      <c r="E971" s="93" t="n">
        <v>150</v>
      </c>
      <c r="F971" s="12" t="inlineStr">
        <is>
          <t>STD</t>
        </is>
      </c>
      <c r="G971" s="14" t="n">
        <v>6.625</v>
      </c>
      <c r="H971" s="78" t="n">
        <v>168.27</v>
      </c>
      <c r="I971" s="14" t="n">
        <v>0.28</v>
      </c>
      <c r="J971" s="78" t="n">
        <v>7.11</v>
      </c>
      <c r="K971" s="14">
        <f>ROUND((H971-J971)*J971*IF(B971="Carbon Steel",$K$7,IF(B971="Stainless Steel 304",$K$8,$L$8)), 3)</f>
        <v/>
      </c>
      <c r="L971" s="78">
        <f>ROUND(K971*$G$5, 2)</f>
        <v/>
      </c>
      <c r="M971" s="93">
        <f>INT($G$6/H971)</f>
        <v/>
      </c>
      <c r="N971" s="93">
        <f>IF(M971=0, 0, IF(OR($K$6="Square Grid", M971=1), INT($G$7/H971), IF($G$7&lt;H971, 0, 1+INT(($G$7-H971)/(0.8660254*H971)))))</f>
        <v/>
      </c>
      <c r="O971" s="59">
        <f>IF(OR(M971=0,N971=0), 0, IF(OR($K$6="Square Grid", M971=1), M971*N971*$K$5, (INT((N971+1)/2)*M971 + INT(N971/2)*IF(($G$6-M971*H971)&gt;=0.5*H971, M971, M971-1))*$K$5))</f>
        <v/>
      </c>
      <c r="P971" s="59">
        <f>IF(L971&lt;=0, 0, INT($G$8/L971))</f>
        <v/>
      </c>
      <c r="Q971" s="95">
        <f>MIN(O971, P971)</f>
        <v/>
      </c>
      <c r="R971" s="96">
        <f>ROUND((Q971*L971)/1000, 2)</f>
        <v/>
      </c>
      <c r="S971" s="79">
        <f>IF($C$8&gt;0, R971/$C$8, 0)</f>
        <v/>
      </c>
      <c r="T971" s="79">
        <f>IF(O971&gt;0, Q971/O971, 0)</f>
        <v/>
      </c>
      <c r="U971" s="12">
        <f>IF(Q971=0, "Exceeds Limit", IF(P971&lt;=O971, "Weight Limited", "Volume Limited"))</f>
        <v/>
      </c>
      <c r="V971" s="97">
        <f>B971&amp;"|"&amp;D971&amp;"|"&amp;F971</f>
        <v/>
      </c>
    </row>
    <row r="972" ht="19" customHeight="1">
      <c r="A972" s="98" t="n">
        <v>962</v>
      </c>
      <c r="B972" s="102" t="inlineStr">
        <is>
          <t>Stainless Steel 316</t>
        </is>
      </c>
      <c r="C972" s="19" t="inlineStr">
        <is>
          <t>ASME B36.19M / B36.10M</t>
        </is>
      </c>
      <c r="D972" s="18" t="inlineStr">
        <is>
          <t>6''</t>
        </is>
      </c>
      <c r="E972" s="98" t="n">
        <v>150</v>
      </c>
      <c r="F972" s="18" t="inlineStr">
        <is>
          <t>40</t>
        </is>
      </c>
      <c r="G972" s="20" t="n">
        <v>6.625</v>
      </c>
      <c r="H972" s="82" t="n">
        <v>168.27</v>
      </c>
      <c r="I972" s="20" t="n">
        <v>0.28</v>
      </c>
      <c r="J972" s="82" t="n">
        <v>7.11</v>
      </c>
      <c r="K972" s="20">
        <f>ROUND((H972-J972)*J972*IF(B972="Carbon Steel",$K$7,IF(B972="Stainless Steel 304",$K$8,$L$8)), 3)</f>
        <v/>
      </c>
      <c r="L972" s="82">
        <f>ROUND(K972*$G$5, 2)</f>
        <v/>
      </c>
      <c r="M972" s="98">
        <f>INT($G$6/H972)</f>
        <v/>
      </c>
      <c r="N972" s="98">
        <f>IF(M972=0, 0, IF(OR($K$6="Square Grid", M972=1), INT($G$7/H972), IF($G$7&lt;H972, 0, 1+INT(($G$7-H972)/(0.8660254*H972)))))</f>
        <v/>
      </c>
      <c r="O972" s="84">
        <f>IF(OR(M972=0,N972=0), 0, IF(OR($K$6="Square Grid", M972=1), M972*N972*$K$5, (INT((N972+1)/2)*M972 + INT(N972/2)*IF(($G$6-M972*H972)&gt;=0.5*H972, M972, M972-1))*$K$5))</f>
        <v/>
      </c>
      <c r="P972" s="84">
        <f>IF(L972&lt;=0, 0, INT($G$8/L972))</f>
        <v/>
      </c>
      <c r="Q972" s="95">
        <f>MIN(O972, P972)</f>
        <v/>
      </c>
      <c r="R972" s="96">
        <f>ROUND((Q972*L972)/1000, 2)</f>
        <v/>
      </c>
      <c r="S972" s="85">
        <f>IF($C$8&gt;0, R972/$C$8, 0)</f>
        <v/>
      </c>
      <c r="T972" s="85">
        <f>IF(O972&gt;0, Q972/O972, 0)</f>
        <v/>
      </c>
      <c r="U972" s="18">
        <f>IF(Q972=0, "Exceeds Limit", IF(P972&lt;=O972, "Weight Limited", "Volume Limited"))</f>
        <v/>
      </c>
      <c r="V972" s="100">
        <f>B972&amp;"|"&amp;D972&amp;"|"&amp;F972</f>
        <v/>
      </c>
    </row>
    <row r="973" ht="19" customHeight="1">
      <c r="A973" s="93" t="n">
        <v>963</v>
      </c>
      <c r="B973" s="101" t="inlineStr">
        <is>
          <t>Stainless Steel 316</t>
        </is>
      </c>
      <c r="C973" s="13" t="inlineStr">
        <is>
          <t>ASME B36.19M / B36.10M</t>
        </is>
      </c>
      <c r="D973" s="12" t="inlineStr">
        <is>
          <t>6''</t>
        </is>
      </c>
      <c r="E973" s="93" t="n">
        <v>150</v>
      </c>
      <c r="F973" s="12" t="inlineStr">
        <is>
          <t>80S</t>
        </is>
      </c>
      <c r="G973" s="14" t="n">
        <v>6.625</v>
      </c>
      <c r="H973" s="78" t="n">
        <v>168.27</v>
      </c>
      <c r="I973" s="14" t="n">
        <v>0.432</v>
      </c>
      <c r="J973" s="78" t="n">
        <v>10.97</v>
      </c>
      <c r="K973" s="14">
        <f>ROUND((H973-J973)*J973*IF(B973="Carbon Steel",$K$7,IF(B973="Stainless Steel 304",$K$8,$L$8)), 3)</f>
        <v/>
      </c>
      <c r="L973" s="78">
        <f>ROUND(K973*$G$5, 2)</f>
        <v/>
      </c>
      <c r="M973" s="93">
        <f>INT($G$6/H973)</f>
        <v/>
      </c>
      <c r="N973" s="93">
        <f>IF(M973=0, 0, IF(OR($K$6="Square Grid", M973=1), INT($G$7/H973), IF($G$7&lt;H973, 0, 1+INT(($G$7-H973)/(0.8660254*H973)))))</f>
        <v/>
      </c>
      <c r="O973" s="59">
        <f>IF(OR(M973=0,N973=0), 0, IF(OR($K$6="Square Grid", M973=1), M973*N973*$K$5, (INT((N973+1)/2)*M973 + INT(N973/2)*IF(($G$6-M973*H973)&gt;=0.5*H973, M973, M973-1))*$K$5))</f>
        <v/>
      </c>
      <c r="P973" s="59">
        <f>IF(L973&lt;=0, 0, INT($G$8/L973))</f>
        <v/>
      </c>
      <c r="Q973" s="95">
        <f>MIN(O973, P973)</f>
        <v/>
      </c>
      <c r="R973" s="96">
        <f>ROUND((Q973*L973)/1000, 2)</f>
        <v/>
      </c>
      <c r="S973" s="79">
        <f>IF($C$8&gt;0, R973/$C$8, 0)</f>
        <v/>
      </c>
      <c r="T973" s="79">
        <f>IF(O973&gt;0, Q973/O973, 0)</f>
        <v/>
      </c>
      <c r="U973" s="12">
        <f>IF(Q973=0, "Exceeds Limit", IF(P973&lt;=O973, "Weight Limited", "Volume Limited"))</f>
        <v/>
      </c>
      <c r="V973" s="97">
        <f>B973&amp;"|"&amp;D973&amp;"|"&amp;F973</f>
        <v/>
      </c>
    </row>
    <row r="974" ht="19" customHeight="1">
      <c r="A974" s="98" t="n">
        <v>964</v>
      </c>
      <c r="B974" s="102" t="inlineStr">
        <is>
          <t>Stainless Steel 316</t>
        </is>
      </c>
      <c r="C974" s="19" t="inlineStr">
        <is>
          <t>ASME B36.19M / B36.10M</t>
        </is>
      </c>
      <c r="D974" s="18" t="inlineStr">
        <is>
          <t>6''</t>
        </is>
      </c>
      <c r="E974" s="98" t="n">
        <v>150</v>
      </c>
      <c r="F974" s="18" t="inlineStr">
        <is>
          <t>XS</t>
        </is>
      </c>
      <c r="G974" s="20" t="n">
        <v>6.625</v>
      </c>
      <c r="H974" s="82" t="n">
        <v>168.27</v>
      </c>
      <c r="I974" s="20" t="n">
        <v>0.432</v>
      </c>
      <c r="J974" s="82" t="n">
        <v>10.97</v>
      </c>
      <c r="K974" s="20">
        <f>ROUND((H974-J974)*J974*IF(B974="Carbon Steel",$K$7,IF(B974="Stainless Steel 304",$K$8,$L$8)), 3)</f>
        <v/>
      </c>
      <c r="L974" s="82">
        <f>ROUND(K974*$G$5, 2)</f>
        <v/>
      </c>
      <c r="M974" s="98">
        <f>INT($G$6/H974)</f>
        <v/>
      </c>
      <c r="N974" s="98">
        <f>IF(M974=0, 0, IF(OR($K$6="Square Grid", M974=1), INT($G$7/H974), IF($G$7&lt;H974, 0, 1+INT(($G$7-H974)/(0.8660254*H974)))))</f>
        <v/>
      </c>
      <c r="O974" s="84">
        <f>IF(OR(M974=0,N974=0), 0, IF(OR($K$6="Square Grid", M974=1), M974*N974*$K$5, (INT((N974+1)/2)*M974 + INT(N974/2)*IF(($G$6-M974*H974)&gt;=0.5*H974, M974, M974-1))*$K$5))</f>
        <v/>
      </c>
      <c r="P974" s="84">
        <f>IF(L974&lt;=0, 0, INT($G$8/L974))</f>
        <v/>
      </c>
      <c r="Q974" s="95">
        <f>MIN(O974, P974)</f>
        <v/>
      </c>
      <c r="R974" s="96">
        <f>ROUND((Q974*L974)/1000, 2)</f>
        <v/>
      </c>
      <c r="S974" s="85">
        <f>IF($C$8&gt;0, R974/$C$8, 0)</f>
        <v/>
      </c>
      <c r="T974" s="85">
        <f>IF(O974&gt;0, Q974/O974, 0)</f>
        <v/>
      </c>
      <c r="U974" s="18">
        <f>IF(Q974=0, "Exceeds Limit", IF(P974&lt;=O974, "Weight Limited", "Volume Limited"))</f>
        <v/>
      </c>
      <c r="V974" s="100">
        <f>B974&amp;"|"&amp;D974&amp;"|"&amp;F974</f>
        <v/>
      </c>
    </row>
    <row r="975" ht="19" customHeight="1">
      <c r="A975" s="93" t="n">
        <v>965</v>
      </c>
      <c r="B975" s="101" t="inlineStr">
        <is>
          <t>Stainless Steel 316</t>
        </is>
      </c>
      <c r="C975" s="13" t="inlineStr">
        <is>
          <t>ASME B36.19M / B36.10M</t>
        </is>
      </c>
      <c r="D975" s="12" t="inlineStr">
        <is>
          <t>6''</t>
        </is>
      </c>
      <c r="E975" s="93" t="n">
        <v>150</v>
      </c>
      <c r="F975" s="12" t="inlineStr">
        <is>
          <t>80</t>
        </is>
      </c>
      <c r="G975" s="14" t="n">
        <v>6.625</v>
      </c>
      <c r="H975" s="78" t="n">
        <v>168.27</v>
      </c>
      <c r="I975" s="14" t="n">
        <v>0.432</v>
      </c>
      <c r="J975" s="78" t="n">
        <v>10.97</v>
      </c>
      <c r="K975" s="14">
        <f>ROUND((H975-J975)*J975*IF(B975="Carbon Steel",$K$7,IF(B975="Stainless Steel 304",$K$8,$L$8)), 3)</f>
        <v/>
      </c>
      <c r="L975" s="78">
        <f>ROUND(K975*$G$5, 2)</f>
        <v/>
      </c>
      <c r="M975" s="93">
        <f>INT($G$6/H975)</f>
        <v/>
      </c>
      <c r="N975" s="93">
        <f>IF(M975=0, 0, IF(OR($K$6="Square Grid", M975=1), INT($G$7/H975), IF($G$7&lt;H975, 0, 1+INT(($G$7-H975)/(0.8660254*H975)))))</f>
        <v/>
      </c>
      <c r="O975" s="59">
        <f>IF(OR(M975=0,N975=0), 0, IF(OR($K$6="Square Grid", M975=1), M975*N975*$K$5, (INT((N975+1)/2)*M975 + INT(N975/2)*IF(($G$6-M975*H975)&gt;=0.5*H975, M975, M975-1))*$K$5))</f>
        <v/>
      </c>
      <c r="P975" s="59">
        <f>IF(L975&lt;=0, 0, INT($G$8/L975))</f>
        <v/>
      </c>
      <c r="Q975" s="95">
        <f>MIN(O975, P975)</f>
        <v/>
      </c>
      <c r="R975" s="96">
        <f>ROUND((Q975*L975)/1000, 2)</f>
        <v/>
      </c>
      <c r="S975" s="79">
        <f>IF($C$8&gt;0, R975/$C$8, 0)</f>
        <v/>
      </c>
      <c r="T975" s="79">
        <f>IF(O975&gt;0, Q975/O975, 0)</f>
        <v/>
      </c>
      <c r="U975" s="12">
        <f>IF(Q975=0, "Exceeds Limit", IF(P975&lt;=O975, "Weight Limited", "Volume Limited"))</f>
        <v/>
      </c>
      <c r="V975" s="97">
        <f>B975&amp;"|"&amp;D975&amp;"|"&amp;F975</f>
        <v/>
      </c>
    </row>
    <row r="976" ht="19" customHeight="1">
      <c r="A976" s="98" t="n">
        <v>966</v>
      </c>
      <c r="B976" s="102" t="inlineStr">
        <is>
          <t>Stainless Steel 316</t>
        </is>
      </c>
      <c r="C976" s="19" t="inlineStr">
        <is>
          <t>ASME B36.19M / B36.10M</t>
        </is>
      </c>
      <c r="D976" s="18" t="inlineStr">
        <is>
          <t>6''</t>
        </is>
      </c>
      <c r="E976" s="98" t="n">
        <v>150</v>
      </c>
      <c r="F976" s="18" t="inlineStr">
        <is>
          <t>120</t>
        </is>
      </c>
      <c r="G976" s="20" t="n">
        <v>6.625</v>
      </c>
      <c r="H976" s="82" t="n">
        <v>168.27</v>
      </c>
      <c r="I976" s="20" t="n">
        <v>0.5620000000000001</v>
      </c>
      <c r="J976" s="82" t="n">
        <v>14.27</v>
      </c>
      <c r="K976" s="20">
        <f>ROUND((H976-J976)*J976*IF(B976="Carbon Steel",$K$7,IF(B976="Stainless Steel 304",$K$8,$L$8)), 3)</f>
        <v/>
      </c>
      <c r="L976" s="82">
        <f>ROUND(K976*$G$5, 2)</f>
        <v/>
      </c>
      <c r="M976" s="98">
        <f>INT($G$6/H976)</f>
        <v/>
      </c>
      <c r="N976" s="98">
        <f>IF(M976=0, 0, IF(OR($K$6="Square Grid", M976=1), INT($G$7/H976), IF($G$7&lt;H976, 0, 1+INT(($G$7-H976)/(0.8660254*H976)))))</f>
        <v/>
      </c>
      <c r="O976" s="84">
        <f>IF(OR(M976=0,N976=0), 0, IF(OR($K$6="Square Grid", M976=1), M976*N976*$K$5, (INT((N976+1)/2)*M976 + INT(N976/2)*IF(($G$6-M976*H976)&gt;=0.5*H976, M976, M976-1))*$K$5))</f>
        <v/>
      </c>
      <c r="P976" s="84">
        <f>IF(L976&lt;=0, 0, INT($G$8/L976))</f>
        <v/>
      </c>
      <c r="Q976" s="95">
        <f>MIN(O976, P976)</f>
        <v/>
      </c>
      <c r="R976" s="96">
        <f>ROUND((Q976*L976)/1000, 2)</f>
        <v/>
      </c>
      <c r="S976" s="85">
        <f>IF($C$8&gt;0, R976/$C$8, 0)</f>
        <v/>
      </c>
      <c r="T976" s="85">
        <f>IF(O976&gt;0, Q976/O976, 0)</f>
        <v/>
      </c>
      <c r="U976" s="18">
        <f>IF(Q976=0, "Exceeds Limit", IF(P976&lt;=O976, "Weight Limited", "Volume Limited"))</f>
        <v/>
      </c>
      <c r="V976" s="100">
        <f>B976&amp;"|"&amp;D976&amp;"|"&amp;F976</f>
        <v/>
      </c>
    </row>
    <row r="977" ht="19" customHeight="1">
      <c r="A977" s="93" t="n">
        <v>967</v>
      </c>
      <c r="B977" s="101" t="inlineStr">
        <is>
          <t>Stainless Steel 316</t>
        </is>
      </c>
      <c r="C977" s="13" t="inlineStr">
        <is>
          <t>ASME B36.19M / B36.10M</t>
        </is>
      </c>
      <c r="D977" s="12" t="inlineStr">
        <is>
          <t>6''</t>
        </is>
      </c>
      <c r="E977" s="93" t="n">
        <v>150</v>
      </c>
      <c r="F977" s="12" t="inlineStr">
        <is>
          <t>160</t>
        </is>
      </c>
      <c r="G977" s="14" t="n">
        <v>6.625</v>
      </c>
      <c r="H977" s="78" t="n">
        <v>168.27</v>
      </c>
      <c r="I977" s="14" t="n">
        <v>0.719</v>
      </c>
      <c r="J977" s="78" t="n">
        <v>18.26</v>
      </c>
      <c r="K977" s="14">
        <f>ROUND((H977-J977)*J977*IF(B977="Carbon Steel",$K$7,IF(B977="Stainless Steel 304",$K$8,$L$8)), 3)</f>
        <v/>
      </c>
      <c r="L977" s="78">
        <f>ROUND(K977*$G$5, 2)</f>
        <v/>
      </c>
      <c r="M977" s="93">
        <f>INT($G$6/H977)</f>
        <v/>
      </c>
      <c r="N977" s="93">
        <f>IF(M977=0, 0, IF(OR($K$6="Square Grid", M977=1), INT($G$7/H977), IF($G$7&lt;H977, 0, 1+INT(($G$7-H977)/(0.8660254*H977)))))</f>
        <v/>
      </c>
      <c r="O977" s="59">
        <f>IF(OR(M977=0,N977=0), 0, IF(OR($K$6="Square Grid", M977=1), M977*N977*$K$5, (INT((N977+1)/2)*M977 + INT(N977/2)*IF(($G$6-M977*H977)&gt;=0.5*H977, M977, M977-1))*$K$5))</f>
        <v/>
      </c>
      <c r="P977" s="59">
        <f>IF(L977&lt;=0, 0, INT($G$8/L977))</f>
        <v/>
      </c>
      <c r="Q977" s="95">
        <f>MIN(O977, P977)</f>
        <v/>
      </c>
      <c r="R977" s="96">
        <f>ROUND((Q977*L977)/1000, 2)</f>
        <v/>
      </c>
      <c r="S977" s="79">
        <f>IF($C$8&gt;0, R977/$C$8, 0)</f>
        <v/>
      </c>
      <c r="T977" s="79">
        <f>IF(O977&gt;0, Q977/O977, 0)</f>
        <v/>
      </c>
      <c r="U977" s="12">
        <f>IF(Q977=0, "Exceeds Limit", IF(P977&lt;=O977, "Weight Limited", "Volume Limited"))</f>
        <v/>
      </c>
      <c r="V977" s="97">
        <f>B977&amp;"|"&amp;D977&amp;"|"&amp;F977</f>
        <v/>
      </c>
    </row>
    <row r="978" ht="19" customHeight="1">
      <c r="A978" s="98" t="n">
        <v>968</v>
      </c>
      <c r="B978" s="102" t="inlineStr">
        <is>
          <t>Stainless Steel 316</t>
        </is>
      </c>
      <c r="C978" s="19" t="inlineStr">
        <is>
          <t>ASME B36.19M / B36.10M</t>
        </is>
      </c>
      <c r="D978" s="18" t="inlineStr">
        <is>
          <t>6''</t>
        </is>
      </c>
      <c r="E978" s="98" t="n">
        <v>150</v>
      </c>
      <c r="F978" s="18" t="inlineStr">
        <is>
          <t>XXS</t>
        </is>
      </c>
      <c r="G978" s="20" t="n">
        <v>6.625</v>
      </c>
      <c r="H978" s="82" t="n">
        <v>168.27</v>
      </c>
      <c r="I978" s="20" t="n">
        <v>0.864</v>
      </c>
      <c r="J978" s="82" t="n">
        <v>21.95</v>
      </c>
      <c r="K978" s="20">
        <f>ROUND((H978-J978)*J978*IF(B978="Carbon Steel",$K$7,IF(B978="Stainless Steel 304",$K$8,$L$8)), 3)</f>
        <v/>
      </c>
      <c r="L978" s="82">
        <f>ROUND(K978*$G$5, 2)</f>
        <v/>
      </c>
      <c r="M978" s="98">
        <f>INT($G$6/H978)</f>
        <v/>
      </c>
      <c r="N978" s="98">
        <f>IF(M978=0, 0, IF(OR($K$6="Square Grid", M978=1), INT($G$7/H978), IF($G$7&lt;H978, 0, 1+INT(($G$7-H978)/(0.8660254*H978)))))</f>
        <v/>
      </c>
      <c r="O978" s="84">
        <f>IF(OR(M978=0,N978=0), 0, IF(OR($K$6="Square Grid", M978=1), M978*N978*$K$5, (INT((N978+1)/2)*M978 + INT(N978/2)*IF(($G$6-M978*H978)&gt;=0.5*H978, M978, M978-1))*$K$5))</f>
        <v/>
      </c>
      <c r="P978" s="84">
        <f>IF(L978&lt;=0, 0, INT($G$8/L978))</f>
        <v/>
      </c>
      <c r="Q978" s="95">
        <f>MIN(O978, P978)</f>
        <v/>
      </c>
      <c r="R978" s="96">
        <f>ROUND((Q978*L978)/1000, 2)</f>
        <v/>
      </c>
      <c r="S978" s="85">
        <f>IF($C$8&gt;0, R978/$C$8, 0)</f>
        <v/>
      </c>
      <c r="T978" s="85">
        <f>IF(O978&gt;0, Q978/O978, 0)</f>
        <v/>
      </c>
      <c r="U978" s="18">
        <f>IF(Q978=0, "Exceeds Limit", IF(P978&lt;=O978, "Weight Limited", "Volume Limited"))</f>
        <v/>
      </c>
      <c r="V978" s="100">
        <f>B978&amp;"|"&amp;D978&amp;"|"&amp;F978</f>
        <v/>
      </c>
    </row>
    <row r="979" ht="19" customHeight="1">
      <c r="A979" s="93" t="n">
        <v>969</v>
      </c>
      <c r="B979" s="101" t="inlineStr">
        <is>
          <t>Stainless Steel 316</t>
        </is>
      </c>
      <c r="C979" s="13" t="inlineStr">
        <is>
          <t>ASME B36.19M / B36.10M</t>
        </is>
      </c>
      <c r="D979" s="12" t="inlineStr">
        <is>
          <t>8''</t>
        </is>
      </c>
      <c r="E979" s="93" t="n">
        <v>200</v>
      </c>
      <c r="F979" s="12" t="inlineStr">
        <is>
          <t>5S</t>
        </is>
      </c>
      <c r="G979" s="14" t="n">
        <v>8.625</v>
      </c>
      <c r="H979" s="78" t="n">
        <v>219.07</v>
      </c>
      <c r="I979" s="14" t="n">
        <v>0.109</v>
      </c>
      <c r="J979" s="78" t="n">
        <v>2.77</v>
      </c>
      <c r="K979" s="14">
        <f>ROUND((H979-J979)*J979*IF(B979="Carbon Steel",$K$7,IF(B979="Stainless Steel 304",$K$8,$L$8)), 3)</f>
        <v/>
      </c>
      <c r="L979" s="78">
        <f>ROUND(K979*$G$5, 2)</f>
        <v/>
      </c>
      <c r="M979" s="93">
        <f>INT($G$6/H979)</f>
        <v/>
      </c>
      <c r="N979" s="93">
        <f>IF(M979=0, 0, IF(OR($K$6="Square Grid", M979=1), INT($G$7/H979), IF($G$7&lt;H979, 0, 1+INT(($G$7-H979)/(0.8660254*H979)))))</f>
        <v/>
      </c>
      <c r="O979" s="59">
        <f>IF(OR(M979=0,N979=0), 0, IF(OR($K$6="Square Grid", M979=1), M979*N979*$K$5, (INT((N979+1)/2)*M979 + INT(N979/2)*IF(($G$6-M979*H979)&gt;=0.5*H979, M979, M979-1))*$K$5))</f>
        <v/>
      </c>
      <c r="P979" s="59">
        <f>IF(L979&lt;=0, 0, INT($G$8/L979))</f>
        <v/>
      </c>
      <c r="Q979" s="95">
        <f>MIN(O979, P979)</f>
        <v/>
      </c>
      <c r="R979" s="96">
        <f>ROUND((Q979*L979)/1000, 2)</f>
        <v/>
      </c>
      <c r="S979" s="79">
        <f>IF($C$8&gt;0, R979/$C$8, 0)</f>
        <v/>
      </c>
      <c r="T979" s="79">
        <f>IF(O979&gt;0, Q979/O979, 0)</f>
        <v/>
      </c>
      <c r="U979" s="12">
        <f>IF(Q979=0, "Exceeds Limit", IF(P979&lt;=O979, "Weight Limited", "Volume Limited"))</f>
        <v/>
      </c>
      <c r="V979" s="97">
        <f>B979&amp;"|"&amp;D979&amp;"|"&amp;F979</f>
        <v/>
      </c>
    </row>
    <row r="980" ht="19" customHeight="1">
      <c r="A980" s="98" t="n">
        <v>970</v>
      </c>
      <c r="B980" s="102" t="inlineStr">
        <is>
          <t>Stainless Steel 316</t>
        </is>
      </c>
      <c r="C980" s="19" t="inlineStr">
        <is>
          <t>ASME B36.19M / B36.10M</t>
        </is>
      </c>
      <c r="D980" s="18" t="inlineStr">
        <is>
          <t>8''</t>
        </is>
      </c>
      <c r="E980" s="98" t="n">
        <v>200</v>
      </c>
      <c r="F980" s="18" t="inlineStr">
        <is>
          <t>5</t>
        </is>
      </c>
      <c r="G980" s="20" t="n">
        <v>8.625</v>
      </c>
      <c r="H980" s="82" t="n">
        <v>219.07</v>
      </c>
      <c r="I980" s="20" t="n">
        <v>0.109</v>
      </c>
      <c r="J980" s="82" t="n">
        <v>2.77</v>
      </c>
      <c r="K980" s="20">
        <f>ROUND((H980-J980)*J980*IF(B980="Carbon Steel",$K$7,IF(B980="Stainless Steel 304",$K$8,$L$8)), 3)</f>
        <v/>
      </c>
      <c r="L980" s="82">
        <f>ROUND(K980*$G$5, 2)</f>
        <v/>
      </c>
      <c r="M980" s="98">
        <f>INT($G$6/H980)</f>
        <v/>
      </c>
      <c r="N980" s="98">
        <f>IF(M980=0, 0, IF(OR($K$6="Square Grid", M980=1), INT($G$7/H980), IF($G$7&lt;H980, 0, 1+INT(($G$7-H980)/(0.8660254*H980)))))</f>
        <v/>
      </c>
      <c r="O980" s="84">
        <f>IF(OR(M980=0,N980=0), 0, IF(OR($K$6="Square Grid", M980=1), M980*N980*$K$5, (INT((N980+1)/2)*M980 + INT(N980/2)*IF(($G$6-M980*H980)&gt;=0.5*H980, M980, M980-1))*$K$5))</f>
        <v/>
      </c>
      <c r="P980" s="84">
        <f>IF(L980&lt;=0, 0, INT($G$8/L980))</f>
        <v/>
      </c>
      <c r="Q980" s="95">
        <f>MIN(O980, P980)</f>
        <v/>
      </c>
      <c r="R980" s="96">
        <f>ROUND((Q980*L980)/1000, 2)</f>
        <v/>
      </c>
      <c r="S980" s="85">
        <f>IF($C$8&gt;0, R980/$C$8, 0)</f>
        <v/>
      </c>
      <c r="T980" s="85">
        <f>IF(O980&gt;0, Q980/O980, 0)</f>
        <v/>
      </c>
      <c r="U980" s="18">
        <f>IF(Q980=0, "Exceeds Limit", IF(P980&lt;=O980, "Weight Limited", "Volume Limited"))</f>
        <v/>
      </c>
      <c r="V980" s="100">
        <f>B980&amp;"|"&amp;D980&amp;"|"&amp;F980</f>
        <v/>
      </c>
    </row>
    <row r="981" ht="19" customHeight="1">
      <c r="A981" s="93" t="n">
        <v>971</v>
      </c>
      <c r="B981" s="101" t="inlineStr">
        <is>
          <t>Stainless Steel 316</t>
        </is>
      </c>
      <c r="C981" s="13" t="inlineStr">
        <is>
          <t>ASME B36.19M / B36.10M</t>
        </is>
      </c>
      <c r="D981" s="12" t="inlineStr">
        <is>
          <t>8''</t>
        </is>
      </c>
      <c r="E981" s="93" t="n">
        <v>200</v>
      </c>
      <c r="F981" s="12" t="inlineStr">
        <is>
          <t>10S</t>
        </is>
      </c>
      <c r="G981" s="14" t="n">
        <v>8.625</v>
      </c>
      <c r="H981" s="78" t="n">
        <v>219.07</v>
      </c>
      <c r="I981" s="14" t="n">
        <v>0.148</v>
      </c>
      <c r="J981" s="78" t="n">
        <v>3.76</v>
      </c>
      <c r="K981" s="14">
        <f>ROUND((H981-J981)*J981*IF(B981="Carbon Steel",$K$7,IF(B981="Stainless Steel 304",$K$8,$L$8)), 3)</f>
        <v/>
      </c>
      <c r="L981" s="78">
        <f>ROUND(K981*$G$5, 2)</f>
        <v/>
      </c>
      <c r="M981" s="93">
        <f>INT($G$6/H981)</f>
        <v/>
      </c>
      <c r="N981" s="93">
        <f>IF(M981=0, 0, IF(OR($K$6="Square Grid", M981=1), INT($G$7/H981), IF($G$7&lt;H981, 0, 1+INT(($G$7-H981)/(0.8660254*H981)))))</f>
        <v/>
      </c>
      <c r="O981" s="59">
        <f>IF(OR(M981=0,N981=0), 0, IF(OR($K$6="Square Grid", M981=1), M981*N981*$K$5, (INT((N981+1)/2)*M981 + INT(N981/2)*IF(($G$6-M981*H981)&gt;=0.5*H981, M981, M981-1))*$K$5))</f>
        <v/>
      </c>
      <c r="P981" s="59">
        <f>IF(L981&lt;=0, 0, INT($G$8/L981))</f>
        <v/>
      </c>
      <c r="Q981" s="95">
        <f>MIN(O981, P981)</f>
        <v/>
      </c>
      <c r="R981" s="96">
        <f>ROUND((Q981*L981)/1000, 2)</f>
        <v/>
      </c>
      <c r="S981" s="79">
        <f>IF($C$8&gt;0, R981/$C$8, 0)</f>
        <v/>
      </c>
      <c r="T981" s="79">
        <f>IF(O981&gt;0, Q981/O981, 0)</f>
        <v/>
      </c>
      <c r="U981" s="12">
        <f>IF(Q981=0, "Exceeds Limit", IF(P981&lt;=O981, "Weight Limited", "Volume Limited"))</f>
        <v/>
      </c>
      <c r="V981" s="97">
        <f>B981&amp;"|"&amp;D981&amp;"|"&amp;F981</f>
        <v/>
      </c>
    </row>
    <row r="982" ht="19" customHeight="1">
      <c r="A982" s="98" t="n">
        <v>972</v>
      </c>
      <c r="B982" s="102" t="inlineStr">
        <is>
          <t>Stainless Steel 316</t>
        </is>
      </c>
      <c r="C982" s="19" t="inlineStr">
        <is>
          <t>ASME B36.19M / B36.10M</t>
        </is>
      </c>
      <c r="D982" s="18" t="inlineStr">
        <is>
          <t>8''</t>
        </is>
      </c>
      <c r="E982" s="98" t="n">
        <v>200</v>
      </c>
      <c r="F982" s="18" t="inlineStr">
        <is>
          <t>10</t>
        </is>
      </c>
      <c r="G982" s="20" t="n">
        <v>8.625</v>
      </c>
      <c r="H982" s="82" t="n">
        <v>219.07</v>
      </c>
      <c r="I982" s="20" t="n">
        <v>0.148</v>
      </c>
      <c r="J982" s="82" t="n">
        <v>3.76</v>
      </c>
      <c r="K982" s="20">
        <f>ROUND((H982-J982)*J982*IF(B982="Carbon Steel",$K$7,IF(B982="Stainless Steel 304",$K$8,$L$8)), 3)</f>
        <v/>
      </c>
      <c r="L982" s="82">
        <f>ROUND(K982*$G$5, 2)</f>
        <v/>
      </c>
      <c r="M982" s="98">
        <f>INT($G$6/H982)</f>
        <v/>
      </c>
      <c r="N982" s="98">
        <f>IF(M982=0, 0, IF(OR($K$6="Square Grid", M982=1), INT($G$7/H982), IF($G$7&lt;H982, 0, 1+INT(($G$7-H982)/(0.8660254*H982)))))</f>
        <v/>
      </c>
      <c r="O982" s="84">
        <f>IF(OR(M982=0,N982=0), 0, IF(OR($K$6="Square Grid", M982=1), M982*N982*$K$5, (INT((N982+1)/2)*M982 + INT(N982/2)*IF(($G$6-M982*H982)&gt;=0.5*H982, M982, M982-1))*$K$5))</f>
        <v/>
      </c>
      <c r="P982" s="84">
        <f>IF(L982&lt;=0, 0, INT($G$8/L982))</f>
        <v/>
      </c>
      <c r="Q982" s="95">
        <f>MIN(O982, P982)</f>
        <v/>
      </c>
      <c r="R982" s="96">
        <f>ROUND((Q982*L982)/1000, 2)</f>
        <v/>
      </c>
      <c r="S982" s="85">
        <f>IF($C$8&gt;0, R982/$C$8, 0)</f>
        <v/>
      </c>
      <c r="T982" s="85">
        <f>IF(O982&gt;0, Q982/O982, 0)</f>
        <v/>
      </c>
      <c r="U982" s="18">
        <f>IF(Q982=0, "Exceeds Limit", IF(P982&lt;=O982, "Weight Limited", "Volume Limited"))</f>
        <v/>
      </c>
      <c r="V982" s="100">
        <f>B982&amp;"|"&amp;D982&amp;"|"&amp;F982</f>
        <v/>
      </c>
    </row>
    <row r="983" ht="19" customHeight="1">
      <c r="A983" s="93" t="n">
        <v>973</v>
      </c>
      <c r="B983" s="101" t="inlineStr">
        <is>
          <t>Stainless Steel 316</t>
        </is>
      </c>
      <c r="C983" s="13" t="inlineStr">
        <is>
          <t>ASME B36.19M / B36.10M</t>
        </is>
      </c>
      <c r="D983" s="12" t="inlineStr">
        <is>
          <t>8''</t>
        </is>
      </c>
      <c r="E983" s="93" t="n">
        <v>200</v>
      </c>
      <c r="F983" s="12" t="inlineStr">
        <is>
          <t>20</t>
        </is>
      </c>
      <c r="G983" s="14" t="n">
        <v>8.625</v>
      </c>
      <c r="H983" s="78" t="n">
        <v>219.07</v>
      </c>
      <c r="I983" s="14" t="n">
        <v>0.25</v>
      </c>
      <c r="J983" s="78" t="n">
        <v>6.35</v>
      </c>
      <c r="K983" s="14">
        <f>ROUND((H983-J983)*J983*IF(B983="Carbon Steel",$K$7,IF(B983="Stainless Steel 304",$K$8,$L$8)), 3)</f>
        <v/>
      </c>
      <c r="L983" s="78">
        <f>ROUND(K983*$G$5, 2)</f>
        <v/>
      </c>
      <c r="M983" s="93">
        <f>INT($G$6/H983)</f>
        <v/>
      </c>
      <c r="N983" s="93">
        <f>IF(M983=0, 0, IF(OR($K$6="Square Grid", M983=1), INT($G$7/H983), IF($G$7&lt;H983, 0, 1+INT(($G$7-H983)/(0.8660254*H983)))))</f>
        <v/>
      </c>
      <c r="O983" s="59">
        <f>IF(OR(M983=0,N983=0), 0, IF(OR($K$6="Square Grid", M983=1), M983*N983*$K$5, (INT((N983+1)/2)*M983 + INT(N983/2)*IF(($G$6-M983*H983)&gt;=0.5*H983, M983, M983-1))*$K$5))</f>
        <v/>
      </c>
      <c r="P983" s="59">
        <f>IF(L983&lt;=0, 0, INT($G$8/L983))</f>
        <v/>
      </c>
      <c r="Q983" s="95">
        <f>MIN(O983, P983)</f>
        <v/>
      </c>
      <c r="R983" s="96">
        <f>ROUND((Q983*L983)/1000, 2)</f>
        <v/>
      </c>
      <c r="S983" s="79">
        <f>IF($C$8&gt;0, R983/$C$8, 0)</f>
        <v/>
      </c>
      <c r="T983" s="79">
        <f>IF(O983&gt;0, Q983/O983, 0)</f>
        <v/>
      </c>
      <c r="U983" s="12">
        <f>IF(Q983=0, "Exceeds Limit", IF(P983&lt;=O983, "Weight Limited", "Volume Limited"))</f>
        <v/>
      </c>
      <c r="V983" s="97">
        <f>B983&amp;"|"&amp;D983&amp;"|"&amp;F983</f>
        <v/>
      </c>
    </row>
    <row r="984" ht="19" customHeight="1">
      <c r="A984" s="98" t="n">
        <v>974</v>
      </c>
      <c r="B984" s="102" t="inlineStr">
        <is>
          <t>Stainless Steel 316</t>
        </is>
      </c>
      <c r="C984" s="19" t="inlineStr">
        <is>
          <t>ASME B36.19M / B36.10M</t>
        </is>
      </c>
      <c r="D984" s="18" t="inlineStr">
        <is>
          <t>8''</t>
        </is>
      </c>
      <c r="E984" s="98" t="n">
        <v>200</v>
      </c>
      <c r="F984" s="18" t="inlineStr">
        <is>
          <t>30</t>
        </is>
      </c>
      <c r="G984" s="20" t="n">
        <v>8.625</v>
      </c>
      <c r="H984" s="82" t="n">
        <v>219.07</v>
      </c>
      <c r="I984" s="20" t="n">
        <v>0.277</v>
      </c>
      <c r="J984" s="82" t="n">
        <v>7.04</v>
      </c>
      <c r="K984" s="20">
        <f>ROUND((H984-J984)*J984*IF(B984="Carbon Steel",$K$7,IF(B984="Stainless Steel 304",$K$8,$L$8)), 3)</f>
        <v/>
      </c>
      <c r="L984" s="82">
        <f>ROUND(K984*$G$5, 2)</f>
        <v/>
      </c>
      <c r="M984" s="98">
        <f>INT($G$6/H984)</f>
        <v/>
      </c>
      <c r="N984" s="98">
        <f>IF(M984=0, 0, IF(OR($K$6="Square Grid", M984=1), INT($G$7/H984), IF($G$7&lt;H984, 0, 1+INT(($G$7-H984)/(0.8660254*H984)))))</f>
        <v/>
      </c>
      <c r="O984" s="84">
        <f>IF(OR(M984=0,N984=0), 0, IF(OR($K$6="Square Grid", M984=1), M984*N984*$K$5, (INT((N984+1)/2)*M984 + INT(N984/2)*IF(($G$6-M984*H984)&gt;=0.5*H984, M984, M984-1))*$K$5))</f>
        <v/>
      </c>
      <c r="P984" s="84">
        <f>IF(L984&lt;=0, 0, INT($G$8/L984))</f>
        <v/>
      </c>
      <c r="Q984" s="95">
        <f>MIN(O984, P984)</f>
        <v/>
      </c>
      <c r="R984" s="96">
        <f>ROUND((Q984*L984)/1000, 2)</f>
        <v/>
      </c>
      <c r="S984" s="85">
        <f>IF($C$8&gt;0, R984/$C$8, 0)</f>
        <v/>
      </c>
      <c r="T984" s="85">
        <f>IF(O984&gt;0, Q984/O984, 0)</f>
        <v/>
      </c>
      <c r="U984" s="18">
        <f>IF(Q984=0, "Exceeds Limit", IF(P984&lt;=O984, "Weight Limited", "Volume Limited"))</f>
        <v/>
      </c>
      <c r="V984" s="100">
        <f>B984&amp;"|"&amp;D984&amp;"|"&amp;F984</f>
        <v/>
      </c>
    </row>
    <row r="985" ht="19" customHeight="1">
      <c r="A985" s="93" t="n">
        <v>975</v>
      </c>
      <c r="B985" s="101" t="inlineStr">
        <is>
          <t>Stainless Steel 316</t>
        </is>
      </c>
      <c r="C985" s="13" t="inlineStr">
        <is>
          <t>ASME B36.19M / B36.10M</t>
        </is>
      </c>
      <c r="D985" s="12" t="inlineStr">
        <is>
          <t>8''</t>
        </is>
      </c>
      <c r="E985" s="93" t="n">
        <v>200</v>
      </c>
      <c r="F985" s="12" t="inlineStr">
        <is>
          <t>40S</t>
        </is>
      </c>
      <c r="G985" s="14" t="n">
        <v>8.625</v>
      </c>
      <c r="H985" s="78" t="n">
        <v>219.07</v>
      </c>
      <c r="I985" s="14" t="n">
        <v>0.322</v>
      </c>
      <c r="J985" s="78" t="n">
        <v>8.18</v>
      </c>
      <c r="K985" s="14">
        <f>ROUND((H985-J985)*J985*IF(B985="Carbon Steel",$K$7,IF(B985="Stainless Steel 304",$K$8,$L$8)), 3)</f>
        <v/>
      </c>
      <c r="L985" s="78">
        <f>ROUND(K985*$G$5, 2)</f>
        <v/>
      </c>
      <c r="M985" s="93">
        <f>INT($G$6/H985)</f>
        <v/>
      </c>
      <c r="N985" s="93">
        <f>IF(M985=0, 0, IF(OR($K$6="Square Grid", M985=1), INT($G$7/H985), IF($G$7&lt;H985, 0, 1+INT(($G$7-H985)/(0.8660254*H985)))))</f>
        <v/>
      </c>
      <c r="O985" s="59">
        <f>IF(OR(M985=0,N985=0), 0, IF(OR($K$6="Square Grid", M985=1), M985*N985*$K$5, (INT((N985+1)/2)*M985 + INT(N985/2)*IF(($G$6-M985*H985)&gt;=0.5*H985, M985, M985-1))*$K$5))</f>
        <v/>
      </c>
      <c r="P985" s="59">
        <f>IF(L985&lt;=0, 0, INT($G$8/L985))</f>
        <v/>
      </c>
      <c r="Q985" s="95">
        <f>MIN(O985, P985)</f>
        <v/>
      </c>
      <c r="R985" s="96">
        <f>ROUND((Q985*L985)/1000, 2)</f>
        <v/>
      </c>
      <c r="S985" s="79">
        <f>IF($C$8&gt;0, R985/$C$8, 0)</f>
        <v/>
      </c>
      <c r="T985" s="79">
        <f>IF(O985&gt;0, Q985/O985, 0)</f>
        <v/>
      </c>
      <c r="U985" s="12">
        <f>IF(Q985=0, "Exceeds Limit", IF(P985&lt;=O985, "Weight Limited", "Volume Limited"))</f>
        <v/>
      </c>
      <c r="V985" s="97">
        <f>B985&amp;"|"&amp;D985&amp;"|"&amp;F985</f>
        <v/>
      </c>
    </row>
    <row r="986" ht="19" customHeight="1">
      <c r="A986" s="98" t="n">
        <v>976</v>
      </c>
      <c r="B986" s="102" t="inlineStr">
        <is>
          <t>Stainless Steel 316</t>
        </is>
      </c>
      <c r="C986" s="19" t="inlineStr">
        <is>
          <t>ASME B36.19M / B36.10M</t>
        </is>
      </c>
      <c r="D986" s="18" t="inlineStr">
        <is>
          <t>8''</t>
        </is>
      </c>
      <c r="E986" s="98" t="n">
        <v>200</v>
      </c>
      <c r="F986" s="18" t="inlineStr">
        <is>
          <t>STD</t>
        </is>
      </c>
      <c r="G986" s="20" t="n">
        <v>8.625</v>
      </c>
      <c r="H986" s="82" t="n">
        <v>219.07</v>
      </c>
      <c r="I986" s="20" t="n">
        <v>0.322</v>
      </c>
      <c r="J986" s="82" t="n">
        <v>8.18</v>
      </c>
      <c r="K986" s="20">
        <f>ROUND((H986-J986)*J986*IF(B986="Carbon Steel",$K$7,IF(B986="Stainless Steel 304",$K$8,$L$8)), 3)</f>
        <v/>
      </c>
      <c r="L986" s="82">
        <f>ROUND(K986*$G$5, 2)</f>
        <v/>
      </c>
      <c r="M986" s="98">
        <f>INT($G$6/H986)</f>
        <v/>
      </c>
      <c r="N986" s="98">
        <f>IF(M986=0, 0, IF(OR($K$6="Square Grid", M986=1), INT($G$7/H986), IF($G$7&lt;H986, 0, 1+INT(($G$7-H986)/(0.8660254*H986)))))</f>
        <v/>
      </c>
      <c r="O986" s="84">
        <f>IF(OR(M986=0,N986=0), 0, IF(OR($K$6="Square Grid", M986=1), M986*N986*$K$5, (INT((N986+1)/2)*M986 + INT(N986/2)*IF(($G$6-M986*H986)&gt;=0.5*H986, M986, M986-1))*$K$5))</f>
        <v/>
      </c>
      <c r="P986" s="84">
        <f>IF(L986&lt;=0, 0, INT($G$8/L986))</f>
        <v/>
      </c>
      <c r="Q986" s="95">
        <f>MIN(O986, P986)</f>
        <v/>
      </c>
      <c r="R986" s="96">
        <f>ROUND((Q986*L986)/1000, 2)</f>
        <v/>
      </c>
      <c r="S986" s="85">
        <f>IF($C$8&gt;0, R986/$C$8, 0)</f>
        <v/>
      </c>
      <c r="T986" s="85">
        <f>IF(O986&gt;0, Q986/O986, 0)</f>
        <v/>
      </c>
      <c r="U986" s="18">
        <f>IF(Q986=0, "Exceeds Limit", IF(P986&lt;=O986, "Weight Limited", "Volume Limited"))</f>
        <v/>
      </c>
      <c r="V986" s="100">
        <f>B986&amp;"|"&amp;D986&amp;"|"&amp;F986</f>
        <v/>
      </c>
    </row>
    <row r="987" ht="19" customHeight="1">
      <c r="A987" s="93" t="n">
        <v>977</v>
      </c>
      <c r="B987" s="101" t="inlineStr">
        <is>
          <t>Stainless Steel 316</t>
        </is>
      </c>
      <c r="C987" s="13" t="inlineStr">
        <is>
          <t>ASME B36.19M / B36.10M</t>
        </is>
      </c>
      <c r="D987" s="12" t="inlineStr">
        <is>
          <t>8''</t>
        </is>
      </c>
      <c r="E987" s="93" t="n">
        <v>200</v>
      </c>
      <c r="F987" s="12" t="inlineStr">
        <is>
          <t>40</t>
        </is>
      </c>
      <c r="G987" s="14" t="n">
        <v>8.625</v>
      </c>
      <c r="H987" s="78" t="n">
        <v>219.07</v>
      </c>
      <c r="I987" s="14" t="n">
        <v>0.322</v>
      </c>
      <c r="J987" s="78" t="n">
        <v>8.18</v>
      </c>
      <c r="K987" s="14">
        <f>ROUND((H987-J987)*J987*IF(B987="Carbon Steel",$K$7,IF(B987="Stainless Steel 304",$K$8,$L$8)), 3)</f>
        <v/>
      </c>
      <c r="L987" s="78">
        <f>ROUND(K987*$G$5, 2)</f>
        <v/>
      </c>
      <c r="M987" s="93">
        <f>INT($G$6/H987)</f>
        <v/>
      </c>
      <c r="N987" s="93">
        <f>IF(M987=0, 0, IF(OR($K$6="Square Grid", M987=1), INT($G$7/H987), IF($G$7&lt;H987, 0, 1+INT(($G$7-H987)/(0.8660254*H987)))))</f>
        <v/>
      </c>
      <c r="O987" s="59">
        <f>IF(OR(M987=0,N987=0), 0, IF(OR($K$6="Square Grid", M987=1), M987*N987*$K$5, (INT((N987+1)/2)*M987 + INT(N987/2)*IF(($G$6-M987*H987)&gt;=0.5*H987, M987, M987-1))*$K$5))</f>
        <v/>
      </c>
      <c r="P987" s="59">
        <f>IF(L987&lt;=0, 0, INT($G$8/L987))</f>
        <v/>
      </c>
      <c r="Q987" s="95">
        <f>MIN(O987, P987)</f>
        <v/>
      </c>
      <c r="R987" s="96">
        <f>ROUND((Q987*L987)/1000, 2)</f>
        <v/>
      </c>
      <c r="S987" s="79">
        <f>IF($C$8&gt;0, R987/$C$8, 0)</f>
        <v/>
      </c>
      <c r="T987" s="79">
        <f>IF(O987&gt;0, Q987/O987, 0)</f>
        <v/>
      </c>
      <c r="U987" s="12">
        <f>IF(Q987=0, "Exceeds Limit", IF(P987&lt;=O987, "Weight Limited", "Volume Limited"))</f>
        <v/>
      </c>
      <c r="V987" s="97">
        <f>B987&amp;"|"&amp;D987&amp;"|"&amp;F987</f>
        <v/>
      </c>
    </row>
    <row r="988" ht="19" customHeight="1">
      <c r="A988" s="98" t="n">
        <v>978</v>
      </c>
      <c r="B988" s="102" t="inlineStr">
        <is>
          <t>Stainless Steel 316</t>
        </is>
      </c>
      <c r="C988" s="19" t="inlineStr">
        <is>
          <t>ASME B36.19M / B36.10M</t>
        </is>
      </c>
      <c r="D988" s="18" t="inlineStr">
        <is>
          <t>8''</t>
        </is>
      </c>
      <c r="E988" s="98" t="n">
        <v>200</v>
      </c>
      <c r="F988" s="18" t="inlineStr">
        <is>
          <t>60</t>
        </is>
      </c>
      <c r="G988" s="20" t="n">
        <v>8.625</v>
      </c>
      <c r="H988" s="82" t="n">
        <v>219.07</v>
      </c>
      <c r="I988" s="20" t="n">
        <v>0.406</v>
      </c>
      <c r="J988" s="82" t="n">
        <v>10.31</v>
      </c>
      <c r="K988" s="20">
        <f>ROUND((H988-J988)*J988*IF(B988="Carbon Steel",$K$7,IF(B988="Stainless Steel 304",$K$8,$L$8)), 3)</f>
        <v/>
      </c>
      <c r="L988" s="82">
        <f>ROUND(K988*$G$5, 2)</f>
        <v/>
      </c>
      <c r="M988" s="98">
        <f>INT($G$6/H988)</f>
        <v/>
      </c>
      <c r="N988" s="98">
        <f>IF(M988=0, 0, IF(OR($K$6="Square Grid", M988=1), INT($G$7/H988), IF($G$7&lt;H988, 0, 1+INT(($G$7-H988)/(0.8660254*H988)))))</f>
        <v/>
      </c>
      <c r="O988" s="84">
        <f>IF(OR(M988=0,N988=0), 0, IF(OR($K$6="Square Grid", M988=1), M988*N988*$K$5, (INT((N988+1)/2)*M988 + INT(N988/2)*IF(($G$6-M988*H988)&gt;=0.5*H988, M988, M988-1))*$K$5))</f>
        <v/>
      </c>
      <c r="P988" s="84">
        <f>IF(L988&lt;=0, 0, INT($G$8/L988))</f>
        <v/>
      </c>
      <c r="Q988" s="95">
        <f>MIN(O988, P988)</f>
        <v/>
      </c>
      <c r="R988" s="96">
        <f>ROUND((Q988*L988)/1000, 2)</f>
        <v/>
      </c>
      <c r="S988" s="85">
        <f>IF($C$8&gt;0, R988/$C$8, 0)</f>
        <v/>
      </c>
      <c r="T988" s="85">
        <f>IF(O988&gt;0, Q988/O988, 0)</f>
        <v/>
      </c>
      <c r="U988" s="18">
        <f>IF(Q988=0, "Exceeds Limit", IF(P988&lt;=O988, "Weight Limited", "Volume Limited"))</f>
        <v/>
      </c>
      <c r="V988" s="100">
        <f>B988&amp;"|"&amp;D988&amp;"|"&amp;F988</f>
        <v/>
      </c>
    </row>
    <row r="989" ht="19" customHeight="1">
      <c r="A989" s="93" t="n">
        <v>979</v>
      </c>
      <c r="B989" s="101" t="inlineStr">
        <is>
          <t>Stainless Steel 316</t>
        </is>
      </c>
      <c r="C989" s="13" t="inlineStr">
        <is>
          <t>ASME B36.19M / B36.10M</t>
        </is>
      </c>
      <c r="D989" s="12" t="inlineStr">
        <is>
          <t>8''</t>
        </is>
      </c>
      <c r="E989" s="93" t="n">
        <v>200</v>
      </c>
      <c r="F989" s="12" t="inlineStr">
        <is>
          <t>80S</t>
        </is>
      </c>
      <c r="G989" s="14" t="n">
        <v>8.625</v>
      </c>
      <c r="H989" s="78" t="n">
        <v>219.07</v>
      </c>
      <c r="I989" s="14" t="n">
        <v>0.5</v>
      </c>
      <c r="J989" s="78" t="n">
        <v>12.7</v>
      </c>
      <c r="K989" s="14">
        <f>ROUND((H989-J989)*J989*IF(B989="Carbon Steel",$K$7,IF(B989="Stainless Steel 304",$K$8,$L$8)), 3)</f>
        <v/>
      </c>
      <c r="L989" s="78">
        <f>ROUND(K989*$G$5, 2)</f>
        <v/>
      </c>
      <c r="M989" s="93">
        <f>INT($G$6/H989)</f>
        <v/>
      </c>
      <c r="N989" s="93">
        <f>IF(M989=0, 0, IF(OR($K$6="Square Grid", M989=1), INT($G$7/H989), IF($G$7&lt;H989, 0, 1+INT(($G$7-H989)/(0.8660254*H989)))))</f>
        <v/>
      </c>
      <c r="O989" s="59">
        <f>IF(OR(M989=0,N989=0), 0, IF(OR($K$6="Square Grid", M989=1), M989*N989*$K$5, (INT((N989+1)/2)*M989 + INT(N989/2)*IF(($G$6-M989*H989)&gt;=0.5*H989, M989, M989-1))*$K$5))</f>
        <v/>
      </c>
      <c r="P989" s="59">
        <f>IF(L989&lt;=0, 0, INT($G$8/L989))</f>
        <v/>
      </c>
      <c r="Q989" s="95">
        <f>MIN(O989, P989)</f>
        <v/>
      </c>
      <c r="R989" s="96">
        <f>ROUND((Q989*L989)/1000, 2)</f>
        <v/>
      </c>
      <c r="S989" s="79">
        <f>IF($C$8&gt;0, R989/$C$8, 0)</f>
        <v/>
      </c>
      <c r="T989" s="79">
        <f>IF(O989&gt;0, Q989/O989, 0)</f>
        <v/>
      </c>
      <c r="U989" s="12">
        <f>IF(Q989=0, "Exceeds Limit", IF(P989&lt;=O989, "Weight Limited", "Volume Limited"))</f>
        <v/>
      </c>
      <c r="V989" s="97">
        <f>B989&amp;"|"&amp;D989&amp;"|"&amp;F989</f>
        <v/>
      </c>
    </row>
    <row r="990" ht="19" customHeight="1">
      <c r="A990" s="98" t="n">
        <v>980</v>
      </c>
      <c r="B990" s="102" t="inlineStr">
        <is>
          <t>Stainless Steel 316</t>
        </is>
      </c>
      <c r="C990" s="19" t="inlineStr">
        <is>
          <t>ASME B36.19M / B36.10M</t>
        </is>
      </c>
      <c r="D990" s="18" t="inlineStr">
        <is>
          <t>8''</t>
        </is>
      </c>
      <c r="E990" s="98" t="n">
        <v>200</v>
      </c>
      <c r="F990" s="18" t="inlineStr">
        <is>
          <t>XS</t>
        </is>
      </c>
      <c r="G990" s="20" t="n">
        <v>8.625</v>
      </c>
      <c r="H990" s="82" t="n">
        <v>219.07</v>
      </c>
      <c r="I990" s="20" t="n">
        <v>0.5</v>
      </c>
      <c r="J990" s="82" t="n">
        <v>12.7</v>
      </c>
      <c r="K990" s="20">
        <f>ROUND((H990-J990)*J990*IF(B990="Carbon Steel",$K$7,IF(B990="Stainless Steel 304",$K$8,$L$8)), 3)</f>
        <v/>
      </c>
      <c r="L990" s="82">
        <f>ROUND(K990*$G$5, 2)</f>
        <v/>
      </c>
      <c r="M990" s="98">
        <f>INT($G$6/H990)</f>
        <v/>
      </c>
      <c r="N990" s="98">
        <f>IF(M990=0, 0, IF(OR($K$6="Square Grid", M990=1), INT($G$7/H990), IF($G$7&lt;H990, 0, 1+INT(($G$7-H990)/(0.8660254*H990)))))</f>
        <v/>
      </c>
      <c r="O990" s="84">
        <f>IF(OR(M990=0,N990=0), 0, IF(OR($K$6="Square Grid", M990=1), M990*N990*$K$5, (INT((N990+1)/2)*M990 + INT(N990/2)*IF(($G$6-M990*H990)&gt;=0.5*H990, M990, M990-1))*$K$5))</f>
        <v/>
      </c>
      <c r="P990" s="84">
        <f>IF(L990&lt;=0, 0, INT($G$8/L990))</f>
        <v/>
      </c>
      <c r="Q990" s="95">
        <f>MIN(O990, P990)</f>
        <v/>
      </c>
      <c r="R990" s="96">
        <f>ROUND((Q990*L990)/1000, 2)</f>
        <v/>
      </c>
      <c r="S990" s="85">
        <f>IF($C$8&gt;0, R990/$C$8, 0)</f>
        <v/>
      </c>
      <c r="T990" s="85">
        <f>IF(O990&gt;0, Q990/O990, 0)</f>
        <v/>
      </c>
      <c r="U990" s="18">
        <f>IF(Q990=0, "Exceeds Limit", IF(P990&lt;=O990, "Weight Limited", "Volume Limited"))</f>
        <v/>
      </c>
      <c r="V990" s="100">
        <f>B990&amp;"|"&amp;D990&amp;"|"&amp;F990</f>
        <v/>
      </c>
    </row>
    <row r="991" ht="19" customHeight="1">
      <c r="A991" s="93" t="n">
        <v>981</v>
      </c>
      <c r="B991" s="101" t="inlineStr">
        <is>
          <t>Stainless Steel 316</t>
        </is>
      </c>
      <c r="C991" s="13" t="inlineStr">
        <is>
          <t>ASME B36.19M / B36.10M</t>
        </is>
      </c>
      <c r="D991" s="12" t="inlineStr">
        <is>
          <t>8''</t>
        </is>
      </c>
      <c r="E991" s="93" t="n">
        <v>200</v>
      </c>
      <c r="F991" s="12" t="inlineStr">
        <is>
          <t>80</t>
        </is>
      </c>
      <c r="G991" s="14" t="n">
        <v>8.625</v>
      </c>
      <c r="H991" s="78" t="n">
        <v>219.07</v>
      </c>
      <c r="I991" s="14" t="n">
        <v>0.5</v>
      </c>
      <c r="J991" s="78" t="n">
        <v>12.7</v>
      </c>
      <c r="K991" s="14">
        <f>ROUND((H991-J991)*J991*IF(B991="Carbon Steel",$K$7,IF(B991="Stainless Steel 304",$K$8,$L$8)), 3)</f>
        <v/>
      </c>
      <c r="L991" s="78">
        <f>ROUND(K991*$G$5, 2)</f>
        <v/>
      </c>
      <c r="M991" s="93">
        <f>INT($G$6/H991)</f>
        <v/>
      </c>
      <c r="N991" s="93">
        <f>IF(M991=0, 0, IF(OR($K$6="Square Grid", M991=1), INT($G$7/H991), IF($G$7&lt;H991, 0, 1+INT(($G$7-H991)/(0.8660254*H991)))))</f>
        <v/>
      </c>
      <c r="O991" s="59">
        <f>IF(OR(M991=0,N991=0), 0, IF(OR($K$6="Square Grid", M991=1), M991*N991*$K$5, (INT((N991+1)/2)*M991 + INT(N991/2)*IF(($G$6-M991*H991)&gt;=0.5*H991, M991, M991-1))*$K$5))</f>
        <v/>
      </c>
      <c r="P991" s="59">
        <f>IF(L991&lt;=0, 0, INT($G$8/L991))</f>
        <v/>
      </c>
      <c r="Q991" s="95">
        <f>MIN(O991, P991)</f>
        <v/>
      </c>
      <c r="R991" s="96">
        <f>ROUND((Q991*L991)/1000, 2)</f>
        <v/>
      </c>
      <c r="S991" s="79">
        <f>IF($C$8&gt;0, R991/$C$8, 0)</f>
        <v/>
      </c>
      <c r="T991" s="79">
        <f>IF(O991&gt;0, Q991/O991, 0)</f>
        <v/>
      </c>
      <c r="U991" s="12">
        <f>IF(Q991=0, "Exceeds Limit", IF(P991&lt;=O991, "Weight Limited", "Volume Limited"))</f>
        <v/>
      </c>
      <c r="V991" s="97">
        <f>B991&amp;"|"&amp;D991&amp;"|"&amp;F991</f>
        <v/>
      </c>
    </row>
    <row r="992" ht="19" customHeight="1">
      <c r="A992" s="98" t="n">
        <v>982</v>
      </c>
      <c r="B992" s="102" t="inlineStr">
        <is>
          <t>Stainless Steel 316</t>
        </is>
      </c>
      <c r="C992" s="19" t="inlineStr">
        <is>
          <t>ASME B36.19M / B36.10M</t>
        </is>
      </c>
      <c r="D992" s="18" t="inlineStr">
        <is>
          <t>8''</t>
        </is>
      </c>
      <c r="E992" s="98" t="n">
        <v>200</v>
      </c>
      <c r="F992" s="18" t="inlineStr">
        <is>
          <t>100</t>
        </is>
      </c>
      <c r="G992" s="20" t="n">
        <v>8.625</v>
      </c>
      <c r="H992" s="82" t="n">
        <v>219.07</v>
      </c>
      <c r="I992" s="20" t="n">
        <v>0.594</v>
      </c>
      <c r="J992" s="82" t="n">
        <v>15.09</v>
      </c>
      <c r="K992" s="20">
        <f>ROUND((H992-J992)*J992*IF(B992="Carbon Steel",$K$7,IF(B992="Stainless Steel 304",$K$8,$L$8)), 3)</f>
        <v/>
      </c>
      <c r="L992" s="82">
        <f>ROUND(K992*$G$5, 2)</f>
        <v/>
      </c>
      <c r="M992" s="98">
        <f>INT($G$6/H992)</f>
        <v/>
      </c>
      <c r="N992" s="98">
        <f>IF(M992=0, 0, IF(OR($K$6="Square Grid", M992=1), INT($G$7/H992), IF($G$7&lt;H992, 0, 1+INT(($G$7-H992)/(0.8660254*H992)))))</f>
        <v/>
      </c>
      <c r="O992" s="84">
        <f>IF(OR(M992=0,N992=0), 0, IF(OR($K$6="Square Grid", M992=1), M992*N992*$K$5, (INT((N992+1)/2)*M992 + INT(N992/2)*IF(($G$6-M992*H992)&gt;=0.5*H992, M992, M992-1))*$K$5))</f>
        <v/>
      </c>
      <c r="P992" s="84">
        <f>IF(L992&lt;=0, 0, INT($G$8/L992))</f>
        <v/>
      </c>
      <c r="Q992" s="95">
        <f>MIN(O992, P992)</f>
        <v/>
      </c>
      <c r="R992" s="96">
        <f>ROUND((Q992*L992)/1000, 2)</f>
        <v/>
      </c>
      <c r="S992" s="85">
        <f>IF($C$8&gt;0, R992/$C$8, 0)</f>
        <v/>
      </c>
      <c r="T992" s="85">
        <f>IF(O992&gt;0, Q992/O992, 0)</f>
        <v/>
      </c>
      <c r="U992" s="18">
        <f>IF(Q992=0, "Exceeds Limit", IF(P992&lt;=O992, "Weight Limited", "Volume Limited"))</f>
        <v/>
      </c>
      <c r="V992" s="100">
        <f>B992&amp;"|"&amp;D992&amp;"|"&amp;F992</f>
        <v/>
      </c>
    </row>
    <row r="993" ht="19" customHeight="1">
      <c r="A993" s="93" t="n">
        <v>983</v>
      </c>
      <c r="B993" s="101" t="inlineStr">
        <is>
          <t>Stainless Steel 316</t>
        </is>
      </c>
      <c r="C993" s="13" t="inlineStr">
        <is>
          <t>ASME B36.19M / B36.10M</t>
        </is>
      </c>
      <c r="D993" s="12" t="inlineStr">
        <is>
          <t>8''</t>
        </is>
      </c>
      <c r="E993" s="93" t="n">
        <v>200</v>
      </c>
      <c r="F993" s="12" t="inlineStr">
        <is>
          <t>120</t>
        </is>
      </c>
      <c r="G993" s="14" t="n">
        <v>8.625</v>
      </c>
      <c r="H993" s="78" t="n">
        <v>219.07</v>
      </c>
      <c r="I993" s="14" t="n">
        <v>0.719</v>
      </c>
      <c r="J993" s="78" t="n">
        <v>18.26</v>
      </c>
      <c r="K993" s="14">
        <f>ROUND((H993-J993)*J993*IF(B993="Carbon Steel",$K$7,IF(B993="Stainless Steel 304",$K$8,$L$8)), 3)</f>
        <v/>
      </c>
      <c r="L993" s="78">
        <f>ROUND(K993*$G$5, 2)</f>
        <v/>
      </c>
      <c r="M993" s="93">
        <f>INT($G$6/H993)</f>
        <v/>
      </c>
      <c r="N993" s="93">
        <f>IF(M993=0, 0, IF(OR($K$6="Square Grid", M993=1), INT($G$7/H993), IF($G$7&lt;H993, 0, 1+INT(($G$7-H993)/(0.8660254*H993)))))</f>
        <v/>
      </c>
      <c r="O993" s="59">
        <f>IF(OR(M993=0,N993=0), 0, IF(OR($K$6="Square Grid", M993=1), M993*N993*$K$5, (INT((N993+1)/2)*M993 + INT(N993/2)*IF(($G$6-M993*H993)&gt;=0.5*H993, M993, M993-1))*$K$5))</f>
        <v/>
      </c>
      <c r="P993" s="59">
        <f>IF(L993&lt;=0, 0, INT($G$8/L993))</f>
        <v/>
      </c>
      <c r="Q993" s="95">
        <f>MIN(O993, P993)</f>
        <v/>
      </c>
      <c r="R993" s="96">
        <f>ROUND((Q993*L993)/1000, 2)</f>
        <v/>
      </c>
      <c r="S993" s="79">
        <f>IF($C$8&gt;0, R993/$C$8, 0)</f>
        <v/>
      </c>
      <c r="T993" s="79">
        <f>IF(O993&gt;0, Q993/O993, 0)</f>
        <v/>
      </c>
      <c r="U993" s="12">
        <f>IF(Q993=0, "Exceeds Limit", IF(P993&lt;=O993, "Weight Limited", "Volume Limited"))</f>
        <v/>
      </c>
      <c r="V993" s="97">
        <f>B993&amp;"|"&amp;D993&amp;"|"&amp;F993</f>
        <v/>
      </c>
    </row>
    <row r="994" ht="19" customHeight="1">
      <c r="A994" s="98" t="n">
        <v>984</v>
      </c>
      <c r="B994" s="102" t="inlineStr">
        <is>
          <t>Stainless Steel 316</t>
        </is>
      </c>
      <c r="C994" s="19" t="inlineStr">
        <is>
          <t>ASME B36.19M / B36.10M</t>
        </is>
      </c>
      <c r="D994" s="18" t="inlineStr">
        <is>
          <t>8''</t>
        </is>
      </c>
      <c r="E994" s="98" t="n">
        <v>200</v>
      </c>
      <c r="F994" s="18" t="inlineStr">
        <is>
          <t>140</t>
        </is>
      </c>
      <c r="G994" s="20" t="n">
        <v>8.625</v>
      </c>
      <c r="H994" s="82" t="n">
        <v>219.07</v>
      </c>
      <c r="I994" s="20" t="n">
        <v>0.8120000000000001</v>
      </c>
      <c r="J994" s="82" t="n">
        <v>20.62</v>
      </c>
      <c r="K994" s="20">
        <f>ROUND((H994-J994)*J994*IF(B994="Carbon Steel",$K$7,IF(B994="Stainless Steel 304",$K$8,$L$8)), 3)</f>
        <v/>
      </c>
      <c r="L994" s="82">
        <f>ROUND(K994*$G$5, 2)</f>
        <v/>
      </c>
      <c r="M994" s="98">
        <f>INT($G$6/H994)</f>
        <v/>
      </c>
      <c r="N994" s="98">
        <f>IF(M994=0, 0, IF(OR($K$6="Square Grid", M994=1), INT($G$7/H994), IF($G$7&lt;H994, 0, 1+INT(($G$7-H994)/(0.8660254*H994)))))</f>
        <v/>
      </c>
      <c r="O994" s="84">
        <f>IF(OR(M994=0,N994=0), 0, IF(OR($K$6="Square Grid", M994=1), M994*N994*$K$5, (INT((N994+1)/2)*M994 + INT(N994/2)*IF(($G$6-M994*H994)&gt;=0.5*H994, M994, M994-1))*$K$5))</f>
        <v/>
      </c>
      <c r="P994" s="84">
        <f>IF(L994&lt;=0, 0, INT($G$8/L994))</f>
        <v/>
      </c>
      <c r="Q994" s="95">
        <f>MIN(O994, P994)</f>
        <v/>
      </c>
      <c r="R994" s="96">
        <f>ROUND((Q994*L994)/1000, 2)</f>
        <v/>
      </c>
      <c r="S994" s="85">
        <f>IF($C$8&gt;0, R994/$C$8, 0)</f>
        <v/>
      </c>
      <c r="T994" s="85">
        <f>IF(O994&gt;0, Q994/O994, 0)</f>
        <v/>
      </c>
      <c r="U994" s="18">
        <f>IF(Q994=0, "Exceeds Limit", IF(P994&lt;=O994, "Weight Limited", "Volume Limited"))</f>
        <v/>
      </c>
      <c r="V994" s="100">
        <f>B994&amp;"|"&amp;D994&amp;"|"&amp;F994</f>
        <v/>
      </c>
    </row>
    <row r="995" ht="19" customHeight="1">
      <c r="A995" s="93" t="n">
        <v>985</v>
      </c>
      <c r="B995" s="101" t="inlineStr">
        <is>
          <t>Stainless Steel 316</t>
        </is>
      </c>
      <c r="C995" s="13" t="inlineStr">
        <is>
          <t>ASME B36.19M / B36.10M</t>
        </is>
      </c>
      <c r="D995" s="12" t="inlineStr">
        <is>
          <t>8''</t>
        </is>
      </c>
      <c r="E995" s="93" t="n">
        <v>200</v>
      </c>
      <c r="F995" s="12" t="inlineStr">
        <is>
          <t>160</t>
        </is>
      </c>
      <c r="G995" s="14" t="n">
        <v>8.625</v>
      </c>
      <c r="H995" s="78" t="n">
        <v>219.07</v>
      </c>
      <c r="I995" s="14" t="n">
        <v>0.906</v>
      </c>
      <c r="J995" s="78" t="n">
        <v>23.01</v>
      </c>
      <c r="K995" s="14">
        <f>ROUND((H995-J995)*J995*IF(B995="Carbon Steel",$K$7,IF(B995="Stainless Steel 304",$K$8,$L$8)), 3)</f>
        <v/>
      </c>
      <c r="L995" s="78">
        <f>ROUND(K995*$G$5, 2)</f>
        <v/>
      </c>
      <c r="M995" s="93">
        <f>INT($G$6/H995)</f>
        <v/>
      </c>
      <c r="N995" s="93">
        <f>IF(M995=0, 0, IF(OR($K$6="Square Grid", M995=1), INT($G$7/H995), IF($G$7&lt;H995, 0, 1+INT(($G$7-H995)/(0.8660254*H995)))))</f>
        <v/>
      </c>
      <c r="O995" s="59">
        <f>IF(OR(M995=0,N995=0), 0, IF(OR($K$6="Square Grid", M995=1), M995*N995*$K$5, (INT((N995+1)/2)*M995 + INT(N995/2)*IF(($G$6-M995*H995)&gt;=0.5*H995, M995, M995-1))*$K$5))</f>
        <v/>
      </c>
      <c r="P995" s="59">
        <f>IF(L995&lt;=0, 0, INT($G$8/L995))</f>
        <v/>
      </c>
      <c r="Q995" s="95">
        <f>MIN(O995, P995)</f>
        <v/>
      </c>
      <c r="R995" s="96">
        <f>ROUND((Q995*L995)/1000, 2)</f>
        <v/>
      </c>
      <c r="S995" s="79">
        <f>IF($C$8&gt;0, R995/$C$8, 0)</f>
        <v/>
      </c>
      <c r="T995" s="79">
        <f>IF(O995&gt;0, Q995/O995, 0)</f>
        <v/>
      </c>
      <c r="U995" s="12">
        <f>IF(Q995=0, "Exceeds Limit", IF(P995&lt;=O995, "Weight Limited", "Volume Limited"))</f>
        <v/>
      </c>
      <c r="V995" s="97">
        <f>B995&amp;"|"&amp;D995&amp;"|"&amp;F995</f>
        <v/>
      </c>
    </row>
    <row r="996" ht="19" customHeight="1">
      <c r="A996" s="98" t="n">
        <v>986</v>
      </c>
      <c r="B996" s="102" t="inlineStr">
        <is>
          <t>Stainless Steel 316</t>
        </is>
      </c>
      <c r="C996" s="19" t="inlineStr">
        <is>
          <t>ASME B36.19M / B36.10M</t>
        </is>
      </c>
      <c r="D996" s="18" t="inlineStr">
        <is>
          <t>8''</t>
        </is>
      </c>
      <c r="E996" s="98" t="n">
        <v>200</v>
      </c>
      <c r="F996" s="18" t="inlineStr">
        <is>
          <t>XXS</t>
        </is>
      </c>
      <c r="G996" s="20" t="n">
        <v>8.625</v>
      </c>
      <c r="H996" s="82" t="n">
        <v>219.07</v>
      </c>
      <c r="I996" s="20" t="n">
        <v>0.875</v>
      </c>
      <c r="J996" s="82" t="n">
        <v>22.22</v>
      </c>
      <c r="K996" s="20">
        <f>ROUND((H996-J996)*J996*IF(B996="Carbon Steel",$K$7,IF(B996="Stainless Steel 304",$K$8,$L$8)), 3)</f>
        <v/>
      </c>
      <c r="L996" s="82">
        <f>ROUND(K996*$G$5, 2)</f>
        <v/>
      </c>
      <c r="M996" s="98">
        <f>INT($G$6/H996)</f>
        <v/>
      </c>
      <c r="N996" s="98">
        <f>IF(M996=0, 0, IF(OR($K$6="Square Grid", M996=1), INT($G$7/H996), IF($G$7&lt;H996, 0, 1+INT(($G$7-H996)/(0.8660254*H996)))))</f>
        <v/>
      </c>
      <c r="O996" s="84">
        <f>IF(OR(M996=0,N996=0), 0, IF(OR($K$6="Square Grid", M996=1), M996*N996*$K$5, (INT((N996+1)/2)*M996 + INT(N996/2)*IF(($G$6-M996*H996)&gt;=0.5*H996, M996, M996-1))*$K$5))</f>
        <v/>
      </c>
      <c r="P996" s="84">
        <f>IF(L996&lt;=0, 0, INT($G$8/L996))</f>
        <v/>
      </c>
      <c r="Q996" s="95">
        <f>MIN(O996, P996)</f>
        <v/>
      </c>
      <c r="R996" s="96">
        <f>ROUND((Q996*L996)/1000, 2)</f>
        <v/>
      </c>
      <c r="S996" s="85">
        <f>IF($C$8&gt;0, R996/$C$8, 0)</f>
        <v/>
      </c>
      <c r="T996" s="85">
        <f>IF(O996&gt;0, Q996/O996, 0)</f>
        <v/>
      </c>
      <c r="U996" s="18">
        <f>IF(Q996=0, "Exceeds Limit", IF(P996&lt;=O996, "Weight Limited", "Volume Limited"))</f>
        <v/>
      </c>
      <c r="V996" s="100">
        <f>B996&amp;"|"&amp;D996&amp;"|"&amp;F996</f>
        <v/>
      </c>
    </row>
    <row r="997" ht="19" customHeight="1">
      <c r="A997" s="93" t="n">
        <v>987</v>
      </c>
      <c r="B997" s="101" t="inlineStr">
        <is>
          <t>Stainless Steel 316</t>
        </is>
      </c>
      <c r="C997" s="13" t="inlineStr">
        <is>
          <t>ASME B36.19M / B36.10M</t>
        </is>
      </c>
      <c r="D997" s="12" t="inlineStr">
        <is>
          <t>10''</t>
        </is>
      </c>
      <c r="E997" s="93" t="n">
        <v>250</v>
      </c>
      <c r="F997" s="12" t="inlineStr">
        <is>
          <t>5S</t>
        </is>
      </c>
      <c r="G997" s="14" t="n">
        <v>10.75</v>
      </c>
      <c r="H997" s="78" t="n">
        <v>273.05</v>
      </c>
      <c r="I997" s="14" t="n">
        <v>0.134</v>
      </c>
      <c r="J997" s="78" t="n">
        <v>3.4</v>
      </c>
      <c r="K997" s="14">
        <f>ROUND((H997-J997)*J997*IF(B997="Carbon Steel",$K$7,IF(B997="Stainless Steel 304",$K$8,$L$8)), 3)</f>
        <v/>
      </c>
      <c r="L997" s="78">
        <f>ROUND(K997*$G$5, 2)</f>
        <v/>
      </c>
      <c r="M997" s="93">
        <f>INT($G$6/H997)</f>
        <v/>
      </c>
      <c r="N997" s="93">
        <f>IF(M997=0, 0, IF(OR($K$6="Square Grid", M997=1), INT($G$7/H997), IF($G$7&lt;H997, 0, 1+INT(($G$7-H997)/(0.8660254*H997)))))</f>
        <v/>
      </c>
      <c r="O997" s="59">
        <f>IF(OR(M997=0,N997=0), 0, IF(OR($K$6="Square Grid", M997=1), M997*N997*$K$5, (INT((N997+1)/2)*M997 + INT(N997/2)*IF(($G$6-M997*H997)&gt;=0.5*H997, M997, M997-1))*$K$5))</f>
        <v/>
      </c>
      <c r="P997" s="59">
        <f>IF(L997&lt;=0, 0, INT($G$8/L997))</f>
        <v/>
      </c>
      <c r="Q997" s="95">
        <f>MIN(O997, P997)</f>
        <v/>
      </c>
      <c r="R997" s="96">
        <f>ROUND((Q997*L997)/1000, 2)</f>
        <v/>
      </c>
      <c r="S997" s="79">
        <f>IF($C$8&gt;0, R997/$C$8, 0)</f>
        <v/>
      </c>
      <c r="T997" s="79">
        <f>IF(O997&gt;0, Q997/O997, 0)</f>
        <v/>
      </c>
      <c r="U997" s="12">
        <f>IF(Q997=0, "Exceeds Limit", IF(P997&lt;=O997, "Weight Limited", "Volume Limited"))</f>
        <v/>
      </c>
      <c r="V997" s="97">
        <f>B997&amp;"|"&amp;D997&amp;"|"&amp;F997</f>
        <v/>
      </c>
    </row>
    <row r="998" ht="19" customHeight="1">
      <c r="A998" s="98" t="n">
        <v>988</v>
      </c>
      <c r="B998" s="102" t="inlineStr">
        <is>
          <t>Stainless Steel 316</t>
        </is>
      </c>
      <c r="C998" s="19" t="inlineStr">
        <is>
          <t>ASME B36.19M / B36.10M</t>
        </is>
      </c>
      <c r="D998" s="18" t="inlineStr">
        <is>
          <t>10''</t>
        </is>
      </c>
      <c r="E998" s="98" t="n">
        <v>250</v>
      </c>
      <c r="F998" s="18" t="inlineStr">
        <is>
          <t>5</t>
        </is>
      </c>
      <c r="G998" s="20" t="n">
        <v>10.75</v>
      </c>
      <c r="H998" s="82" t="n">
        <v>273.05</v>
      </c>
      <c r="I998" s="20" t="n">
        <v>0.134</v>
      </c>
      <c r="J998" s="82" t="n">
        <v>3.4</v>
      </c>
      <c r="K998" s="20">
        <f>ROUND((H998-J998)*J998*IF(B998="Carbon Steel",$K$7,IF(B998="Stainless Steel 304",$K$8,$L$8)), 3)</f>
        <v/>
      </c>
      <c r="L998" s="82">
        <f>ROUND(K998*$G$5, 2)</f>
        <v/>
      </c>
      <c r="M998" s="98">
        <f>INT($G$6/H998)</f>
        <v/>
      </c>
      <c r="N998" s="98">
        <f>IF(M998=0, 0, IF(OR($K$6="Square Grid", M998=1), INT($G$7/H998), IF($G$7&lt;H998, 0, 1+INT(($G$7-H998)/(0.8660254*H998)))))</f>
        <v/>
      </c>
      <c r="O998" s="84">
        <f>IF(OR(M998=0,N998=0), 0, IF(OR($K$6="Square Grid", M998=1), M998*N998*$K$5, (INT((N998+1)/2)*M998 + INT(N998/2)*IF(($G$6-M998*H998)&gt;=0.5*H998, M998, M998-1))*$K$5))</f>
        <v/>
      </c>
      <c r="P998" s="84">
        <f>IF(L998&lt;=0, 0, INT($G$8/L998))</f>
        <v/>
      </c>
      <c r="Q998" s="95">
        <f>MIN(O998, P998)</f>
        <v/>
      </c>
      <c r="R998" s="96">
        <f>ROUND((Q998*L998)/1000, 2)</f>
        <v/>
      </c>
      <c r="S998" s="85">
        <f>IF($C$8&gt;0, R998/$C$8, 0)</f>
        <v/>
      </c>
      <c r="T998" s="85">
        <f>IF(O998&gt;0, Q998/O998, 0)</f>
        <v/>
      </c>
      <c r="U998" s="18">
        <f>IF(Q998=0, "Exceeds Limit", IF(P998&lt;=O998, "Weight Limited", "Volume Limited"))</f>
        <v/>
      </c>
      <c r="V998" s="100">
        <f>B998&amp;"|"&amp;D998&amp;"|"&amp;F998</f>
        <v/>
      </c>
    </row>
    <row r="999" ht="19" customHeight="1">
      <c r="A999" s="93" t="n">
        <v>989</v>
      </c>
      <c r="B999" s="101" t="inlineStr">
        <is>
          <t>Stainless Steel 316</t>
        </is>
      </c>
      <c r="C999" s="13" t="inlineStr">
        <is>
          <t>ASME B36.19M / B36.10M</t>
        </is>
      </c>
      <c r="D999" s="12" t="inlineStr">
        <is>
          <t>10''</t>
        </is>
      </c>
      <c r="E999" s="93" t="n">
        <v>250</v>
      </c>
      <c r="F999" s="12" t="inlineStr">
        <is>
          <t>10S</t>
        </is>
      </c>
      <c r="G999" s="14" t="n">
        <v>10.75</v>
      </c>
      <c r="H999" s="78" t="n">
        <v>273.05</v>
      </c>
      <c r="I999" s="14" t="n">
        <v>0.165</v>
      </c>
      <c r="J999" s="78" t="n">
        <v>4.19</v>
      </c>
      <c r="K999" s="14">
        <f>ROUND((H999-J999)*J999*IF(B999="Carbon Steel",$K$7,IF(B999="Stainless Steel 304",$K$8,$L$8)), 3)</f>
        <v/>
      </c>
      <c r="L999" s="78">
        <f>ROUND(K999*$G$5, 2)</f>
        <v/>
      </c>
      <c r="M999" s="93">
        <f>INT($G$6/H999)</f>
        <v/>
      </c>
      <c r="N999" s="93">
        <f>IF(M999=0, 0, IF(OR($K$6="Square Grid", M999=1), INT($G$7/H999), IF($G$7&lt;H999, 0, 1+INT(($G$7-H999)/(0.8660254*H999)))))</f>
        <v/>
      </c>
      <c r="O999" s="59">
        <f>IF(OR(M999=0,N999=0), 0, IF(OR($K$6="Square Grid", M999=1), M999*N999*$K$5, (INT((N999+1)/2)*M999 + INT(N999/2)*IF(($G$6-M999*H999)&gt;=0.5*H999, M999, M999-1))*$K$5))</f>
        <v/>
      </c>
      <c r="P999" s="59">
        <f>IF(L999&lt;=0, 0, INT($G$8/L999))</f>
        <v/>
      </c>
      <c r="Q999" s="95">
        <f>MIN(O999, P999)</f>
        <v/>
      </c>
      <c r="R999" s="96">
        <f>ROUND((Q999*L999)/1000, 2)</f>
        <v/>
      </c>
      <c r="S999" s="79">
        <f>IF($C$8&gt;0, R999/$C$8, 0)</f>
        <v/>
      </c>
      <c r="T999" s="79">
        <f>IF(O999&gt;0, Q999/O999, 0)</f>
        <v/>
      </c>
      <c r="U999" s="12">
        <f>IF(Q999=0, "Exceeds Limit", IF(P999&lt;=O999, "Weight Limited", "Volume Limited"))</f>
        <v/>
      </c>
      <c r="V999" s="97">
        <f>B999&amp;"|"&amp;D999&amp;"|"&amp;F999</f>
        <v/>
      </c>
    </row>
    <row r="1000" ht="19" customHeight="1">
      <c r="A1000" s="98" t="n">
        <v>990</v>
      </c>
      <c r="B1000" s="102" t="inlineStr">
        <is>
          <t>Stainless Steel 316</t>
        </is>
      </c>
      <c r="C1000" s="19" t="inlineStr">
        <is>
          <t>ASME B36.19M / B36.10M</t>
        </is>
      </c>
      <c r="D1000" s="18" t="inlineStr">
        <is>
          <t>10''</t>
        </is>
      </c>
      <c r="E1000" s="98" t="n">
        <v>250</v>
      </c>
      <c r="F1000" s="18" t="inlineStr">
        <is>
          <t>10</t>
        </is>
      </c>
      <c r="G1000" s="20" t="n">
        <v>10.75</v>
      </c>
      <c r="H1000" s="82" t="n">
        <v>273.05</v>
      </c>
      <c r="I1000" s="20" t="n">
        <v>0.165</v>
      </c>
      <c r="J1000" s="82" t="n">
        <v>4.19</v>
      </c>
      <c r="K1000" s="20">
        <f>ROUND((H1000-J1000)*J1000*IF(B1000="Carbon Steel",$K$7,IF(B1000="Stainless Steel 304",$K$8,$L$8)), 3)</f>
        <v/>
      </c>
      <c r="L1000" s="82">
        <f>ROUND(K1000*$G$5, 2)</f>
        <v/>
      </c>
      <c r="M1000" s="98">
        <f>INT($G$6/H1000)</f>
        <v/>
      </c>
      <c r="N1000" s="98">
        <f>IF(M1000=0, 0, IF(OR($K$6="Square Grid", M1000=1), INT($G$7/H1000), IF($G$7&lt;H1000, 0, 1+INT(($G$7-H1000)/(0.8660254*H1000)))))</f>
        <v/>
      </c>
      <c r="O1000" s="84">
        <f>IF(OR(M1000=0,N1000=0), 0, IF(OR($K$6="Square Grid", M1000=1), M1000*N1000*$K$5, (INT((N1000+1)/2)*M1000 + INT(N1000/2)*IF(($G$6-M1000*H1000)&gt;=0.5*H1000, M1000, M1000-1))*$K$5))</f>
        <v/>
      </c>
      <c r="P1000" s="84">
        <f>IF(L1000&lt;=0, 0, INT($G$8/L1000))</f>
        <v/>
      </c>
      <c r="Q1000" s="95">
        <f>MIN(O1000, P1000)</f>
        <v/>
      </c>
      <c r="R1000" s="96">
        <f>ROUND((Q1000*L1000)/1000, 2)</f>
        <v/>
      </c>
      <c r="S1000" s="85">
        <f>IF($C$8&gt;0, R1000/$C$8, 0)</f>
        <v/>
      </c>
      <c r="T1000" s="85">
        <f>IF(O1000&gt;0, Q1000/O1000, 0)</f>
        <v/>
      </c>
      <c r="U1000" s="18">
        <f>IF(Q1000=0, "Exceeds Limit", IF(P1000&lt;=O1000, "Weight Limited", "Volume Limited"))</f>
        <v/>
      </c>
      <c r="V1000" s="100">
        <f>B1000&amp;"|"&amp;D1000&amp;"|"&amp;F1000</f>
        <v/>
      </c>
    </row>
    <row r="1001" ht="19" customHeight="1">
      <c r="A1001" s="93" t="n">
        <v>991</v>
      </c>
      <c r="B1001" s="101" t="inlineStr">
        <is>
          <t>Stainless Steel 316</t>
        </is>
      </c>
      <c r="C1001" s="13" t="inlineStr">
        <is>
          <t>ASME B36.19M / B36.10M</t>
        </is>
      </c>
      <c r="D1001" s="12" t="inlineStr">
        <is>
          <t>10''</t>
        </is>
      </c>
      <c r="E1001" s="93" t="n">
        <v>250</v>
      </c>
      <c r="F1001" s="12" t="inlineStr">
        <is>
          <t>20</t>
        </is>
      </c>
      <c r="G1001" s="14" t="n">
        <v>10.75</v>
      </c>
      <c r="H1001" s="78" t="n">
        <v>273.05</v>
      </c>
      <c r="I1001" s="14" t="n">
        <v>0.25</v>
      </c>
      <c r="J1001" s="78" t="n">
        <v>6.35</v>
      </c>
      <c r="K1001" s="14">
        <f>ROUND((H1001-J1001)*J1001*IF(B1001="Carbon Steel",$K$7,IF(B1001="Stainless Steel 304",$K$8,$L$8)), 3)</f>
        <v/>
      </c>
      <c r="L1001" s="78">
        <f>ROUND(K1001*$G$5, 2)</f>
        <v/>
      </c>
      <c r="M1001" s="93">
        <f>INT($G$6/H1001)</f>
        <v/>
      </c>
      <c r="N1001" s="93">
        <f>IF(M1001=0, 0, IF(OR($K$6="Square Grid", M1001=1), INT($G$7/H1001), IF($G$7&lt;H1001, 0, 1+INT(($G$7-H1001)/(0.8660254*H1001)))))</f>
        <v/>
      </c>
      <c r="O1001" s="59">
        <f>IF(OR(M1001=0,N1001=0), 0, IF(OR($K$6="Square Grid", M1001=1), M1001*N1001*$K$5, (INT((N1001+1)/2)*M1001 + INT(N1001/2)*IF(($G$6-M1001*H1001)&gt;=0.5*H1001, M1001, M1001-1))*$K$5))</f>
        <v/>
      </c>
      <c r="P1001" s="59">
        <f>IF(L1001&lt;=0, 0, INT($G$8/L1001))</f>
        <v/>
      </c>
      <c r="Q1001" s="95">
        <f>MIN(O1001, P1001)</f>
        <v/>
      </c>
      <c r="R1001" s="96">
        <f>ROUND((Q1001*L1001)/1000, 2)</f>
        <v/>
      </c>
      <c r="S1001" s="79">
        <f>IF($C$8&gt;0, R1001/$C$8, 0)</f>
        <v/>
      </c>
      <c r="T1001" s="79">
        <f>IF(O1001&gt;0, Q1001/O1001, 0)</f>
        <v/>
      </c>
      <c r="U1001" s="12">
        <f>IF(Q1001=0, "Exceeds Limit", IF(P1001&lt;=O1001, "Weight Limited", "Volume Limited"))</f>
        <v/>
      </c>
      <c r="V1001" s="97">
        <f>B1001&amp;"|"&amp;D1001&amp;"|"&amp;F1001</f>
        <v/>
      </c>
    </row>
    <row r="1002" ht="19" customHeight="1">
      <c r="A1002" s="98" t="n">
        <v>992</v>
      </c>
      <c r="B1002" s="102" t="inlineStr">
        <is>
          <t>Stainless Steel 316</t>
        </is>
      </c>
      <c r="C1002" s="19" t="inlineStr">
        <is>
          <t>ASME B36.19M / B36.10M</t>
        </is>
      </c>
      <c r="D1002" s="18" t="inlineStr">
        <is>
          <t>10''</t>
        </is>
      </c>
      <c r="E1002" s="98" t="n">
        <v>250</v>
      </c>
      <c r="F1002" s="18" t="inlineStr">
        <is>
          <t>30</t>
        </is>
      </c>
      <c r="G1002" s="20" t="n">
        <v>10.75</v>
      </c>
      <c r="H1002" s="82" t="n">
        <v>273.05</v>
      </c>
      <c r="I1002" s="20" t="n">
        <v>0.307</v>
      </c>
      <c r="J1002" s="82" t="n">
        <v>7.8</v>
      </c>
      <c r="K1002" s="20">
        <f>ROUND((H1002-J1002)*J1002*IF(B1002="Carbon Steel",$K$7,IF(B1002="Stainless Steel 304",$K$8,$L$8)), 3)</f>
        <v/>
      </c>
      <c r="L1002" s="82">
        <f>ROUND(K1002*$G$5, 2)</f>
        <v/>
      </c>
      <c r="M1002" s="98">
        <f>INT($G$6/H1002)</f>
        <v/>
      </c>
      <c r="N1002" s="98">
        <f>IF(M1002=0, 0, IF(OR($K$6="Square Grid", M1002=1), INT($G$7/H1002), IF($G$7&lt;H1002, 0, 1+INT(($G$7-H1002)/(0.8660254*H1002)))))</f>
        <v/>
      </c>
      <c r="O1002" s="84">
        <f>IF(OR(M1002=0,N1002=0), 0, IF(OR($K$6="Square Grid", M1002=1), M1002*N1002*$K$5, (INT((N1002+1)/2)*M1002 + INT(N1002/2)*IF(($G$6-M1002*H1002)&gt;=0.5*H1002, M1002, M1002-1))*$K$5))</f>
        <v/>
      </c>
      <c r="P1002" s="84">
        <f>IF(L1002&lt;=0, 0, INT($G$8/L1002))</f>
        <v/>
      </c>
      <c r="Q1002" s="95">
        <f>MIN(O1002, P1002)</f>
        <v/>
      </c>
      <c r="R1002" s="96">
        <f>ROUND((Q1002*L1002)/1000, 2)</f>
        <v/>
      </c>
      <c r="S1002" s="85">
        <f>IF($C$8&gt;0, R1002/$C$8, 0)</f>
        <v/>
      </c>
      <c r="T1002" s="85">
        <f>IF(O1002&gt;0, Q1002/O1002, 0)</f>
        <v/>
      </c>
      <c r="U1002" s="18">
        <f>IF(Q1002=0, "Exceeds Limit", IF(P1002&lt;=O1002, "Weight Limited", "Volume Limited"))</f>
        <v/>
      </c>
      <c r="V1002" s="100">
        <f>B1002&amp;"|"&amp;D1002&amp;"|"&amp;F1002</f>
        <v/>
      </c>
    </row>
    <row r="1003" ht="19" customHeight="1">
      <c r="A1003" s="93" t="n">
        <v>993</v>
      </c>
      <c r="B1003" s="101" t="inlineStr">
        <is>
          <t>Stainless Steel 316</t>
        </is>
      </c>
      <c r="C1003" s="13" t="inlineStr">
        <is>
          <t>ASME B36.19M / B36.10M</t>
        </is>
      </c>
      <c r="D1003" s="12" t="inlineStr">
        <is>
          <t>10''</t>
        </is>
      </c>
      <c r="E1003" s="93" t="n">
        <v>250</v>
      </c>
      <c r="F1003" s="12" t="inlineStr">
        <is>
          <t>40S</t>
        </is>
      </c>
      <c r="G1003" s="14" t="n">
        <v>10.75</v>
      </c>
      <c r="H1003" s="78" t="n">
        <v>273.05</v>
      </c>
      <c r="I1003" s="14" t="n">
        <v>0.365</v>
      </c>
      <c r="J1003" s="78" t="n">
        <v>9.27</v>
      </c>
      <c r="K1003" s="14">
        <f>ROUND((H1003-J1003)*J1003*IF(B1003="Carbon Steel",$K$7,IF(B1003="Stainless Steel 304",$K$8,$L$8)), 3)</f>
        <v/>
      </c>
      <c r="L1003" s="78">
        <f>ROUND(K1003*$G$5, 2)</f>
        <v/>
      </c>
      <c r="M1003" s="93">
        <f>INT($G$6/H1003)</f>
        <v/>
      </c>
      <c r="N1003" s="93">
        <f>IF(M1003=0, 0, IF(OR($K$6="Square Grid", M1003=1), INT($G$7/H1003), IF($G$7&lt;H1003, 0, 1+INT(($G$7-H1003)/(0.8660254*H1003)))))</f>
        <v/>
      </c>
      <c r="O1003" s="59">
        <f>IF(OR(M1003=0,N1003=0), 0, IF(OR($K$6="Square Grid", M1003=1), M1003*N1003*$K$5, (INT((N1003+1)/2)*M1003 + INT(N1003/2)*IF(($G$6-M1003*H1003)&gt;=0.5*H1003, M1003, M1003-1))*$K$5))</f>
        <v/>
      </c>
      <c r="P1003" s="59">
        <f>IF(L1003&lt;=0, 0, INT($G$8/L1003))</f>
        <v/>
      </c>
      <c r="Q1003" s="95">
        <f>MIN(O1003, P1003)</f>
        <v/>
      </c>
      <c r="R1003" s="96">
        <f>ROUND((Q1003*L1003)/1000, 2)</f>
        <v/>
      </c>
      <c r="S1003" s="79">
        <f>IF($C$8&gt;0, R1003/$C$8, 0)</f>
        <v/>
      </c>
      <c r="T1003" s="79">
        <f>IF(O1003&gt;0, Q1003/O1003, 0)</f>
        <v/>
      </c>
      <c r="U1003" s="12">
        <f>IF(Q1003=0, "Exceeds Limit", IF(P1003&lt;=O1003, "Weight Limited", "Volume Limited"))</f>
        <v/>
      </c>
      <c r="V1003" s="97">
        <f>B1003&amp;"|"&amp;D1003&amp;"|"&amp;F1003</f>
        <v/>
      </c>
    </row>
    <row r="1004" ht="19" customHeight="1">
      <c r="A1004" s="98" t="n">
        <v>994</v>
      </c>
      <c r="B1004" s="102" t="inlineStr">
        <is>
          <t>Stainless Steel 316</t>
        </is>
      </c>
      <c r="C1004" s="19" t="inlineStr">
        <is>
          <t>ASME B36.19M / B36.10M</t>
        </is>
      </c>
      <c r="D1004" s="18" t="inlineStr">
        <is>
          <t>10''</t>
        </is>
      </c>
      <c r="E1004" s="98" t="n">
        <v>250</v>
      </c>
      <c r="F1004" s="18" t="inlineStr">
        <is>
          <t>STD</t>
        </is>
      </c>
      <c r="G1004" s="20" t="n">
        <v>10.75</v>
      </c>
      <c r="H1004" s="82" t="n">
        <v>273.05</v>
      </c>
      <c r="I1004" s="20" t="n">
        <v>0.365</v>
      </c>
      <c r="J1004" s="82" t="n">
        <v>9.27</v>
      </c>
      <c r="K1004" s="20">
        <f>ROUND((H1004-J1004)*J1004*IF(B1004="Carbon Steel",$K$7,IF(B1004="Stainless Steel 304",$K$8,$L$8)), 3)</f>
        <v/>
      </c>
      <c r="L1004" s="82">
        <f>ROUND(K1004*$G$5, 2)</f>
        <v/>
      </c>
      <c r="M1004" s="98">
        <f>INT($G$6/H1004)</f>
        <v/>
      </c>
      <c r="N1004" s="98">
        <f>IF(M1004=0, 0, IF(OR($K$6="Square Grid", M1004=1), INT($G$7/H1004), IF($G$7&lt;H1004, 0, 1+INT(($G$7-H1004)/(0.8660254*H1004)))))</f>
        <v/>
      </c>
      <c r="O1004" s="84">
        <f>IF(OR(M1004=0,N1004=0), 0, IF(OR($K$6="Square Grid", M1004=1), M1004*N1004*$K$5, (INT((N1004+1)/2)*M1004 + INT(N1004/2)*IF(($G$6-M1004*H1004)&gt;=0.5*H1004, M1004, M1004-1))*$K$5))</f>
        <v/>
      </c>
      <c r="P1004" s="84">
        <f>IF(L1004&lt;=0, 0, INT($G$8/L1004))</f>
        <v/>
      </c>
      <c r="Q1004" s="95">
        <f>MIN(O1004, P1004)</f>
        <v/>
      </c>
      <c r="R1004" s="96">
        <f>ROUND((Q1004*L1004)/1000, 2)</f>
        <v/>
      </c>
      <c r="S1004" s="85">
        <f>IF($C$8&gt;0, R1004/$C$8, 0)</f>
        <v/>
      </c>
      <c r="T1004" s="85">
        <f>IF(O1004&gt;0, Q1004/O1004, 0)</f>
        <v/>
      </c>
      <c r="U1004" s="18">
        <f>IF(Q1004=0, "Exceeds Limit", IF(P1004&lt;=O1004, "Weight Limited", "Volume Limited"))</f>
        <v/>
      </c>
      <c r="V1004" s="100">
        <f>B1004&amp;"|"&amp;D1004&amp;"|"&amp;F1004</f>
        <v/>
      </c>
    </row>
    <row r="1005" ht="19" customHeight="1">
      <c r="A1005" s="93" t="n">
        <v>995</v>
      </c>
      <c r="B1005" s="101" t="inlineStr">
        <is>
          <t>Stainless Steel 316</t>
        </is>
      </c>
      <c r="C1005" s="13" t="inlineStr">
        <is>
          <t>ASME B36.19M / B36.10M</t>
        </is>
      </c>
      <c r="D1005" s="12" t="inlineStr">
        <is>
          <t>10''</t>
        </is>
      </c>
      <c r="E1005" s="93" t="n">
        <v>250</v>
      </c>
      <c r="F1005" s="12" t="inlineStr">
        <is>
          <t>40</t>
        </is>
      </c>
      <c r="G1005" s="14" t="n">
        <v>10.75</v>
      </c>
      <c r="H1005" s="78" t="n">
        <v>273.05</v>
      </c>
      <c r="I1005" s="14" t="n">
        <v>0.365</v>
      </c>
      <c r="J1005" s="78" t="n">
        <v>9.27</v>
      </c>
      <c r="K1005" s="14">
        <f>ROUND((H1005-J1005)*J1005*IF(B1005="Carbon Steel",$K$7,IF(B1005="Stainless Steel 304",$K$8,$L$8)), 3)</f>
        <v/>
      </c>
      <c r="L1005" s="78">
        <f>ROUND(K1005*$G$5, 2)</f>
        <v/>
      </c>
      <c r="M1005" s="93">
        <f>INT($G$6/H1005)</f>
        <v/>
      </c>
      <c r="N1005" s="93">
        <f>IF(M1005=0, 0, IF(OR($K$6="Square Grid", M1005=1), INT($G$7/H1005), IF($G$7&lt;H1005, 0, 1+INT(($G$7-H1005)/(0.8660254*H1005)))))</f>
        <v/>
      </c>
      <c r="O1005" s="59">
        <f>IF(OR(M1005=0,N1005=0), 0, IF(OR($K$6="Square Grid", M1005=1), M1005*N1005*$K$5, (INT((N1005+1)/2)*M1005 + INT(N1005/2)*IF(($G$6-M1005*H1005)&gt;=0.5*H1005, M1005, M1005-1))*$K$5))</f>
        <v/>
      </c>
      <c r="P1005" s="59">
        <f>IF(L1005&lt;=0, 0, INT($G$8/L1005))</f>
        <v/>
      </c>
      <c r="Q1005" s="95">
        <f>MIN(O1005, P1005)</f>
        <v/>
      </c>
      <c r="R1005" s="96">
        <f>ROUND((Q1005*L1005)/1000, 2)</f>
        <v/>
      </c>
      <c r="S1005" s="79">
        <f>IF($C$8&gt;0, R1005/$C$8, 0)</f>
        <v/>
      </c>
      <c r="T1005" s="79">
        <f>IF(O1005&gt;0, Q1005/O1005, 0)</f>
        <v/>
      </c>
      <c r="U1005" s="12">
        <f>IF(Q1005=0, "Exceeds Limit", IF(P1005&lt;=O1005, "Weight Limited", "Volume Limited"))</f>
        <v/>
      </c>
      <c r="V1005" s="97">
        <f>B1005&amp;"|"&amp;D1005&amp;"|"&amp;F1005</f>
        <v/>
      </c>
    </row>
    <row r="1006" ht="19" customHeight="1">
      <c r="A1006" s="98" t="n">
        <v>996</v>
      </c>
      <c r="B1006" s="102" t="inlineStr">
        <is>
          <t>Stainless Steel 316</t>
        </is>
      </c>
      <c r="C1006" s="19" t="inlineStr">
        <is>
          <t>ASME B36.19M / B36.10M</t>
        </is>
      </c>
      <c r="D1006" s="18" t="inlineStr">
        <is>
          <t>10''</t>
        </is>
      </c>
      <c r="E1006" s="98" t="n">
        <v>250</v>
      </c>
      <c r="F1006" s="18" t="inlineStr">
        <is>
          <t>60</t>
        </is>
      </c>
      <c r="G1006" s="20" t="n">
        <v>10.75</v>
      </c>
      <c r="H1006" s="82" t="n">
        <v>273.05</v>
      </c>
      <c r="I1006" s="20" t="n">
        <v>0.5</v>
      </c>
      <c r="J1006" s="82" t="n">
        <v>12.7</v>
      </c>
      <c r="K1006" s="20">
        <f>ROUND((H1006-J1006)*J1006*IF(B1006="Carbon Steel",$K$7,IF(B1006="Stainless Steel 304",$K$8,$L$8)), 3)</f>
        <v/>
      </c>
      <c r="L1006" s="82">
        <f>ROUND(K1006*$G$5, 2)</f>
        <v/>
      </c>
      <c r="M1006" s="98">
        <f>INT($G$6/H1006)</f>
        <v/>
      </c>
      <c r="N1006" s="98">
        <f>IF(M1006=0, 0, IF(OR($K$6="Square Grid", M1006=1), INT($G$7/H1006), IF($G$7&lt;H1006, 0, 1+INT(($G$7-H1006)/(0.8660254*H1006)))))</f>
        <v/>
      </c>
      <c r="O1006" s="84">
        <f>IF(OR(M1006=0,N1006=0), 0, IF(OR($K$6="Square Grid", M1006=1), M1006*N1006*$K$5, (INT((N1006+1)/2)*M1006 + INT(N1006/2)*IF(($G$6-M1006*H1006)&gt;=0.5*H1006, M1006, M1006-1))*$K$5))</f>
        <v/>
      </c>
      <c r="P1006" s="84">
        <f>IF(L1006&lt;=0, 0, INT($G$8/L1006))</f>
        <v/>
      </c>
      <c r="Q1006" s="95">
        <f>MIN(O1006, P1006)</f>
        <v/>
      </c>
      <c r="R1006" s="96">
        <f>ROUND((Q1006*L1006)/1000, 2)</f>
        <v/>
      </c>
      <c r="S1006" s="85">
        <f>IF($C$8&gt;0, R1006/$C$8, 0)</f>
        <v/>
      </c>
      <c r="T1006" s="85">
        <f>IF(O1006&gt;0, Q1006/O1006, 0)</f>
        <v/>
      </c>
      <c r="U1006" s="18">
        <f>IF(Q1006=0, "Exceeds Limit", IF(P1006&lt;=O1006, "Weight Limited", "Volume Limited"))</f>
        <v/>
      </c>
      <c r="V1006" s="100">
        <f>B1006&amp;"|"&amp;D1006&amp;"|"&amp;F1006</f>
        <v/>
      </c>
    </row>
    <row r="1007" ht="19" customHeight="1">
      <c r="A1007" s="93" t="n">
        <v>997</v>
      </c>
      <c r="B1007" s="101" t="inlineStr">
        <is>
          <t>Stainless Steel 316</t>
        </is>
      </c>
      <c r="C1007" s="13" t="inlineStr">
        <is>
          <t>ASME B36.19M / B36.10M</t>
        </is>
      </c>
      <c r="D1007" s="12" t="inlineStr">
        <is>
          <t>10''</t>
        </is>
      </c>
      <c r="E1007" s="93" t="n">
        <v>250</v>
      </c>
      <c r="F1007" s="12" t="inlineStr">
        <is>
          <t>80S</t>
        </is>
      </c>
      <c r="G1007" s="14" t="n">
        <v>10.75</v>
      </c>
      <c r="H1007" s="78" t="n">
        <v>273.05</v>
      </c>
      <c r="I1007" s="14" t="n">
        <v>0.5</v>
      </c>
      <c r="J1007" s="78" t="n">
        <v>12.7</v>
      </c>
      <c r="K1007" s="14">
        <f>ROUND((H1007-J1007)*J1007*IF(B1007="Carbon Steel",$K$7,IF(B1007="Stainless Steel 304",$K$8,$L$8)), 3)</f>
        <v/>
      </c>
      <c r="L1007" s="78">
        <f>ROUND(K1007*$G$5, 2)</f>
        <v/>
      </c>
      <c r="M1007" s="93">
        <f>INT($G$6/H1007)</f>
        <v/>
      </c>
      <c r="N1007" s="93">
        <f>IF(M1007=0, 0, IF(OR($K$6="Square Grid", M1007=1), INT($G$7/H1007), IF($G$7&lt;H1007, 0, 1+INT(($G$7-H1007)/(0.8660254*H1007)))))</f>
        <v/>
      </c>
      <c r="O1007" s="59">
        <f>IF(OR(M1007=0,N1007=0), 0, IF(OR($K$6="Square Grid", M1007=1), M1007*N1007*$K$5, (INT((N1007+1)/2)*M1007 + INT(N1007/2)*IF(($G$6-M1007*H1007)&gt;=0.5*H1007, M1007, M1007-1))*$K$5))</f>
        <v/>
      </c>
      <c r="P1007" s="59">
        <f>IF(L1007&lt;=0, 0, INT($G$8/L1007))</f>
        <v/>
      </c>
      <c r="Q1007" s="95">
        <f>MIN(O1007, P1007)</f>
        <v/>
      </c>
      <c r="R1007" s="96">
        <f>ROUND((Q1007*L1007)/1000, 2)</f>
        <v/>
      </c>
      <c r="S1007" s="79">
        <f>IF($C$8&gt;0, R1007/$C$8, 0)</f>
        <v/>
      </c>
      <c r="T1007" s="79">
        <f>IF(O1007&gt;0, Q1007/O1007, 0)</f>
        <v/>
      </c>
      <c r="U1007" s="12">
        <f>IF(Q1007=0, "Exceeds Limit", IF(P1007&lt;=O1007, "Weight Limited", "Volume Limited"))</f>
        <v/>
      </c>
      <c r="V1007" s="97">
        <f>B1007&amp;"|"&amp;D1007&amp;"|"&amp;F1007</f>
        <v/>
      </c>
    </row>
    <row r="1008" ht="19" customHeight="1">
      <c r="A1008" s="98" t="n">
        <v>998</v>
      </c>
      <c r="B1008" s="102" t="inlineStr">
        <is>
          <t>Stainless Steel 316</t>
        </is>
      </c>
      <c r="C1008" s="19" t="inlineStr">
        <is>
          <t>ASME B36.19M / B36.10M</t>
        </is>
      </c>
      <c r="D1008" s="18" t="inlineStr">
        <is>
          <t>10''</t>
        </is>
      </c>
      <c r="E1008" s="98" t="n">
        <v>250</v>
      </c>
      <c r="F1008" s="18" t="inlineStr">
        <is>
          <t>XS</t>
        </is>
      </c>
      <c r="G1008" s="20" t="n">
        <v>10.75</v>
      </c>
      <c r="H1008" s="82" t="n">
        <v>273.05</v>
      </c>
      <c r="I1008" s="20" t="n">
        <v>0.5</v>
      </c>
      <c r="J1008" s="82" t="n">
        <v>12.7</v>
      </c>
      <c r="K1008" s="20">
        <f>ROUND((H1008-J1008)*J1008*IF(B1008="Carbon Steel",$K$7,IF(B1008="Stainless Steel 304",$K$8,$L$8)), 3)</f>
        <v/>
      </c>
      <c r="L1008" s="82">
        <f>ROUND(K1008*$G$5, 2)</f>
        <v/>
      </c>
      <c r="M1008" s="98">
        <f>INT($G$6/H1008)</f>
        <v/>
      </c>
      <c r="N1008" s="98">
        <f>IF(M1008=0, 0, IF(OR($K$6="Square Grid", M1008=1), INT($G$7/H1008), IF($G$7&lt;H1008, 0, 1+INT(($G$7-H1008)/(0.8660254*H1008)))))</f>
        <v/>
      </c>
      <c r="O1008" s="84">
        <f>IF(OR(M1008=0,N1008=0), 0, IF(OR($K$6="Square Grid", M1008=1), M1008*N1008*$K$5, (INT((N1008+1)/2)*M1008 + INT(N1008/2)*IF(($G$6-M1008*H1008)&gt;=0.5*H1008, M1008, M1008-1))*$K$5))</f>
        <v/>
      </c>
      <c r="P1008" s="84">
        <f>IF(L1008&lt;=0, 0, INT($G$8/L1008))</f>
        <v/>
      </c>
      <c r="Q1008" s="95">
        <f>MIN(O1008, P1008)</f>
        <v/>
      </c>
      <c r="R1008" s="96">
        <f>ROUND((Q1008*L1008)/1000, 2)</f>
        <v/>
      </c>
      <c r="S1008" s="85">
        <f>IF($C$8&gt;0, R1008/$C$8, 0)</f>
        <v/>
      </c>
      <c r="T1008" s="85">
        <f>IF(O1008&gt;0, Q1008/O1008, 0)</f>
        <v/>
      </c>
      <c r="U1008" s="18">
        <f>IF(Q1008=0, "Exceeds Limit", IF(P1008&lt;=O1008, "Weight Limited", "Volume Limited"))</f>
        <v/>
      </c>
      <c r="V1008" s="100">
        <f>B1008&amp;"|"&amp;D1008&amp;"|"&amp;F1008</f>
        <v/>
      </c>
    </row>
    <row r="1009" ht="19" customHeight="1">
      <c r="A1009" s="93" t="n">
        <v>999</v>
      </c>
      <c r="B1009" s="101" t="inlineStr">
        <is>
          <t>Stainless Steel 316</t>
        </is>
      </c>
      <c r="C1009" s="13" t="inlineStr">
        <is>
          <t>ASME B36.19M / B36.10M</t>
        </is>
      </c>
      <c r="D1009" s="12" t="inlineStr">
        <is>
          <t>10''</t>
        </is>
      </c>
      <c r="E1009" s="93" t="n">
        <v>250</v>
      </c>
      <c r="F1009" s="12" t="inlineStr">
        <is>
          <t>80</t>
        </is>
      </c>
      <c r="G1009" s="14" t="n">
        <v>10.75</v>
      </c>
      <c r="H1009" s="78" t="n">
        <v>273.05</v>
      </c>
      <c r="I1009" s="14" t="n">
        <v>0.594</v>
      </c>
      <c r="J1009" s="78" t="n">
        <v>15.09</v>
      </c>
      <c r="K1009" s="14">
        <f>ROUND((H1009-J1009)*J1009*IF(B1009="Carbon Steel",$K$7,IF(B1009="Stainless Steel 304",$K$8,$L$8)), 3)</f>
        <v/>
      </c>
      <c r="L1009" s="78">
        <f>ROUND(K1009*$G$5, 2)</f>
        <v/>
      </c>
      <c r="M1009" s="93">
        <f>INT($G$6/H1009)</f>
        <v/>
      </c>
      <c r="N1009" s="93">
        <f>IF(M1009=0, 0, IF(OR($K$6="Square Grid", M1009=1), INT($G$7/H1009), IF($G$7&lt;H1009, 0, 1+INT(($G$7-H1009)/(0.8660254*H1009)))))</f>
        <v/>
      </c>
      <c r="O1009" s="59">
        <f>IF(OR(M1009=0,N1009=0), 0, IF(OR($K$6="Square Grid", M1009=1), M1009*N1009*$K$5, (INT((N1009+1)/2)*M1009 + INT(N1009/2)*IF(($G$6-M1009*H1009)&gt;=0.5*H1009, M1009, M1009-1))*$K$5))</f>
        <v/>
      </c>
      <c r="P1009" s="59">
        <f>IF(L1009&lt;=0, 0, INT($G$8/L1009))</f>
        <v/>
      </c>
      <c r="Q1009" s="95">
        <f>MIN(O1009, P1009)</f>
        <v/>
      </c>
      <c r="R1009" s="96">
        <f>ROUND((Q1009*L1009)/1000, 2)</f>
        <v/>
      </c>
      <c r="S1009" s="79">
        <f>IF($C$8&gt;0, R1009/$C$8, 0)</f>
        <v/>
      </c>
      <c r="T1009" s="79">
        <f>IF(O1009&gt;0, Q1009/O1009, 0)</f>
        <v/>
      </c>
      <c r="U1009" s="12">
        <f>IF(Q1009=0, "Exceeds Limit", IF(P1009&lt;=O1009, "Weight Limited", "Volume Limited"))</f>
        <v/>
      </c>
      <c r="V1009" s="97">
        <f>B1009&amp;"|"&amp;D1009&amp;"|"&amp;F1009</f>
        <v/>
      </c>
    </row>
    <row r="1010" ht="19" customHeight="1">
      <c r="A1010" s="98" t="n">
        <v>1000</v>
      </c>
      <c r="B1010" s="102" t="inlineStr">
        <is>
          <t>Stainless Steel 316</t>
        </is>
      </c>
      <c r="C1010" s="19" t="inlineStr">
        <is>
          <t>ASME B36.19M / B36.10M</t>
        </is>
      </c>
      <c r="D1010" s="18" t="inlineStr">
        <is>
          <t>10''</t>
        </is>
      </c>
      <c r="E1010" s="98" t="n">
        <v>250</v>
      </c>
      <c r="F1010" s="18" t="inlineStr">
        <is>
          <t>100</t>
        </is>
      </c>
      <c r="G1010" s="20" t="n">
        <v>10.75</v>
      </c>
      <c r="H1010" s="82" t="n">
        <v>273.05</v>
      </c>
      <c r="I1010" s="20" t="n">
        <v>0.719</v>
      </c>
      <c r="J1010" s="82" t="n">
        <v>18.26</v>
      </c>
      <c r="K1010" s="20">
        <f>ROUND((H1010-J1010)*J1010*IF(B1010="Carbon Steel",$K$7,IF(B1010="Stainless Steel 304",$K$8,$L$8)), 3)</f>
        <v/>
      </c>
      <c r="L1010" s="82">
        <f>ROUND(K1010*$G$5, 2)</f>
        <v/>
      </c>
      <c r="M1010" s="98">
        <f>INT($G$6/H1010)</f>
        <v/>
      </c>
      <c r="N1010" s="98">
        <f>IF(M1010=0, 0, IF(OR($K$6="Square Grid", M1010=1), INT($G$7/H1010), IF($G$7&lt;H1010, 0, 1+INT(($G$7-H1010)/(0.8660254*H1010)))))</f>
        <v/>
      </c>
      <c r="O1010" s="84">
        <f>IF(OR(M1010=0,N1010=0), 0, IF(OR($K$6="Square Grid", M1010=1), M1010*N1010*$K$5, (INT((N1010+1)/2)*M1010 + INT(N1010/2)*IF(($G$6-M1010*H1010)&gt;=0.5*H1010, M1010, M1010-1))*$K$5))</f>
        <v/>
      </c>
      <c r="P1010" s="84">
        <f>IF(L1010&lt;=0, 0, INT($G$8/L1010))</f>
        <v/>
      </c>
      <c r="Q1010" s="95">
        <f>MIN(O1010, P1010)</f>
        <v/>
      </c>
      <c r="R1010" s="96">
        <f>ROUND((Q1010*L1010)/1000, 2)</f>
        <v/>
      </c>
      <c r="S1010" s="85">
        <f>IF($C$8&gt;0, R1010/$C$8, 0)</f>
        <v/>
      </c>
      <c r="T1010" s="85">
        <f>IF(O1010&gt;0, Q1010/O1010, 0)</f>
        <v/>
      </c>
      <c r="U1010" s="18">
        <f>IF(Q1010=0, "Exceeds Limit", IF(P1010&lt;=O1010, "Weight Limited", "Volume Limited"))</f>
        <v/>
      </c>
      <c r="V1010" s="100">
        <f>B1010&amp;"|"&amp;D1010&amp;"|"&amp;F1010</f>
        <v/>
      </c>
    </row>
    <row r="1011" ht="19" customHeight="1">
      <c r="A1011" s="93" t="n">
        <v>1001</v>
      </c>
      <c r="B1011" s="101" t="inlineStr">
        <is>
          <t>Stainless Steel 316</t>
        </is>
      </c>
      <c r="C1011" s="13" t="inlineStr">
        <is>
          <t>ASME B36.19M / B36.10M</t>
        </is>
      </c>
      <c r="D1011" s="12" t="inlineStr">
        <is>
          <t>10''</t>
        </is>
      </c>
      <c r="E1011" s="93" t="n">
        <v>250</v>
      </c>
      <c r="F1011" s="12" t="inlineStr">
        <is>
          <t>120</t>
        </is>
      </c>
      <c r="G1011" s="14" t="n">
        <v>10.75</v>
      </c>
      <c r="H1011" s="78" t="n">
        <v>273.05</v>
      </c>
      <c r="I1011" s="14" t="n">
        <v>0.844</v>
      </c>
      <c r="J1011" s="78" t="n">
        <v>21.44</v>
      </c>
      <c r="K1011" s="14">
        <f>ROUND((H1011-J1011)*J1011*IF(B1011="Carbon Steel",$K$7,IF(B1011="Stainless Steel 304",$K$8,$L$8)), 3)</f>
        <v/>
      </c>
      <c r="L1011" s="78">
        <f>ROUND(K1011*$G$5, 2)</f>
        <v/>
      </c>
      <c r="M1011" s="93">
        <f>INT($G$6/H1011)</f>
        <v/>
      </c>
      <c r="N1011" s="93">
        <f>IF(M1011=0, 0, IF(OR($K$6="Square Grid", M1011=1), INT($G$7/H1011), IF($G$7&lt;H1011, 0, 1+INT(($G$7-H1011)/(0.8660254*H1011)))))</f>
        <v/>
      </c>
      <c r="O1011" s="59">
        <f>IF(OR(M1011=0,N1011=0), 0, IF(OR($K$6="Square Grid", M1011=1), M1011*N1011*$K$5, (INT((N1011+1)/2)*M1011 + INT(N1011/2)*IF(($G$6-M1011*H1011)&gt;=0.5*H1011, M1011, M1011-1))*$K$5))</f>
        <v/>
      </c>
      <c r="P1011" s="59">
        <f>IF(L1011&lt;=0, 0, INT($G$8/L1011))</f>
        <v/>
      </c>
      <c r="Q1011" s="95">
        <f>MIN(O1011, P1011)</f>
        <v/>
      </c>
      <c r="R1011" s="96">
        <f>ROUND((Q1011*L1011)/1000, 2)</f>
        <v/>
      </c>
      <c r="S1011" s="79">
        <f>IF($C$8&gt;0, R1011/$C$8, 0)</f>
        <v/>
      </c>
      <c r="T1011" s="79">
        <f>IF(O1011&gt;0, Q1011/O1011, 0)</f>
        <v/>
      </c>
      <c r="U1011" s="12">
        <f>IF(Q1011=0, "Exceeds Limit", IF(P1011&lt;=O1011, "Weight Limited", "Volume Limited"))</f>
        <v/>
      </c>
      <c r="V1011" s="97">
        <f>B1011&amp;"|"&amp;D1011&amp;"|"&amp;F1011</f>
        <v/>
      </c>
    </row>
    <row r="1012" ht="19" customHeight="1">
      <c r="A1012" s="98" t="n">
        <v>1002</v>
      </c>
      <c r="B1012" s="102" t="inlineStr">
        <is>
          <t>Stainless Steel 316</t>
        </is>
      </c>
      <c r="C1012" s="19" t="inlineStr">
        <is>
          <t>ASME B36.19M / B36.10M</t>
        </is>
      </c>
      <c r="D1012" s="18" t="inlineStr">
        <is>
          <t>10''</t>
        </is>
      </c>
      <c r="E1012" s="98" t="n">
        <v>250</v>
      </c>
      <c r="F1012" s="18" t="inlineStr">
        <is>
          <t>140</t>
        </is>
      </c>
      <c r="G1012" s="20" t="n">
        <v>10.75</v>
      </c>
      <c r="H1012" s="82" t="n">
        <v>273.05</v>
      </c>
      <c r="I1012" s="20" t="n">
        <v>1</v>
      </c>
      <c r="J1012" s="82" t="n">
        <v>25.4</v>
      </c>
      <c r="K1012" s="20">
        <f>ROUND((H1012-J1012)*J1012*IF(B1012="Carbon Steel",$K$7,IF(B1012="Stainless Steel 304",$K$8,$L$8)), 3)</f>
        <v/>
      </c>
      <c r="L1012" s="82">
        <f>ROUND(K1012*$G$5, 2)</f>
        <v/>
      </c>
      <c r="M1012" s="98">
        <f>INT($G$6/H1012)</f>
        <v/>
      </c>
      <c r="N1012" s="98">
        <f>IF(M1012=0, 0, IF(OR($K$6="Square Grid", M1012=1), INT($G$7/H1012), IF($G$7&lt;H1012, 0, 1+INT(($G$7-H1012)/(0.8660254*H1012)))))</f>
        <v/>
      </c>
      <c r="O1012" s="84">
        <f>IF(OR(M1012=0,N1012=0), 0, IF(OR($K$6="Square Grid", M1012=1), M1012*N1012*$K$5, (INT((N1012+1)/2)*M1012 + INT(N1012/2)*IF(($G$6-M1012*H1012)&gt;=0.5*H1012, M1012, M1012-1))*$K$5))</f>
        <v/>
      </c>
      <c r="P1012" s="84">
        <f>IF(L1012&lt;=0, 0, INT($G$8/L1012))</f>
        <v/>
      </c>
      <c r="Q1012" s="95">
        <f>MIN(O1012, P1012)</f>
        <v/>
      </c>
      <c r="R1012" s="96">
        <f>ROUND((Q1012*L1012)/1000, 2)</f>
        <v/>
      </c>
      <c r="S1012" s="85">
        <f>IF($C$8&gt;0, R1012/$C$8, 0)</f>
        <v/>
      </c>
      <c r="T1012" s="85">
        <f>IF(O1012&gt;0, Q1012/O1012, 0)</f>
        <v/>
      </c>
      <c r="U1012" s="18">
        <f>IF(Q1012=0, "Exceeds Limit", IF(P1012&lt;=O1012, "Weight Limited", "Volume Limited"))</f>
        <v/>
      </c>
      <c r="V1012" s="100">
        <f>B1012&amp;"|"&amp;D1012&amp;"|"&amp;F1012</f>
        <v/>
      </c>
    </row>
    <row r="1013" ht="19" customHeight="1">
      <c r="A1013" s="93" t="n">
        <v>1003</v>
      </c>
      <c r="B1013" s="101" t="inlineStr">
        <is>
          <t>Stainless Steel 316</t>
        </is>
      </c>
      <c r="C1013" s="13" t="inlineStr">
        <is>
          <t>ASME B36.19M / B36.10M</t>
        </is>
      </c>
      <c r="D1013" s="12" t="inlineStr">
        <is>
          <t>10''</t>
        </is>
      </c>
      <c r="E1013" s="93" t="n">
        <v>250</v>
      </c>
      <c r="F1013" s="12" t="inlineStr">
        <is>
          <t>160</t>
        </is>
      </c>
      <c r="G1013" s="14" t="n">
        <v>10.75</v>
      </c>
      <c r="H1013" s="78" t="n">
        <v>273.05</v>
      </c>
      <c r="I1013" s="14" t="n">
        <v>1.125</v>
      </c>
      <c r="J1013" s="78" t="n">
        <v>28.57</v>
      </c>
      <c r="K1013" s="14">
        <f>ROUND((H1013-J1013)*J1013*IF(B1013="Carbon Steel",$K$7,IF(B1013="Stainless Steel 304",$K$8,$L$8)), 3)</f>
        <v/>
      </c>
      <c r="L1013" s="78">
        <f>ROUND(K1013*$G$5, 2)</f>
        <v/>
      </c>
      <c r="M1013" s="93">
        <f>INT($G$6/H1013)</f>
        <v/>
      </c>
      <c r="N1013" s="93">
        <f>IF(M1013=0, 0, IF(OR($K$6="Square Grid", M1013=1), INT($G$7/H1013), IF($G$7&lt;H1013, 0, 1+INT(($G$7-H1013)/(0.8660254*H1013)))))</f>
        <v/>
      </c>
      <c r="O1013" s="59">
        <f>IF(OR(M1013=0,N1013=0), 0, IF(OR($K$6="Square Grid", M1013=1), M1013*N1013*$K$5, (INT((N1013+1)/2)*M1013 + INT(N1013/2)*IF(($G$6-M1013*H1013)&gt;=0.5*H1013, M1013, M1013-1))*$K$5))</f>
        <v/>
      </c>
      <c r="P1013" s="59">
        <f>IF(L1013&lt;=0, 0, INT($G$8/L1013))</f>
        <v/>
      </c>
      <c r="Q1013" s="95">
        <f>MIN(O1013, P1013)</f>
        <v/>
      </c>
      <c r="R1013" s="96">
        <f>ROUND((Q1013*L1013)/1000, 2)</f>
        <v/>
      </c>
      <c r="S1013" s="79">
        <f>IF($C$8&gt;0, R1013/$C$8, 0)</f>
        <v/>
      </c>
      <c r="T1013" s="79">
        <f>IF(O1013&gt;0, Q1013/O1013, 0)</f>
        <v/>
      </c>
      <c r="U1013" s="12">
        <f>IF(Q1013=0, "Exceeds Limit", IF(P1013&lt;=O1013, "Weight Limited", "Volume Limited"))</f>
        <v/>
      </c>
      <c r="V1013" s="97">
        <f>B1013&amp;"|"&amp;D1013&amp;"|"&amp;F1013</f>
        <v/>
      </c>
    </row>
    <row r="1014" ht="19" customHeight="1">
      <c r="A1014" s="98" t="n">
        <v>1004</v>
      </c>
      <c r="B1014" s="102" t="inlineStr">
        <is>
          <t>Stainless Steel 316</t>
        </is>
      </c>
      <c r="C1014" s="19" t="inlineStr">
        <is>
          <t>ASME B36.19M / B36.10M</t>
        </is>
      </c>
      <c r="D1014" s="18" t="inlineStr">
        <is>
          <t>10''</t>
        </is>
      </c>
      <c r="E1014" s="98" t="n">
        <v>250</v>
      </c>
      <c r="F1014" s="18" t="inlineStr">
        <is>
          <t>XXS</t>
        </is>
      </c>
      <c r="G1014" s="20" t="n">
        <v>10.75</v>
      </c>
      <c r="H1014" s="82" t="n">
        <v>273.05</v>
      </c>
      <c r="I1014" s="20" t="n">
        <v>1</v>
      </c>
      <c r="J1014" s="82" t="n">
        <v>25.4</v>
      </c>
      <c r="K1014" s="20">
        <f>ROUND((H1014-J1014)*J1014*IF(B1014="Carbon Steel",$K$7,IF(B1014="Stainless Steel 304",$K$8,$L$8)), 3)</f>
        <v/>
      </c>
      <c r="L1014" s="82">
        <f>ROUND(K1014*$G$5, 2)</f>
        <v/>
      </c>
      <c r="M1014" s="98">
        <f>INT($G$6/H1014)</f>
        <v/>
      </c>
      <c r="N1014" s="98">
        <f>IF(M1014=0, 0, IF(OR($K$6="Square Grid", M1014=1), INT($G$7/H1014), IF($G$7&lt;H1014, 0, 1+INT(($G$7-H1014)/(0.8660254*H1014)))))</f>
        <v/>
      </c>
      <c r="O1014" s="84">
        <f>IF(OR(M1014=0,N1014=0), 0, IF(OR($K$6="Square Grid", M1014=1), M1014*N1014*$K$5, (INT((N1014+1)/2)*M1014 + INT(N1014/2)*IF(($G$6-M1014*H1014)&gt;=0.5*H1014, M1014, M1014-1))*$K$5))</f>
        <v/>
      </c>
      <c r="P1014" s="84">
        <f>IF(L1014&lt;=0, 0, INT($G$8/L1014))</f>
        <v/>
      </c>
      <c r="Q1014" s="95">
        <f>MIN(O1014, P1014)</f>
        <v/>
      </c>
      <c r="R1014" s="96">
        <f>ROUND((Q1014*L1014)/1000, 2)</f>
        <v/>
      </c>
      <c r="S1014" s="85">
        <f>IF($C$8&gt;0, R1014/$C$8, 0)</f>
        <v/>
      </c>
      <c r="T1014" s="85">
        <f>IF(O1014&gt;0, Q1014/O1014, 0)</f>
        <v/>
      </c>
      <c r="U1014" s="18">
        <f>IF(Q1014=0, "Exceeds Limit", IF(P1014&lt;=O1014, "Weight Limited", "Volume Limited"))</f>
        <v/>
      </c>
      <c r="V1014" s="100">
        <f>B1014&amp;"|"&amp;D1014&amp;"|"&amp;F1014</f>
        <v/>
      </c>
    </row>
    <row r="1015" ht="19" customHeight="1">
      <c r="A1015" s="93" t="n">
        <v>1005</v>
      </c>
      <c r="B1015" s="101" t="inlineStr">
        <is>
          <t>Stainless Steel 316</t>
        </is>
      </c>
      <c r="C1015" s="13" t="inlineStr">
        <is>
          <t>ASME B36.19M / B36.10M</t>
        </is>
      </c>
      <c r="D1015" s="12" t="inlineStr">
        <is>
          <t>12''</t>
        </is>
      </c>
      <c r="E1015" s="93" t="n">
        <v>300</v>
      </c>
      <c r="F1015" s="12" t="inlineStr">
        <is>
          <t>5S</t>
        </is>
      </c>
      <c r="G1015" s="14" t="n">
        <v>12.75</v>
      </c>
      <c r="H1015" s="78" t="n">
        <v>323.85</v>
      </c>
      <c r="I1015" s="14" t="n">
        <v>0.156</v>
      </c>
      <c r="J1015" s="78" t="n">
        <v>3.96</v>
      </c>
      <c r="K1015" s="14">
        <f>ROUND((H1015-J1015)*J1015*IF(B1015="Carbon Steel",$K$7,IF(B1015="Stainless Steel 304",$K$8,$L$8)), 3)</f>
        <v/>
      </c>
      <c r="L1015" s="78">
        <f>ROUND(K1015*$G$5, 2)</f>
        <v/>
      </c>
      <c r="M1015" s="93">
        <f>INT($G$6/H1015)</f>
        <v/>
      </c>
      <c r="N1015" s="93">
        <f>IF(M1015=0, 0, IF(OR($K$6="Square Grid", M1015=1), INT($G$7/H1015), IF($G$7&lt;H1015, 0, 1+INT(($G$7-H1015)/(0.8660254*H1015)))))</f>
        <v/>
      </c>
      <c r="O1015" s="59">
        <f>IF(OR(M1015=0,N1015=0), 0, IF(OR($K$6="Square Grid", M1015=1), M1015*N1015*$K$5, (INT((N1015+1)/2)*M1015 + INT(N1015/2)*IF(($G$6-M1015*H1015)&gt;=0.5*H1015, M1015, M1015-1))*$K$5))</f>
        <v/>
      </c>
      <c r="P1015" s="59">
        <f>IF(L1015&lt;=0, 0, INT($G$8/L1015))</f>
        <v/>
      </c>
      <c r="Q1015" s="95">
        <f>MIN(O1015, P1015)</f>
        <v/>
      </c>
      <c r="R1015" s="96">
        <f>ROUND((Q1015*L1015)/1000, 2)</f>
        <v/>
      </c>
      <c r="S1015" s="79">
        <f>IF($C$8&gt;0, R1015/$C$8, 0)</f>
        <v/>
      </c>
      <c r="T1015" s="79">
        <f>IF(O1015&gt;0, Q1015/O1015, 0)</f>
        <v/>
      </c>
      <c r="U1015" s="12">
        <f>IF(Q1015=0, "Exceeds Limit", IF(P1015&lt;=O1015, "Weight Limited", "Volume Limited"))</f>
        <v/>
      </c>
      <c r="V1015" s="97">
        <f>B1015&amp;"|"&amp;D1015&amp;"|"&amp;F1015</f>
        <v/>
      </c>
    </row>
    <row r="1016" ht="19" customHeight="1">
      <c r="A1016" s="98" t="n">
        <v>1006</v>
      </c>
      <c r="B1016" s="102" t="inlineStr">
        <is>
          <t>Stainless Steel 316</t>
        </is>
      </c>
      <c r="C1016" s="19" t="inlineStr">
        <is>
          <t>ASME B36.19M / B36.10M</t>
        </is>
      </c>
      <c r="D1016" s="18" t="inlineStr">
        <is>
          <t>12''</t>
        </is>
      </c>
      <c r="E1016" s="98" t="n">
        <v>300</v>
      </c>
      <c r="F1016" s="18" t="inlineStr">
        <is>
          <t>5</t>
        </is>
      </c>
      <c r="G1016" s="20" t="n">
        <v>12.75</v>
      </c>
      <c r="H1016" s="82" t="n">
        <v>323.85</v>
      </c>
      <c r="I1016" s="20" t="n">
        <v>0.156</v>
      </c>
      <c r="J1016" s="82" t="n">
        <v>3.96</v>
      </c>
      <c r="K1016" s="20">
        <f>ROUND((H1016-J1016)*J1016*IF(B1016="Carbon Steel",$K$7,IF(B1016="Stainless Steel 304",$K$8,$L$8)), 3)</f>
        <v/>
      </c>
      <c r="L1016" s="82">
        <f>ROUND(K1016*$G$5, 2)</f>
        <v/>
      </c>
      <c r="M1016" s="98">
        <f>INT($G$6/H1016)</f>
        <v/>
      </c>
      <c r="N1016" s="98">
        <f>IF(M1016=0, 0, IF(OR($K$6="Square Grid", M1016=1), INT($G$7/H1016), IF($G$7&lt;H1016, 0, 1+INT(($G$7-H1016)/(0.8660254*H1016)))))</f>
        <v/>
      </c>
      <c r="O1016" s="84">
        <f>IF(OR(M1016=0,N1016=0), 0, IF(OR($K$6="Square Grid", M1016=1), M1016*N1016*$K$5, (INT((N1016+1)/2)*M1016 + INT(N1016/2)*IF(($G$6-M1016*H1016)&gt;=0.5*H1016, M1016, M1016-1))*$K$5))</f>
        <v/>
      </c>
      <c r="P1016" s="84">
        <f>IF(L1016&lt;=0, 0, INT($G$8/L1016))</f>
        <v/>
      </c>
      <c r="Q1016" s="95">
        <f>MIN(O1016, P1016)</f>
        <v/>
      </c>
      <c r="R1016" s="96">
        <f>ROUND((Q1016*L1016)/1000, 2)</f>
        <v/>
      </c>
      <c r="S1016" s="85">
        <f>IF($C$8&gt;0, R1016/$C$8, 0)</f>
        <v/>
      </c>
      <c r="T1016" s="85">
        <f>IF(O1016&gt;0, Q1016/O1016, 0)</f>
        <v/>
      </c>
      <c r="U1016" s="18">
        <f>IF(Q1016=0, "Exceeds Limit", IF(P1016&lt;=O1016, "Weight Limited", "Volume Limited"))</f>
        <v/>
      </c>
      <c r="V1016" s="100">
        <f>B1016&amp;"|"&amp;D1016&amp;"|"&amp;F1016</f>
        <v/>
      </c>
    </row>
    <row r="1017" ht="19" customHeight="1">
      <c r="A1017" s="93" t="n">
        <v>1007</v>
      </c>
      <c r="B1017" s="101" t="inlineStr">
        <is>
          <t>Stainless Steel 316</t>
        </is>
      </c>
      <c r="C1017" s="13" t="inlineStr">
        <is>
          <t>ASME B36.19M / B36.10M</t>
        </is>
      </c>
      <c r="D1017" s="12" t="inlineStr">
        <is>
          <t>12''</t>
        </is>
      </c>
      <c r="E1017" s="93" t="n">
        <v>300</v>
      </c>
      <c r="F1017" s="12" t="inlineStr">
        <is>
          <t>10S</t>
        </is>
      </c>
      <c r="G1017" s="14" t="n">
        <v>12.75</v>
      </c>
      <c r="H1017" s="78" t="n">
        <v>323.85</v>
      </c>
      <c r="I1017" s="14" t="n">
        <v>0.18</v>
      </c>
      <c r="J1017" s="78" t="n">
        <v>4.57</v>
      </c>
      <c r="K1017" s="14">
        <f>ROUND((H1017-J1017)*J1017*IF(B1017="Carbon Steel",$K$7,IF(B1017="Stainless Steel 304",$K$8,$L$8)), 3)</f>
        <v/>
      </c>
      <c r="L1017" s="78">
        <f>ROUND(K1017*$G$5, 2)</f>
        <v/>
      </c>
      <c r="M1017" s="93">
        <f>INT($G$6/H1017)</f>
        <v/>
      </c>
      <c r="N1017" s="93">
        <f>IF(M1017=0, 0, IF(OR($K$6="Square Grid", M1017=1), INT($G$7/H1017), IF($G$7&lt;H1017, 0, 1+INT(($G$7-H1017)/(0.8660254*H1017)))))</f>
        <v/>
      </c>
      <c r="O1017" s="59">
        <f>IF(OR(M1017=0,N1017=0), 0, IF(OR($K$6="Square Grid", M1017=1), M1017*N1017*$K$5, (INT((N1017+1)/2)*M1017 + INT(N1017/2)*IF(($G$6-M1017*H1017)&gt;=0.5*H1017, M1017, M1017-1))*$K$5))</f>
        <v/>
      </c>
      <c r="P1017" s="59">
        <f>IF(L1017&lt;=0, 0, INT($G$8/L1017))</f>
        <v/>
      </c>
      <c r="Q1017" s="95">
        <f>MIN(O1017, P1017)</f>
        <v/>
      </c>
      <c r="R1017" s="96">
        <f>ROUND((Q1017*L1017)/1000, 2)</f>
        <v/>
      </c>
      <c r="S1017" s="79">
        <f>IF($C$8&gt;0, R1017/$C$8, 0)</f>
        <v/>
      </c>
      <c r="T1017" s="79">
        <f>IF(O1017&gt;0, Q1017/O1017, 0)</f>
        <v/>
      </c>
      <c r="U1017" s="12">
        <f>IF(Q1017=0, "Exceeds Limit", IF(P1017&lt;=O1017, "Weight Limited", "Volume Limited"))</f>
        <v/>
      </c>
      <c r="V1017" s="97">
        <f>B1017&amp;"|"&amp;D1017&amp;"|"&amp;F1017</f>
        <v/>
      </c>
    </row>
    <row r="1018" ht="19" customHeight="1">
      <c r="A1018" s="98" t="n">
        <v>1008</v>
      </c>
      <c r="B1018" s="102" t="inlineStr">
        <is>
          <t>Stainless Steel 316</t>
        </is>
      </c>
      <c r="C1018" s="19" t="inlineStr">
        <is>
          <t>ASME B36.19M / B36.10M</t>
        </is>
      </c>
      <c r="D1018" s="18" t="inlineStr">
        <is>
          <t>12''</t>
        </is>
      </c>
      <c r="E1018" s="98" t="n">
        <v>300</v>
      </c>
      <c r="F1018" s="18" t="inlineStr">
        <is>
          <t>10</t>
        </is>
      </c>
      <c r="G1018" s="20" t="n">
        <v>12.75</v>
      </c>
      <c r="H1018" s="82" t="n">
        <v>323.85</v>
      </c>
      <c r="I1018" s="20" t="n">
        <v>0.18</v>
      </c>
      <c r="J1018" s="82" t="n">
        <v>4.57</v>
      </c>
      <c r="K1018" s="20">
        <f>ROUND((H1018-J1018)*J1018*IF(B1018="Carbon Steel",$K$7,IF(B1018="Stainless Steel 304",$K$8,$L$8)), 3)</f>
        <v/>
      </c>
      <c r="L1018" s="82">
        <f>ROUND(K1018*$G$5, 2)</f>
        <v/>
      </c>
      <c r="M1018" s="98">
        <f>INT($G$6/H1018)</f>
        <v/>
      </c>
      <c r="N1018" s="98">
        <f>IF(M1018=0, 0, IF(OR($K$6="Square Grid", M1018=1), INT($G$7/H1018), IF($G$7&lt;H1018, 0, 1+INT(($G$7-H1018)/(0.8660254*H1018)))))</f>
        <v/>
      </c>
      <c r="O1018" s="84">
        <f>IF(OR(M1018=0,N1018=0), 0, IF(OR($K$6="Square Grid", M1018=1), M1018*N1018*$K$5, (INT((N1018+1)/2)*M1018 + INT(N1018/2)*IF(($G$6-M1018*H1018)&gt;=0.5*H1018, M1018, M1018-1))*$K$5))</f>
        <v/>
      </c>
      <c r="P1018" s="84">
        <f>IF(L1018&lt;=0, 0, INT($G$8/L1018))</f>
        <v/>
      </c>
      <c r="Q1018" s="95">
        <f>MIN(O1018, P1018)</f>
        <v/>
      </c>
      <c r="R1018" s="96">
        <f>ROUND((Q1018*L1018)/1000, 2)</f>
        <v/>
      </c>
      <c r="S1018" s="85">
        <f>IF($C$8&gt;0, R1018/$C$8, 0)</f>
        <v/>
      </c>
      <c r="T1018" s="85">
        <f>IF(O1018&gt;0, Q1018/O1018, 0)</f>
        <v/>
      </c>
      <c r="U1018" s="18">
        <f>IF(Q1018=0, "Exceeds Limit", IF(P1018&lt;=O1018, "Weight Limited", "Volume Limited"))</f>
        <v/>
      </c>
      <c r="V1018" s="100">
        <f>B1018&amp;"|"&amp;D1018&amp;"|"&amp;F1018</f>
        <v/>
      </c>
    </row>
    <row r="1019" ht="19" customHeight="1">
      <c r="A1019" s="93" t="n">
        <v>1009</v>
      </c>
      <c r="B1019" s="101" t="inlineStr">
        <is>
          <t>Stainless Steel 316</t>
        </is>
      </c>
      <c r="C1019" s="13" t="inlineStr">
        <is>
          <t>ASME B36.19M / B36.10M</t>
        </is>
      </c>
      <c r="D1019" s="12" t="inlineStr">
        <is>
          <t>12''</t>
        </is>
      </c>
      <c r="E1019" s="93" t="n">
        <v>300</v>
      </c>
      <c r="F1019" s="12" t="inlineStr">
        <is>
          <t>20</t>
        </is>
      </c>
      <c r="G1019" s="14" t="n">
        <v>12.75</v>
      </c>
      <c r="H1019" s="78" t="n">
        <v>323.85</v>
      </c>
      <c r="I1019" s="14" t="n">
        <v>0.25</v>
      </c>
      <c r="J1019" s="78" t="n">
        <v>6.35</v>
      </c>
      <c r="K1019" s="14">
        <f>ROUND((H1019-J1019)*J1019*IF(B1019="Carbon Steel",$K$7,IF(B1019="Stainless Steel 304",$K$8,$L$8)), 3)</f>
        <v/>
      </c>
      <c r="L1019" s="78">
        <f>ROUND(K1019*$G$5, 2)</f>
        <v/>
      </c>
      <c r="M1019" s="93">
        <f>INT($G$6/H1019)</f>
        <v/>
      </c>
      <c r="N1019" s="93">
        <f>IF(M1019=0, 0, IF(OR($K$6="Square Grid", M1019=1), INT($G$7/H1019), IF($G$7&lt;H1019, 0, 1+INT(($G$7-H1019)/(0.8660254*H1019)))))</f>
        <v/>
      </c>
      <c r="O1019" s="59">
        <f>IF(OR(M1019=0,N1019=0), 0, IF(OR($K$6="Square Grid", M1019=1), M1019*N1019*$K$5, (INT((N1019+1)/2)*M1019 + INT(N1019/2)*IF(($G$6-M1019*H1019)&gt;=0.5*H1019, M1019, M1019-1))*$K$5))</f>
        <v/>
      </c>
      <c r="P1019" s="59">
        <f>IF(L1019&lt;=0, 0, INT($G$8/L1019))</f>
        <v/>
      </c>
      <c r="Q1019" s="95">
        <f>MIN(O1019, P1019)</f>
        <v/>
      </c>
      <c r="R1019" s="96">
        <f>ROUND((Q1019*L1019)/1000, 2)</f>
        <v/>
      </c>
      <c r="S1019" s="79">
        <f>IF($C$8&gt;0, R1019/$C$8, 0)</f>
        <v/>
      </c>
      <c r="T1019" s="79">
        <f>IF(O1019&gt;0, Q1019/O1019, 0)</f>
        <v/>
      </c>
      <c r="U1019" s="12">
        <f>IF(Q1019=0, "Exceeds Limit", IF(P1019&lt;=O1019, "Weight Limited", "Volume Limited"))</f>
        <v/>
      </c>
      <c r="V1019" s="97">
        <f>B1019&amp;"|"&amp;D1019&amp;"|"&amp;F1019</f>
        <v/>
      </c>
    </row>
    <row r="1020" ht="19" customHeight="1">
      <c r="A1020" s="98" t="n">
        <v>1010</v>
      </c>
      <c r="B1020" s="102" t="inlineStr">
        <is>
          <t>Stainless Steel 316</t>
        </is>
      </c>
      <c r="C1020" s="19" t="inlineStr">
        <is>
          <t>ASME B36.19M / B36.10M</t>
        </is>
      </c>
      <c r="D1020" s="18" t="inlineStr">
        <is>
          <t>12''</t>
        </is>
      </c>
      <c r="E1020" s="98" t="n">
        <v>300</v>
      </c>
      <c r="F1020" s="18" t="inlineStr">
        <is>
          <t>30</t>
        </is>
      </c>
      <c r="G1020" s="20" t="n">
        <v>12.75</v>
      </c>
      <c r="H1020" s="82" t="n">
        <v>323.85</v>
      </c>
      <c r="I1020" s="20" t="n">
        <v>0.33</v>
      </c>
      <c r="J1020" s="82" t="n">
        <v>8.380000000000001</v>
      </c>
      <c r="K1020" s="20">
        <f>ROUND((H1020-J1020)*J1020*IF(B1020="Carbon Steel",$K$7,IF(B1020="Stainless Steel 304",$K$8,$L$8)), 3)</f>
        <v/>
      </c>
      <c r="L1020" s="82">
        <f>ROUND(K1020*$G$5, 2)</f>
        <v/>
      </c>
      <c r="M1020" s="98">
        <f>INT($G$6/H1020)</f>
        <v/>
      </c>
      <c r="N1020" s="98">
        <f>IF(M1020=0, 0, IF(OR($K$6="Square Grid", M1020=1), INT($G$7/H1020), IF($G$7&lt;H1020, 0, 1+INT(($G$7-H1020)/(0.8660254*H1020)))))</f>
        <v/>
      </c>
      <c r="O1020" s="84">
        <f>IF(OR(M1020=0,N1020=0), 0, IF(OR($K$6="Square Grid", M1020=1), M1020*N1020*$K$5, (INT((N1020+1)/2)*M1020 + INT(N1020/2)*IF(($G$6-M1020*H1020)&gt;=0.5*H1020, M1020, M1020-1))*$K$5))</f>
        <v/>
      </c>
      <c r="P1020" s="84">
        <f>IF(L1020&lt;=0, 0, INT($G$8/L1020))</f>
        <v/>
      </c>
      <c r="Q1020" s="95">
        <f>MIN(O1020, P1020)</f>
        <v/>
      </c>
      <c r="R1020" s="96">
        <f>ROUND((Q1020*L1020)/1000, 2)</f>
        <v/>
      </c>
      <c r="S1020" s="85">
        <f>IF($C$8&gt;0, R1020/$C$8, 0)</f>
        <v/>
      </c>
      <c r="T1020" s="85">
        <f>IF(O1020&gt;0, Q1020/O1020, 0)</f>
        <v/>
      </c>
      <c r="U1020" s="18">
        <f>IF(Q1020=0, "Exceeds Limit", IF(P1020&lt;=O1020, "Weight Limited", "Volume Limited"))</f>
        <v/>
      </c>
      <c r="V1020" s="100">
        <f>B1020&amp;"|"&amp;D1020&amp;"|"&amp;F1020</f>
        <v/>
      </c>
    </row>
    <row r="1021" ht="19" customHeight="1">
      <c r="A1021" s="93" t="n">
        <v>1011</v>
      </c>
      <c r="B1021" s="101" t="inlineStr">
        <is>
          <t>Stainless Steel 316</t>
        </is>
      </c>
      <c r="C1021" s="13" t="inlineStr">
        <is>
          <t>ASME B36.19M / B36.10M</t>
        </is>
      </c>
      <c r="D1021" s="12" t="inlineStr">
        <is>
          <t>12''</t>
        </is>
      </c>
      <c r="E1021" s="93" t="n">
        <v>300</v>
      </c>
      <c r="F1021" s="12" t="inlineStr">
        <is>
          <t>40S</t>
        </is>
      </c>
      <c r="G1021" s="14" t="n">
        <v>12.75</v>
      </c>
      <c r="H1021" s="78" t="n">
        <v>323.85</v>
      </c>
      <c r="I1021" s="14" t="n">
        <v>0.375</v>
      </c>
      <c r="J1021" s="78" t="n">
        <v>9.52</v>
      </c>
      <c r="K1021" s="14">
        <f>ROUND((H1021-J1021)*J1021*IF(B1021="Carbon Steel",$K$7,IF(B1021="Stainless Steel 304",$K$8,$L$8)), 3)</f>
        <v/>
      </c>
      <c r="L1021" s="78">
        <f>ROUND(K1021*$G$5, 2)</f>
        <v/>
      </c>
      <c r="M1021" s="93">
        <f>INT($G$6/H1021)</f>
        <v/>
      </c>
      <c r="N1021" s="93">
        <f>IF(M1021=0, 0, IF(OR($K$6="Square Grid", M1021=1), INT($G$7/H1021), IF($G$7&lt;H1021, 0, 1+INT(($G$7-H1021)/(0.8660254*H1021)))))</f>
        <v/>
      </c>
      <c r="O1021" s="59">
        <f>IF(OR(M1021=0,N1021=0), 0, IF(OR($K$6="Square Grid", M1021=1), M1021*N1021*$K$5, (INT((N1021+1)/2)*M1021 + INT(N1021/2)*IF(($G$6-M1021*H1021)&gt;=0.5*H1021, M1021, M1021-1))*$K$5))</f>
        <v/>
      </c>
      <c r="P1021" s="59">
        <f>IF(L1021&lt;=0, 0, INT($G$8/L1021))</f>
        <v/>
      </c>
      <c r="Q1021" s="95">
        <f>MIN(O1021, P1021)</f>
        <v/>
      </c>
      <c r="R1021" s="96">
        <f>ROUND((Q1021*L1021)/1000, 2)</f>
        <v/>
      </c>
      <c r="S1021" s="79">
        <f>IF($C$8&gt;0, R1021/$C$8, 0)</f>
        <v/>
      </c>
      <c r="T1021" s="79">
        <f>IF(O1021&gt;0, Q1021/O1021, 0)</f>
        <v/>
      </c>
      <c r="U1021" s="12">
        <f>IF(Q1021=0, "Exceeds Limit", IF(P1021&lt;=O1021, "Weight Limited", "Volume Limited"))</f>
        <v/>
      </c>
      <c r="V1021" s="97">
        <f>B1021&amp;"|"&amp;D1021&amp;"|"&amp;F1021</f>
        <v/>
      </c>
    </row>
    <row r="1022" ht="19" customHeight="1">
      <c r="A1022" s="98" t="n">
        <v>1012</v>
      </c>
      <c r="B1022" s="102" t="inlineStr">
        <is>
          <t>Stainless Steel 316</t>
        </is>
      </c>
      <c r="C1022" s="19" t="inlineStr">
        <is>
          <t>ASME B36.19M / B36.10M</t>
        </is>
      </c>
      <c r="D1022" s="18" t="inlineStr">
        <is>
          <t>12''</t>
        </is>
      </c>
      <c r="E1022" s="98" t="n">
        <v>300</v>
      </c>
      <c r="F1022" s="18" t="inlineStr">
        <is>
          <t>STD</t>
        </is>
      </c>
      <c r="G1022" s="20" t="n">
        <v>12.75</v>
      </c>
      <c r="H1022" s="82" t="n">
        <v>323.85</v>
      </c>
      <c r="I1022" s="20" t="n">
        <v>0.375</v>
      </c>
      <c r="J1022" s="82" t="n">
        <v>9.52</v>
      </c>
      <c r="K1022" s="20">
        <f>ROUND((H1022-J1022)*J1022*IF(B1022="Carbon Steel",$K$7,IF(B1022="Stainless Steel 304",$K$8,$L$8)), 3)</f>
        <v/>
      </c>
      <c r="L1022" s="82">
        <f>ROUND(K1022*$G$5, 2)</f>
        <v/>
      </c>
      <c r="M1022" s="98">
        <f>INT($G$6/H1022)</f>
        <v/>
      </c>
      <c r="N1022" s="98">
        <f>IF(M1022=0, 0, IF(OR($K$6="Square Grid", M1022=1), INT($G$7/H1022), IF($G$7&lt;H1022, 0, 1+INT(($G$7-H1022)/(0.8660254*H1022)))))</f>
        <v/>
      </c>
      <c r="O1022" s="84">
        <f>IF(OR(M1022=0,N1022=0), 0, IF(OR($K$6="Square Grid", M1022=1), M1022*N1022*$K$5, (INT((N1022+1)/2)*M1022 + INT(N1022/2)*IF(($G$6-M1022*H1022)&gt;=0.5*H1022, M1022, M1022-1))*$K$5))</f>
        <v/>
      </c>
      <c r="P1022" s="84">
        <f>IF(L1022&lt;=0, 0, INT($G$8/L1022))</f>
        <v/>
      </c>
      <c r="Q1022" s="95">
        <f>MIN(O1022, P1022)</f>
        <v/>
      </c>
      <c r="R1022" s="96">
        <f>ROUND((Q1022*L1022)/1000, 2)</f>
        <v/>
      </c>
      <c r="S1022" s="85">
        <f>IF($C$8&gt;0, R1022/$C$8, 0)</f>
        <v/>
      </c>
      <c r="T1022" s="85">
        <f>IF(O1022&gt;0, Q1022/O1022, 0)</f>
        <v/>
      </c>
      <c r="U1022" s="18">
        <f>IF(Q1022=0, "Exceeds Limit", IF(P1022&lt;=O1022, "Weight Limited", "Volume Limited"))</f>
        <v/>
      </c>
      <c r="V1022" s="100">
        <f>B1022&amp;"|"&amp;D1022&amp;"|"&amp;F1022</f>
        <v/>
      </c>
    </row>
    <row r="1023" ht="19" customHeight="1">
      <c r="A1023" s="93" t="n">
        <v>1013</v>
      </c>
      <c r="B1023" s="101" t="inlineStr">
        <is>
          <t>Stainless Steel 316</t>
        </is>
      </c>
      <c r="C1023" s="13" t="inlineStr">
        <is>
          <t>ASME B36.19M / B36.10M</t>
        </is>
      </c>
      <c r="D1023" s="12" t="inlineStr">
        <is>
          <t>12''</t>
        </is>
      </c>
      <c r="E1023" s="93" t="n">
        <v>300</v>
      </c>
      <c r="F1023" s="12" t="inlineStr">
        <is>
          <t>40</t>
        </is>
      </c>
      <c r="G1023" s="14" t="n">
        <v>12.75</v>
      </c>
      <c r="H1023" s="78" t="n">
        <v>323.85</v>
      </c>
      <c r="I1023" s="14" t="n">
        <v>0.406</v>
      </c>
      <c r="J1023" s="78" t="n">
        <v>10.31</v>
      </c>
      <c r="K1023" s="14">
        <f>ROUND((H1023-J1023)*J1023*IF(B1023="Carbon Steel",$K$7,IF(B1023="Stainless Steel 304",$K$8,$L$8)), 3)</f>
        <v/>
      </c>
      <c r="L1023" s="78">
        <f>ROUND(K1023*$G$5, 2)</f>
        <v/>
      </c>
      <c r="M1023" s="93">
        <f>INT($G$6/H1023)</f>
        <v/>
      </c>
      <c r="N1023" s="93">
        <f>IF(M1023=0, 0, IF(OR($K$6="Square Grid", M1023=1), INT($G$7/H1023), IF($G$7&lt;H1023, 0, 1+INT(($G$7-H1023)/(0.8660254*H1023)))))</f>
        <v/>
      </c>
      <c r="O1023" s="59">
        <f>IF(OR(M1023=0,N1023=0), 0, IF(OR($K$6="Square Grid", M1023=1), M1023*N1023*$K$5, (INT((N1023+1)/2)*M1023 + INT(N1023/2)*IF(($G$6-M1023*H1023)&gt;=0.5*H1023, M1023, M1023-1))*$K$5))</f>
        <v/>
      </c>
      <c r="P1023" s="59">
        <f>IF(L1023&lt;=0, 0, INT($G$8/L1023))</f>
        <v/>
      </c>
      <c r="Q1023" s="95">
        <f>MIN(O1023, P1023)</f>
        <v/>
      </c>
      <c r="R1023" s="96">
        <f>ROUND((Q1023*L1023)/1000, 2)</f>
        <v/>
      </c>
      <c r="S1023" s="79">
        <f>IF($C$8&gt;0, R1023/$C$8, 0)</f>
        <v/>
      </c>
      <c r="T1023" s="79">
        <f>IF(O1023&gt;0, Q1023/O1023, 0)</f>
        <v/>
      </c>
      <c r="U1023" s="12">
        <f>IF(Q1023=0, "Exceeds Limit", IF(P1023&lt;=O1023, "Weight Limited", "Volume Limited"))</f>
        <v/>
      </c>
      <c r="V1023" s="97">
        <f>B1023&amp;"|"&amp;D1023&amp;"|"&amp;F1023</f>
        <v/>
      </c>
    </row>
    <row r="1024" ht="19" customHeight="1">
      <c r="A1024" s="98" t="n">
        <v>1014</v>
      </c>
      <c r="B1024" s="102" t="inlineStr">
        <is>
          <t>Stainless Steel 316</t>
        </is>
      </c>
      <c r="C1024" s="19" t="inlineStr">
        <is>
          <t>ASME B36.19M / B36.10M</t>
        </is>
      </c>
      <c r="D1024" s="18" t="inlineStr">
        <is>
          <t>12''</t>
        </is>
      </c>
      <c r="E1024" s="98" t="n">
        <v>300</v>
      </c>
      <c r="F1024" s="18" t="inlineStr">
        <is>
          <t>60</t>
        </is>
      </c>
      <c r="G1024" s="20" t="n">
        <v>12.75</v>
      </c>
      <c r="H1024" s="82" t="n">
        <v>323.85</v>
      </c>
      <c r="I1024" s="20" t="n">
        <v>0.5620000000000001</v>
      </c>
      <c r="J1024" s="82" t="n">
        <v>14.27</v>
      </c>
      <c r="K1024" s="20">
        <f>ROUND((H1024-J1024)*J1024*IF(B1024="Carbon Steel",$K$7,IF(B1024="Stainless Steel 304",$K$8,$L$8)), 3)</f>
        <v/>
      </c>
      <c r="L1024" s="82">
        <f>ROUND(K1024*$G$5, 2)</f>
        <v/>
      </c>
      <c r="M1024" s="98">
        <f>INT($G$6/H1024)</f>
        <v/>
      </c>
      <c r="N1024" s="98">
        <f>IF(M1024=0, 0, IF(OR($K$6="Square Grid", M1024=1), INT($G$7/H1024), IF($G$7&lt;H1024, 0, 1+INT(($G$7-H1024)/(0.8660254*H1024)))))</f>
        <v/>
      </c>
      <c r="O1024" s="84">
        <f>IF(OR(M1024=0,N1024=0), 0, IF(OR($K$6="Square Grid", M1024=1), M1024*N1024*$K$5, (INT((N1024+1)/2)*M1024 + INT(N1024/2)*IF(($G$6-M1024*H1024)&gt;=0.5*H1024, M1024, M1024-1))*$K$5))</f>
        <v/>
      </c>
      <c r="P1024" s="84">
        <f>IF(L1024&lt;=0, 0, INT($G$8/L1024))</f>
        <v/>
      </c>
      <c r="Q1024" s="95">
        <f>MIN(O1024, P1024)</f>
        <v/>
      </c>
      <c r="R1024" s="96">
        <f>ROUND((Q1024*L1024)/1000, 2)</f>
        <v/>
      </c>
      <c r="S1024" s="85">
        <f>IF($C$8&gt;0, R1024/$C$8, 0)</f>
        <v/>
      </c>
      <c r="T1024" s="85">
        <f>IF(O1024&gt;0, Q1024/O1024, 0)</f>
        <v/>
      </c>
      <c r="U1024" s="18">
        <f>IF(Q1024=0, "Exceeds Limit", IF(P1024&lt;=O1024, "Weight Limited", "Volume Limited"))</f>
        <v/>
      </c>
      <c r="V1024" s="100">
        <f>B1024&amp;"|"&amp;D1024&amp;"|"&amp;F1024</f>
        <v/>
      </c>
    </row>
    <row r="1025" ht="19" customHeight="1">
      <c r="A1025" s="93" t="n">
        <v>1015</v>
      </c>
      <c r="B1025" s="101" t="inlineStr">
        <is>
          <t>Stainless Steel 316</t>
        </is>
      </c>
      <c r="C1025" s="13" t="inlineStr">
        <is>
          <t>ASME B36.19M / B36.10M</t>
        </is>
      </c>
      <c r="D1025" s="12" t="inlineStr">
        <is>
          <t>12''</t>
        </is>
      </c>
      <c r="E1025" s="93" t="n">
        <v>300</v>
      </c>
      <c r="F1025" s="12" t="inlineStr">
        <is>
          <t>80S</t>
        </is>
      </c>
      <c r="G1025" s="14" t="n">
        <v>12.75</v>
      </c>
      <c r="H1025" s="78" t="n">
        <v>323.85</v>
      </c>
      <c r="I1025" s="14" t="n">
        <v>0.5</v>
      </c>
      <c r="J1025" s="78" t="n">
        <v>12.7</v>
      </c>
      <c r="K1025" s="14">
        <f>ROUND((H1025-J1025)*J1025*IF(B1025="Carbon Steel",$K$7,IF(B1025="Stainless Steel 304",$K$8,$L$8)), 3)</f>
        <v/>
      </c>
      <c r="L1025" s="78">
        <f>ROUND(K1025*$G$5, 2)</f>
        <v/>
      </c>
      <c r="M1025" s="93">
        <f>INT($G$6/H1025)</f>
        <v/>
      </c>
      <c r="N1025" s="93">
        <f>IF(M1025=0, 0, IF(OR($K$6="Square Grid", M1025=1), INT($G$7/H1025), IF($G$7&lt;H1025, 0, 1+INT(($G$7-H1025)/(0.8660254*H1025)))))</f>
        <v/>
      </c>
      <c r="O1025" s="59">
        <f>IF(OR(M1025=0,N1025=0), 0, IF(OR($K$6="Square Grid", M1025=1), M1025*N1025*$K$5, (INT((N1025+1)/2)*M1025 + INT(N1025/2)*IF(($G$6-M1025*H1025)&gt;=0.5*H1025, M1025, M1025-1))*$K$5))</f>
        <v/>
      </c>
      <c r="P1025" s="59">
        <f>IF(L1025&lt;=0, 0, INT($G$8/L1025))</f>
        <v/>
      </c>
      <c r="Q1025" s="95">
        <f>MIN(O1025, P1025)</f>
        <v/>
      </c>
      <c r="R1025" s="96">
        <f>ROUND((Q1025*L1025)/1000, 2)</f>
        <v/>
      </c>
      <c r="S1025" s="79">
        <f>IF($C$8&gt;0, R1025/$C$8, 0)</f>
        <v/>
      </c>
      <c r="T1025" s="79">
        <f>IF(O1025&gt;0, Q1025/O1025, 0)</f>
        <v/>
      </c>
      <c r="U1025" s="12">
        <f>IF(Q1025=0, "Exceeds Limit", IF(P1025&lt;=O1025, "Weight Limited", "Volume Limited"))</f>
        <v/>
      </c>
      <c r="V1025" s="97">
        <f>B1025&amp;"|"&amp;D1025&amp;"|"&amp;F1025</f>
        <v/>
      </c>
    </row>
    <row r="1026" ht="19" customHeight="1">
      <c r="A1026" s="98" t="n">
        <v>1016</v>
      </c>
      <c r="B1026" s="102" t="inlineStr">
        <is>
          <t>Stainless Steel 316</t>
        </is>
      </c>
      <c r="C1026" s="19" t="inlineStr">
        <is>
          <t>ASME B36.19M / B36.10M</t>
        </is>
      </c>
      <c r="D1026" s="18" t="inlineStr">
        <is>
          <t>12''</t>
        </is>
      </c>
      <c r="E1026" s="98" t="n">
        <v>300</v>
      </c>
      <c r="F1026" s="18" t="inlineStr">
        <is>
          <t>XS</t>
        </is>
      </c>
      <c r="G1026" s="20" t="n">
        <v>12.75</v>
      </c>
      <c r="H1026" s="82" t="n">
        <v>323.85</v>
      </c>
      <c r="I1026" s="20" t="n">
        <v>0.5</v>
      </c>
      <c r="J1026" s="82" t="n">
        <v>12.7</v>
      </c>
      <c r="K1026" s="20">
        <f>ROUND((H1026-J1026)*J1026*IF(B1026="Carbon Steel",$K$7,IF(B1026="Stainless Steel 304",$K$8,$L$8)), 3)</f>
        <v/>
      </c>
      <c r="L1026" s="82">
        <f>ROUND(K1026*$G$5, 2)</f>
        <v/>
      </c>
      <c r="M1026" s="98">
        <f>INT($G$6/H1026)</f>
        <v/>
      </c>
      <c r="N1026" s="98">
        <f>IF(M1026=0, 0, IF(OR($K$6="Square Grid", M1026=1), INT($G$7/H1026), IF($G$7&lt;H1026, 0, 1+INT(($G$7-H1026)/(0.8660254*H1026)))))</f>
        <v/>
      </c>
      <c r="O1026" s="84">
        <f>IF(OR(M1026=0,N1026=0), 0, IF(OR($K$6="Square Grid", M1026=1), M1026*N1026*$K$5, (INT((N1026+1)/2)*M1026 + INT(N1026/2)*IF(($G$6-M1026*H1026)&gt;=0.5*H1026, M1026, M1026-1))*$K$5))</f>
        <v/>
      </c>
      <c r="P1026" s="84">
        <f>IF(L1026&lt;=0, 0, INT($G$8/L1026))</f>
        <v/>
      </c>
      <c r="Q1026" s="95">
        <f>MIN(O1026, P1026)</f>
        <v/>
      </c>
      <c r="R1026" s="96">
        <f>ROUND((Q1026*L1026)/1000, 2)</f>
        <v/>
      </c>
      <c r="S1026" s="85">
        <f>IF($C$8&gt;0, R1026/$C$8, 0)</f>
        <v/>
      </c>
      <c r="T1026" s="85">
        <f>IF(O1026&gt;0, Q1026/O1026, 0)</f>
        <v/>
      </c>
      <c r="U1026" s="18">
        <f>IF(Q1026=0, "Exceeds Limit", IF(P1026&lt;=O1026, "Weight Limited", "Volume Limited"))</f>
        <v/>
      </c>
      <c r="V1026" s="100">
        <f>B1026&amp;"|"&amp;D1026&amp;"|"&amp;F1026</f>
        <v/>
      </c>
    </row>
    <row r="1027" ht="19" customHeight="1">
      <c r="A1027" s="93" t="n">
        <v>1017</v>
      </c>
      <c r="B1027" s="101" t="inlineStr">
        <is>
          <t>Stainless Steel 316</t>
        </is>
      </c>
      <c r="C1027" s="13" t="inlineStr">
        <is>
          <t>ASME B36.19M / B36.10M</t>
        </is>
      </c>
      <c r="D1027" s="12" t="inlineStr">
        <is>
          <t>12''</t>
        </is>
      </c>
      <c r="E1027" s="93" t="n">
        <v>300</v>
      </c>
      <c r="F1027" s="12" t="inlineStr">
        <is>
          <t>80</t>
        </is>
      </c>
      <c r="G1027" s="14" t="n">
        <v>12.75</v>
      </c>
      <c r="H1027" s="78" t="n">
        <v>323.85</v>
      </c>
      <c r="I1027" s="14" t="n">
        <v>0.6879999999999999</v>
      </c>
      <c r="J1027" s="78" t="n">
        <v>17.48</v>
      </c>
      <c r="K1027" s="14">
        <f>ROUND((H1027-J1027)*J1027*IF(B1027="Carbon Steel",$K$7,IF(B1027="Stainless Steel 304",$K$8,$L$8)), 3)</f>
        <v/>
      </c>
      <c r="L1027" s="78">
        <f>ROUND(K1027*$G$5, 2)</f>
        <v/>
      </c>
      <c r="M1027" s="93">
        <f>INT($G$6/H1027)</f>
        <v/>
      </c>
      <c r="N1027" s="93">
        <f>IF(M1027=0, 0, IF(OR($K$6="Square Grid", M1027=1), INT($G$7/H1027), IF($G$7&lt;H1027, 0, 1+INT(($G$7-H1027)/(0.8660254*H1027)))))</f>
        <v/>
      </c>
      <c r="O1027" s="59">
        <f>IF(OR(M1027=0,N1027=0), 0, IF(OR($K$6="Square Grid", M1027=1), M1027*N1027*$K$5, (INT((N1027+1)/2)*M1027 + INT(N1027/2)*IF(($G$6-M1027*H1027)&gt;=0.5*H1027, M1027, M1027-1))*$K$5))</f>
        <v/>
      </c>
      <c r="P1027" s="59">
        <f>IF(L1027&lt;=0, 0, INT($G$8/L1027))</f>
        <v/>
      </c>
      <c r="Q1027" s="95">
        <f>MIN(O1027, P1027)</f>
        <v/>
      </c>
      <c r="R1027" s="96">
        <f>ROUND((Q1027*L1027)/1000, 2)</f>
        <v/>
      </c>
      <c r="S1027" s="79">
        <f>IF($C$8&gt;0, R1027/$C$8, 0)</f>
        <v/>
      </c>
      <c r="T1027" s="79">
        <f>IF(O1027&gt;0, Q1027/O1027, 0)</f>
        <v/>
      </c>
      <c r="U1027" s="12">
        <f>IF(Q1027=0, "Exceeds Limit", IF(P1027&lt;=O1027, "Weight Limited", "Volume Limited"))</f>
        <v/>
      </c>
      <c r="V1027" s="97">
        <f>B1027&amp;"|"&amp;D1027&amp;"|"&amp;F1027</f>
        <v/>
      </c>
    </row>
    <row r="1028" ht="19" customHeight="1">
      <c r="A1028" s="98" t="n">
        <v>1018</v>
      </c>
      <c r="B1028" s="102" t="inlineStr">
        <is>
          <t>Stainless Steel 316</t>
        </is>
      </c>
      <c r="C1028" s="19" t="inlineStr">
        <is>
          <t>ASME B36.19M / B36.10M</t>
        </is>
      </c>
      <c r="D1028" s="18" t="inlineStr">
        <is>
          <t>12''</t>
        </is>
      </c>
      <c r="E1028" s="98" t="n">
        <v>300</v>
      </c>
      <c r="F1028" s="18" t="inlineStr">
        <is>
          <t>100</t>
        </is>
      </c>
      <c r="G1028" s="20" t="n">
        <v>12.75</v>
      </c>
      <c r="H1028" s="82" t="n">
        <v>323.85</v>
      </c>
      <c r="I1028" s="20" t="n">
        <v>0.844</v>
      </c>
      <c r="J1028" s="82" t="n">
        <v>21.44</v>
      </c>
      <c r="K1028" s="20">
        <f>ROUND((H1028-J1028)*J1028*IF(B1028="Carbon Steel",$K$7,IF(B1028="Stainless Steel 304",$K$8,$L$8)), 3)</f>
        <v/>
      </c>
      <c r="L1028" s="82">
        <f>ROUND(K1028*$G$5, 2)</f>
        <v/>
      </c>
      <c r="M1028" s="98">
        <f>INT($G$6/H1028)</f>
        <v/>
      </c>
      <c r="N1028" s="98">
        <f>IF(M1028=0, 0, IF(OR($K$6="Square Grid", M1028=1), INT($G$7/H1028), IF($G$7&lt;H1028, 0, 1+INT(($G$7-H1028)/(0.8660254*H1028)))))</f>
        <v/>
      </c>
      <c r="O1028" s="84">
        <f>IF(OR(M1028=0,N1028=0), 0, IF(OR($K$6="Square Grid", M1028=1), M1028*N1028*$K$5, (INT((N1028+1)/2)*M1028 + INT(N1028/2)*IF(($G$6-M1028*H1028)&gt;=0.5*H1028, M1028, M1028-1))*$K$5))</f>
        <v/>
      </c>
      <c r="P1028" s="84">
        <f>IF(L1028&lt;=0, 0, INT($G$8/L1028))</f>
        <v/>
      </c>
      <c r="Q1028" s="95">
        <f>MIN(O1028, P1028)</f>
        <v/>
      </c>
      <c r="R1028" s="96">
        <f>ROUND((Q1028*L1028)/1000, 2)</f>
        <v/>
      </c>
      <c r="S1028" s="85">
        <f>IF($C$8&gt;0, R1028/$C$8, 0)</f>
        <v/>
      </c>
      <c r="T1028" s="85">
        <f>IF(O1028&gt;0, Q1028/O1028, 0)</f>
        <v/>
      </c>
      <c r="U1028" s="18">
        <f>IF(Q1028=0, "Exceeds Limit", IF(P1028&lt;=O1028, "Weight Limited", "Volume Limited"))</f>
        <v/>
      </c>
      <c r="V1028" s="100">
        <f>B1028&amp;"|"&amp;D1028&amp;"|"&amp;F1028</f>
        <v/>
      </c>
    </row>
    <row r="1029" ht="19" customHeight="1">
      <c r="A1029" s="93" t="n">
        <v>1019</v>
      </c>
      <c r="B1029" s="101" t="inlineStr">
        <is>
          <t>Stainless Steel 316</t>
        </is>
      </c>
      <c r="C1029" s="13" t="inlineStr">
        <is>
          <t>ASME B36.19M / B36.10M</t>
        </is>
      </c>
      <c r="D1029" s="12" t="inlineStr">
        <is>
          <t>12''</t>
        </is>
      </c>
      <c r="E1029" s="93" t="n">
        <v>300</v>
      </c>
      <c r="F1029" s="12" t="inlineStr">
        <is>
          <t>120</t>
        </is>
      </c>
      <c r="G1029" s="14" t="n">
        <v>12.75</v>
      </c>
      <c r="H1029" s="78" t="n">
        <v>323.85</v>
      </c>
      <c r="I1029" s="14" t="n">
        <v>1</v>
      </c>
      <c r="J1029" s="78" t="n">
        <v>25.4</v>
      </c>
      <c r="K1029" s="14">
        <f>ROUND((H1029-J1029)*J1029*IF(B1029="Carbon Steel",$K$7,IF(B1029="Stainless Steel 304",$K$8,$L$8)), 3)</f>
        <v/>
      </c>
      <c r="L1029" s="78">
        <f>ROUND(K1029*$G$5, 2)</f>
        <v/>
      </c>
      <c r="M1029" s="93">
        <f>INT($G$6/H1029)</f>
        <v/>
      </c>
      <c r="N1029" s="93">
        <f>IF(M1029=0, 0, IF(OR($K$6="Square Grid", M1029=1), INT($G$7/H1029), IF($G$7&lt;H1029, 0, 1+INT(($G$7-H1029)/(0.8660254*H1029)))))</f>
        <v/>
      </c>
      <c r="O1029" s="59">
        <f>IF(OR(M1029=0,N1029=0), 0, IF(OR($K$6="Square Grid", M1029=1), M1029*N1029*$K$5, (INT((N1029+1)/2)*M1029 + INT(N1029/2)*IF(($G$6-M1029*H1029)&gt;=0.5*H1029, M1029, M1029-1))*$K$5))</f>
        <v/>
      </c>
      <c r="P1029" s="59">
        <f>IF(L1029&lt;=0, 0, INT($G$8/L1029))</f>
        <v/>
      </c>
      <c r="Q1029" s="95">
        <f>MIN(O1029, P1029)</f>
        <v/>
      </c>
      <c r="R1029" s="96">
        <f>ROUND((Q1029*L1029)/1000, 2)</f>
        <v/>
      </c>
      <c r="S1029" s="79">
        <f>IF($C$8&gt;0, R1029/$C$8, 0)</f>
        <v/>
      </c>
      <c r="T1029" s="79">
        <f>IF(O1029&gt;0, Q1029/O1029, 0)</f>
        <v/>
      </c>
      <c r="U1029" s="12">
        <f>IF(Q1029=0, "Exceeds Limit", IF(P1029&lt;=O1029, "Weight Limited", "Volume Limited"))</f>
        <v/>
      </c>
      <c r="V1029" s="97">
        <f>B1029&amp;"|"&amp;D1029&amp;"|"&amp;F1029</f>
        <v/>
      </c>
    </row>
    <row r="1030" ht="19" customHeight="1">
      <c r="A1030" s="98" t="n">
        <v>1020</v>
      </c>
      <c r="B1030" s="102" t="inlineStr">
        <is>
          <t>Stainless Steel 316</t>
        </is>
      </c>
      <c r="C1030" s="19" t="inlineStr">
        <is>
          <t>ASME B36.19M / B36.10M</t>
        </is>
      </c>
      <c r="D1030" s="18" t="inlineStr">
        <is>
          <t>12''</t>
        </is>
      </c>
      <c r="E1030" s="98" t="n">
        <v>300</v>
      </c>
      <c r="F1030" s="18" t="inlineStr">
        <is>
          <t>140</t>
        </is>
      </c>
      <c r="G1030" s="20" t="n">
        <v>12.75</v>
      </c>
      <c r="H1030" s="82" t="n">
        <v>323.85</v>
      </c>
      <c r="I1030" s="20" t="n">
        <v>1.125</v>
      </c>
      <c r="J1030" s="82" t="n">
        <v>28.57</v>
      </c>
      <c r="K1030" s="20">
        <f>ROUND((H1030-J1030)*J1030*IF(B1030="Carbon Steel",$K$7,IF(B1030="Stainless Steel 304",$K$8,$L$8)), 3)</f>
        <v/>
      </c>
      <c r="L1030" s="82">
        <f>ROUND(K1030*$G$5, 2)</f>
        <v/>
      </c>
      <c r="M1030" s="98">
        <f>INT($G$6/H1030)</f>
        <v/>
      </c>
      <c r="N1030" s="98">
        <f>IF(M1030=0, 0, IF(OR($K$6="Square Grid", M1030=1), INT($G$7/H1030), IF($G$7&lt;H1030, 0, 1+INT(($G$7-H1030)/(0.8660254*H1030)))))</f>
        <v/>
      </c>
      <c r="O1030" s="84">
        <f>IF(OR(M1030=0,N1030=0), 0, IF(OR($K$6="Square Grid", M1030=1), M1030*N1030*$K$5, (INT((N1030+1)/2)*M1030 + INT(N1030/2)*IF(($G$6-M1030*H1030)&gt;=0.5*H1030, M1030, M1030-1))*$K$5))</f>
        <v/>
      </c>
      <c r="P1030" s="84">
        <f>IF(L1030&lt;=0, 0, INT($G$8/L1030))</f>
        <v/>
      </c>
      <c r="Q1030" s="95">
        <f>MIN(O1030, P1030)</f>
        <v/>
      </c>
      <c r="R1030" s="96">
        <f>ROUND((Q1030*L1030)/1000, 2)</f>
        <v/>
      </c>
      <c r="S1030" s="85">
        <f>IF($C$8&gt;0, R1030/$C$8, 0)</f>
        <v/>
      </c>
      <c r="T1030" s="85">
        <f>IF(O1030&gt;0, Q1030/O1030, 0)</f>
        <v/>
      </c>
      <c r="U1030" s="18">
        <f>IF(Q1030=0, "Exceeds Limit", IF(P1030&lt;=O1030, "Weight Limited", "Volume Limited"))</f>
        <v/>
      </c>
      <c r="V1030" s="100">
        <f>B1030&amp;"|"&amp;D1030&amp;"|"&amp;F1030</f>
        <v/>
      </c>
    </row>
    <row r="1031" ht="19" customHeight="1">
      <c r="A1031" s="93" t="n">
        <v>1021</v>
      </c>
      <c r="B1031" s="101" t="inlineStr">
        <is>
          <t>Stainless Steel 316</t>
        </is>
      </c>
      <c r="C1031" s="13" t="inlineStr">
        <is>
          <t>ASME B36.19M / B36.10M</t>
        </is>
      </c>
      <c r="D1031" s="12" t="inlineStr">
        <is>
          <t>12''</t>
        </is>
      </c>
      <c r="E1031" s="93" t="n">
        <v>300</v>
      </c>
      <c r="F1031" s="12" t="inlineStr">
        <is>
          <t>160</t>
        </is>
      </c>
      <c r="G1031" s="14" t="n">
        <v>12.75</v>
      </c>
      <c r="H1031" s="78" t="n">
        <v>323.85</v>
      </c>
      <c r="I1031" s="14" t="n">
        <v>1.312</v>
      </c>
      <c r="J1031" s="78" t="n">
        <v>33.32</v>
      </c>
      <c r="K1031" s="14">
        <f>ROUND((H1031-J1031)*J1031*IF(B1031="Carbon Steel",$K$7,IF(B1031="Stainless Steel 304",$K$8,$L$8)), 3)</f>
        <v/>
      </c>
      <c r="L1031" s="78">
        <f>ROUND(K1031*$G$5, 2)</f>
        <v/>
      </c>
      <c r="M1031" s="93">
        <f>INT($G$6/H1031)</f>
        <v/>
      </c>
      <c r="N1031" s="93">
        <f>IF(M1031=0, 0, IF(OR($K$6="Square Grid", M1031=1), INT($G$7/H1031), IF($G$7&lt;H1031, 0, 1+INT(($G$7-H1031)/(0.8660254*H1031)))))</f>
        <v/>
      </c>
      <c r="O1031" s="59">
        <f>IF(OR(M1031=0,N1031=0), 0, IF(OR($K$6="Square Grid", M1031=1), M1031*N1031*$K$5, (INT((N1031+1)/2)*M1031 + INT(N1031/2)*IF(($G$6-M1031*H1031)&gt;=0.5*H1031, M1031, M1031-1))*$K$5))</f>
        <v/>
      </c>
      <c r="P1031" s="59">
        <f>IF(L1031&lt;=0, 0, INT($G$8/L1031))</f>
        <v/>
      </c>
      <c r="Q1031" s="95">
        <f>MIN(O1031, P1031)</f>
        <v/>
      </c>
      <c r="R1031" s="96">
        <f>ROUND((Q1031*L1031)/1000, 2)</f>
        <v/>
      </c>
      <c r="S1031" s="79">
        <f>IF($C$8&gt;0, R1031/$C$8, 0)</f>
        <v/>
      </c>
      <c r="T1031" s="79">
        <f>IF(O1031&gt;0, Q1031/O1031, 0)</f>
        <v/>
      </c>
      <c r="U1031" s="12">
        <f>IF(Q1031=0, "Exceeds Limit", IF(P1031&lt;=O1031, "Weight Limited", "Volume Limited"))</f>
        <v/>
      </c>
      <c r="V1031" s="97">
        <f>B1031&amp;"|"&amp;D1031&amp;"|"&amp;F1031</f>
        <v/>
      </c>
    </row>
    <row r="1032" ht="19" customHeight="1">
      <c r="A1032" s="98" t="n">
        <v>1022</v>
      </c>
      <c r="B1032" s="102" t="inlineStr">
        <is>
          <t>Stainless Steel 316</t>
        </is>
      </c>
      <c r="C1032" s="19" t="inlineStr">
        <is>
          <t>ASME B36.19M / B36.10M</t>
        </is>
      </c>
      <c r="D1032" s="18" t="inlineStr">
        <is>
          <t>12''</t>
        </is>
      </c>
      <c r="E1032" s="98" t="n">
        <v>300</v>
      </c>
      <c r="F1032" s="18" t="inlineStr">
        <is>
          <t>XXS</t>
        </is>
      </c>
      <c r="G1032" s="20" t="n">
        <v>12.75</v>
      </c>
      <c r="H1032" s="82" t="n">
        <v>323.85</v>
      </c>
      <c r="I1032" s="20" t="n">
        <v>1</v>
      </c>
      <c r="J1032" s="82" t="n">
        <v>25.4</v>
      </c>
      <c r="K1032" s="20">
        <f>ROUND((H1032-J1032)*J1032*IF(B1032="Carbon Steel",$K$7,IF(B1032="Stainless Steel 304",$K$8,$L$8)), 3)</f>
        <v/>
      </c>
      <c r="L1032" s="82">
        <f>ROUND(K1032*$G$5, 2)</f>
        <v/>
      </c>
      <c r="M1032" s="98">
        <f>INT($G$6/H1032)</f>
        <v/>
      </c>
      <c r="N1032" s="98">
        <f>IF(M1032=0, 0, IF(OR($K$6="Square Grid", M1032=1), INT($G$7/H1032), IF($G$7&lt;H1032, 0, 1+INT(($G$7-H1032)/(0.8660254*H1032)))))</f>
        <v/>
      </c>
      <c r="O1032" s="84">
        <f>IF(OR(M1032=0,N1032=0), 0, IF(OR($K$6="Square Grid", M1032=1), M1032*N1032*$K$5, (INT((N1032+1)/2)*M1032 + INT(N1032/2)*IF(($G$6-M1032*H1032)&gt;=0.5*H1032, M1032, M1032-1))*$K$5))</f>
        <v/>
      </c>
      <c r="P1032" s="84">
        <f>IF(L1032&lt;=0, 0, INT($G$8/L1032))</f>
        <v/>
      </c>
      <c r="Q1032" s="95">
        <f>MIN(O1032, P1032)</f>
        <v/>
      </c>
      <c r="R1032" s="96">
        <f>ROUND((Q1032*L1032)/1000, 2)</f>
        <v/>
      </c>
      <c r="S1032" s="85">
        <f>IF($C$8&gt;0, R1032/$C$8, 0)</f>
        <v/>
      </c>
      <c r="T1032" s="85">
        <f>IF(O1032&gt;0, Q1032/O1032, 0)</f>
        <v/>
      </c>
      <c r="U1032" s="18">
        <f>IF(Q1032=0, "Exceeds Limit", IF(P1032&lt;=O1032, "Weight Limited", "Volume Limited"))</f>
        <v/>
      </c>
      <c r="V1032" s="100">
        <f>B1032&amp;"|"&amp;D1032&amp;"|"&amp;F1032</f>
        <v/>
      </c>
    </row>
    <row r="1033" ht="19" customHeight="1">
      <c r="A1033" s="93" t="n">
        <v>1023</v>
      </c>
      <c r="B1033" s="101" t="inlineStr">
        <is>
          <t>Stainless Steel 316</t>
        </is>
      </c>
      <c r="C1033" s="13" t="inlineStr">
        <is>
          <t>ASME B36.19M / B36.10M</t>
        </is>
      </c>
      <c r="D1033" s="12" t="inlineStr">
        <is>
          <t>14''</t>
        </is>
      </c>
      <c r="E1033" s="93" t="n">
        <v>350</v>
      </c>
      <c r="F1033" s="12" t="inlineStr">
        <is>
          <t>5S</t>
        </is>
      </c>
      <c r="G1033" s="14" t="n">
        <v>14</v>
      </c>
      <c r="H1033" s="78" t="n">
        <v>355.6</v>
      </c>
      <c r="I1033" s="14" t="n">
        <v>0.156</v>
      </c>
      <c r="J1033" s="78" t="n">
        <v>3.96</v>
      </c>
      <c r="K1033" s="14">
        <f>ROUND((H1033-J1033)*J1033*IF(B1033="Carbon Steel",$K$7,IF(B1033="Stainless Steel 304",$K$8,$L$8)), 3)</f>
        <v/>
      </c>
      <c r="L1033" s="78">
        <f>ROUND(K1033*$G$5, 2)</f>
        <v/>
      </c>
      <c r="M1033" s="93">
        <f>INT($G$6/H1033)</f>
        <v/>
      </c>
      <c r="N1033" s="93">
        <f>IF(M1033=0, 0, IF(OR($K$6="Square Grid", M1033=1), INT($G$7/H1033), IF($G$7&lt;H1033, 0, 1+INT(($G$7-H1033)/(0.8660254*H1033)))))</f>
        <v/>
      </c>
      <c r="O1033" s="59">
        <f>IF(OR(M1033=0,N1033=0), 0, IF(OR($K$6="Square Grid", M1033=1), M1033*N1033*$K$5, (INT((N1033+1)/2)*M1033 + INT(N1033/2)*IF(($G$6-M1033*H1033)&gt;=0.5*H1033, M1033, M1033-1))*$K$5))</f>
        <v/>
      </c>
      <c r="P1033" s="59">
        <f>IF(L1033&lt;=0, 0, INT($G$8/L1033))</f>
        <v/>
      </c>
      <c r="Q1033" s="95">
        <f>MIN(O1033, P1033)</f>
        <v/>
      </c>
      <c r="R1033" s="96">
        <f>ROUND((Q1033*L1033)/1000, 2)</f>
        <v/>
      </c>
      <c r="S1033" s="79">
        <f>IF($C$8&gt;0, R1033/$C$8, 0)</f>
        <v/>
      </c>
      <c r="T1033" s="79">
        <f>IF(O1033&gt;0, Q1033/O1033, 0)</f>
        <v/>
      </c>
      <c r="U1033" s="12">
        <f>IF(Q1033=0, "Exceeds Limit", IF(P1033&lt;=O1033, "Weight Limited", "Volume Limited"))</f>
        <v/>
      </c>
      <c r="V1033" s="97">
        <f>B1033&amp;"|"&amp;D1033&amp;"|"&amp;F1033</f>
        <v/>
      </c>
    </row>
    <row r="1034" ht="19" customHeight="1">
      <c r="A1034" s="98" t="n">
        <v>1024</v>
      </c>
      <c r="B1034" s="102" t="inlineStr">
        <is>
          <t>Stainless Steel 316</t>
        </is>
      </c>
      <c r="C1034" s="19" t="inlineStr">
        <is>
          <t>ASME B36.19M / B36.10M</t>
        </is>
      </c>
      <c r="D1034" s="18" t="inlineStr">
        <is>
          <t>14''</t>
        </is>
      </c>
      <c r="E1034" s="98" t="n">
        <v>350</v>
      </c>
      <c r="F1034" s="18" t="inlineStr">
        <is>
          <t>5</t>
        </is>
      </c>
      <c r="G1034" s="20" t="n">
        <v>14</v>
      </c>
      <c r="H1034" s="82" t="n">
        <v>355.6</v>
      </c>
      <c r="I1034" s="20" t="n">
        <v>0.156</v>
      </c>
      <c r="J1034" s="82" t="n">
        <v>3.96</v>
      </c>
      <c r="K1034" s="20">
        <f>ROUND((H1034-J1034)*J1034*IF(B1034="Carbon Steel",$K$7,IF(B1034="Stainless Steel 304",$K$8,$L$8)), 3)</f>
        <v/>
      </c>
      <c r="L1034" s="82">
        <f>ROUND(K1034*$G$5, 2)</f>
        <v/>
      </c>
      <c r="M1034" s="98">
        <f>INT($G$6/H1034)</f>
        <v/>
      </c>
      <c r="N1034" s="98">
        <f>IF(M1034=0, 0, IF(OR($K$6="Square Grid", M1034=1), INT($G$7/H1034), IF($G$7&lt;H1034, 0, 1+INT(($G$7-H1034)/(0.8660254*H1034)))))</f>
        <v/>
      </c>
      <c r="O1034" s="84">
        <f>IF(OR(M1034=0,N1034=0), 0, IF(OR($K$6="Square Grid", M1034=1), M1034*N1034*$K$5, (INT((N1034+1)/2)*M1034 + INT(N1034/2)*IF(($G$6-M1034*H1034)&gt;=0.5*H1034, M1034, M1034-1))*$K$5))</f>
        <v/>
      </c>
      <c r="P1034" s="84">
        <f>IF(L1034&lt;=0, 0, INT($G$8/L1034))</f>
        <v/>
      </c>
      <c r="Q1034" s="95">
        <f>MIN(O1034, P1034)</f>
        <v/>
      </c>
      <c r="R1034" s="96">
        <f>ROUND((Q1034*L1034)/1000, 2)</f>
        <v/>
      </c>
      <c r="S1034" s="85">
        <f>IF($C$8&gt;0, R1034/$C$8, 0)</f>
        <v/>
      </c>
      <c r="T1034" s="85">
        <f>IF(O1034&gt;0, Q1034/O1034, 0)</f>
        <v/>
      </c>
      <c r="U1034" s="18">
        <f>IF(Q1034=0, "Exceeds Limit", IF(P1034&lt;=O1034, "Weight Limited", "Volume Limited"))</f>
        <v/>
      </c>
      <c r="V1034" s="100">
        <f>B1034&amp;"|"&amp;D1034&amp;"|"&amp;F1034</f>
        <v/>
      </c>
    </row>
    <row r="1035" ht="19" customHeight="1">
      <c r="A1035" s="93" t="n">
        <v>1025</v>
      </c>
      <c r="B1035" s="101" t="inlineStr">
        <is>
          <t>Stainless Steel 316</t>
        </is>
      </c>
      <c r="C1035" s="13" t="inlineStr">
        <is>
          <t>ASME B36.19M / B36.10M</t>
        </is>
      </c>
      <c r="D1035" s="12" t="inlineStr">
        <is>
          <t>14''</t>
        </is>
      </c>
      <c r="E1035" s="93" t="n">
        <v>350</v>
      </c>
      <c r="F1035" s="12" t="inlineStr">
        <is>
          <t>10S</t>
        </is>
      </c>
      <c r="G1035" s="14" t="n">
        <v>14</v>
      </c>
      <c r="H1035" s="78" t="n">
        <v>355.6</v>
      </c>
      <c r="I1035" s="14" t="n">
        <v>0.188</v>
      </c>
      <c r="J1035" s="78" t="n">
        <v>4.78</v>
      </c>
      <c r="K1035" s="14">
        <f>ROUND((H1035-J1035)*J1035*IF(B1035="Carbon Steel",$K$7,IF(B1035="Stainless Steel 304",$K$8,$L$8)), 3)</f>
        <v/>
      </c>
      <c r="L1035" s="78">
        <f>ROUND(K1035*$G$5, 2)</f>
        <v/>
      </c>
      <c r="M1035" s="93">
        <f>INT($G$6/H1035)</f>
        <v/>
      </c>
      <c r="N1035" s="93">
        <f>IF(M1035=0, 0, IF(OR($K$6="Square Grid", M1035=1), INT($G$7/H1035), IF($G$7&lt;H1035, 0, 1+INT(($G$7-H1035)/(0.8660254*H1035)))))</f>
        <v/>
      </c>
      <c r="O1035" s="59">
        <f>IF(OR(M1035=0,N1035=0), 0, IF(OR($K$6="Square Grid", M1035=1), M1035*N1035*$K$5, (INT((N1035+1)/2)*M1035 + INT(N1035/2)*IF(($G$6-M1035*H1035)&gt;=0.5*H1035, M1035, M1035-1))*$K$5))</f>
        <v/>
      </c>
      <c r="P1035" s="59">
        <f>IF(L1035&lt;=0, 0, INT($G$8/L1035))</f>
        <v/>
      </c>
      <c r="Q1035" s="95">
        <f>MIN(O1035, P1035)</f>
        <v/>
      </c>
      <c r="R1035" s="96">
        <f>ROUND((Q1035*L1035)/1000, 2)</f>
        <v/>
      </c>
      <c r="S1035" s="79">
        <f>IF($C$8&gt;0, R1035/$C$8, 0)</f>
        <v/>
      </c>
      <c r="T1035" s="79">
        <f>IF(O1035&gt;0, Q1035/O1035, 0)</f>
        <v/>
      </c>
      <c r="U1035" s="12">
        <f>IF(Q1035=0, "Exceeds Limit", IF(P1035&lt;=O1035, "Weight Limited", "Volume Limited"))</f>
        <v/>
      </c>
      <c r="V1035" s="97">
        <f>B1035&amp;"|"&amp;D1035&amp;"|"&amp;F1035</f>
        <v/>
      </c>
    </row>
    <row r="1036" ht="19" customHeight="1">
      <c r="A1036" s="98" t="n">
        <v>1026</v>
      </c>
      <c r="B1036" s="102" t="inlineStr">
        <is>
          <t>Stainless Steel 316</t>
        </is>
      </c>
      <c r="C1036" s="19" t="inlineStr">
        <is>
          <t>ASME B36.19M / B36.10M</t>
        </is>
      </c>
      <c r="D1036" s="18" t="inlineStr">
        <is>
          <t>14''</t>
        </is>
      </c>
      <c r="E1036" s="98" t="n">
        <v>350</v>
      </c>
      <c r="F1036" s="18" t="inlineStr">
        <is>
          <t>10</t>
        </is>
      </c>
      <c r="G1036" s="20" t="n">
        <v>14</v>
      </c>
      <c r="H1036" s="82" t="n">
        <v>355.6</v>
      </c>
      <c r="I1036" s="20" t="n">
        <v>0.25</v>
      </c>
      <c r="J1036" s="82" t="n">
        <v>6.35</v>
      </c>
      <c r="K1036" s="20">
        <f>ROUND((H1036-J1036)*J1036*IF(B1036="Carbon Steel",$K$7,IF(B1036="Stainless Steel 304",$K$8,$L$8)), 3)</f>
        <v/>
      </c>
      <c r="L1036" s="82">
        <f>ROUND(K1036*$G$5, 2)</f>
        <v/>
      </c>
      <c r="M1036" s="98">
        <f>INT($G$6/H1036)</f>
        <v/>
      </c>
      <c r="N1036" s="98">
        <f>IF(M1036=0, 0, IF(OR($K$6="Square Grid", M1036=1), INT($G$7/H1036), IF($G$7&lt;H1036, 0, 1+INT(($G$7-H1036)/(0.8660254*H1036)))))</f>
        <v/>
      </c>
      <c r="O1036" s="84">
        <f>IF(OR(M1036=0,N1036=0), 0, IF(OR($K$6="Square Grid", M1036=1), M1036*N1036*$K$5, (INT((N1036+1)/2)*M1036 + INT(N1036/2)*IF(($G$6-M1036*H1036)&gt;=0.5*H1036, M1036, M1036-1))*$K$5))</f>
        <v/>
      </c>
      <c r="P1036" s="84">
        <f>IF(L1036&lt;=0, 0, INT($G$8/L1036))</f>
        <v/>
      </c>
      <c r="Q1036" s="95">
        <f>MIN(O1036, P1036)</f>
        <v/>
      </c>
      <c r="R1036" s="96">
        <f>ROUND((Q1036*L1036)/1000, 2)</f>
        <v/>
      </c>
      <c r="S1036" s="85">
        <f>IF($C$8&gt;0, R1036/$C$8, 0)</f>
        <v/>
      </c>
      <c r="T1036" s="85">
        <f>IF(O1036&gt;0, Q1036/O1036, 0)</f>
        <v/>
      </c>
      <c r="U1036" s="18">
        <f>IF(Q1036=0, "Exceeds Limit", IF(P1036&lt;=O1036, "Weight Limited", "Volume Limited"))</f>
        <v/>
      </c>
      <c r="V1036" s="100">
        <f>B1036&amp;"|"&amp;D1036&amp;"|"&amp;F1036</f>
        <v/>
      </c>
    </row>
    <row r="1037" ht="19" customHeight="1">
      <c r="A1037" s="93" t="n">
        <v>1027</v>
      </c>
      <c r="B1037" s="101" t="inlineStr">
        <is>
          <t>Stainless Steel 316</t>
        </is>
      </c>
      <c r="C1037" s="13" t="inlineStr">
        <is>
          <t>ASME B36.19M / B36.10M</t>
        </is>
      </c>
      <c r="D1037" s="12" t="inlineStr">
        <is>
          <t>14''</t>
        </is>
      </c>
      <c r="E1037" s="93" t="n">
        <v>350</v>
      </c>
      <c r="F1037" s="12" t="inlineStr">
        <is>
          <t>20</t>
        </is>
      </c>
      <c r="G1037" s="14" t="n">
        <v>14</v>
      </c>
      <c r="H1037" s="78" t="n">
        <v>355.6</v>
      </c>
      <c r="I1037" s="14" t="n">
        <v>0.312</v>
      </c>
      <c r="J1037" s="78" t="n">
        <v>7.92</v>
      </c>
      <c r="K1037" s="14">
        <f>ROUND((H1037-J1037)*J1037*IF(B1037="Carbon Steel",$K$7,IF(B1037="Stainless Steel 304",$K$8,$L$8)), 3)</f>
        <v/>
      </c>
      <c r="L1037" s="78">
        <f>ROUND(K1037*$G$5, 2)</f>
        <v/>
      </c>
      <c r="M1037" s="93">
        <f>INT($G$6/H1037)</f>
        <v/>
      </c>
      <c r="N1037" s="93">
        <f>IF(M1037=0, 0, IF(OR($K$6="Square Grid", M1037=1), INT($G$7/H1037), IF($G$7&lt;H1037, 0, 1+INT(($G$7-H1037)/(0.8660254*H1037)))))</f>
        <v/>
      </c>
      <c r="O1037" s="59">
        <f>IF(OR(M1037=0,N1037=0), 0, IF(OR($K$6="Square Grid", M1037=1), M1037*N1037*$K$5, (INT((N1037+1)/2)*M1037 + INT(N1037/2)*IF(($G$6-M1037*H1037)&gt;=0.5*H1037, M1037, M1037-1))*$K$5))</f>
        <v/>
      </c>
      <c r="P1037" s="59">
        <f>IF(L1037&lt;=0, 0, INT($G$8/L1037))</f>
        <v/>
      </c>
      <c r="Q1037" s="95">
        <f>MIN(O1037, P1037)</f>
        <v/>
      </c>
      <c r="R1037" s="96">
        <f>ROUND((Q1037*L1037)/1000, 2)</f>
        <v/>
      </c>
      <c r="S1037" s="79">
        <f>IF($C$8&gt;0, R1037/$C$8, 0)</f>
        <v/>
      </c>
      <c r="T1037" s="79">
        <f>IF(O1037&gt;0, Q1037/O1037, 0)</f>
        <v/>
      </c>
      <c r="U1037" s="12">
        <f>IF(Q1037=0, "Exceeds Limit", IF(P1037&lt;=O1037, "Weight Limited", "Volume Limited"))</f>
        <v/>
      </c>
      <c r="V1037" s="97">
        <f>B1037&amp;"|"&amp;D1037&amp;"|"&amp;F1037</f>
        <v/>
      </c>
    </row>
    <row r="1038" ht="19" customHeight="1">
      <c r="A1038" s="98" t="n">
        <v>1028</v>
      </c>
      <c r="B1038" s="102" t="inlineStr">
        <is>
          <t>Stainless Steel 316</t>
        </is>
      </c>
      <c r="C1038" s="19" t="inlineStr">
        <is>
          <t>ASME B36.19M / B36.10M</t>
        </is>
      </c>
      <c r="D1038" s="18" t="inlineStr">
        <is>
          <t>14''</t>
        </is>
      </c>
      <c r="E1038" s="98" t="n">
        <v>350</v>
      </c>
      <c r="F1038" s="18" t="inlineStr">
        <is>
          <t>30</t>
        </is>
      </c>
      <c r="G1038" s="20" t="n">
        <v>14</v>
      </c>
      <c r="H1038" s="82" t="n">
        <v>355.6</v>
      </c>
      <c r="I1038" s="20" t="n">
        <v>0.375</v>
      </c>
      <c r="J1038" s="82" t="n">
        <v>9.52</v>
      </c>
      <c r="K1038" s="20">
        <f>ROUND((H1038-J1038)*J1038*IF(B1038="Carbon Steel",$K$7,IF(B1038="Stainless Steel 304",$K$8,$L$8)), 3)</f>
        <v/>
      </c>
      <c r="L1038" s="82">
        <f>ROUND(K1038*$G$5, 2)</f>
        <v/>
      </c>
      <c r="M1038" s="98">
        <f>INT($G$6/H1038)</f>
        <v/>
      </c>
      <c r="N1038" s="98">
        <f>IF(M1038=0, 0, IF(OR($K$6="Square Grid", M1038=1), INT($G$7/H1038), IF($G$7&lt;H1038, 0, 1+INT(($G$7-H1038)/(0.8660254*H1038)))))</f>
        <v/>
      </c>
      <c r="O1038" s="84">
        <f>IF(OR(M1038=0,N1038=0), 0, IF(OR($K$6="Square Grid", M1038=1), M1038*N1038*$K$5, (INT((N1038+1)/2)*M1038 + INT(N1038/2)*IF(($G$6-M1038*H1038)&gt;=0.5*H1038, M1038, M1038-1))*$K$5))</f>
        <v/>
      </c>
      <c r="P1038" s="84">
        <f>IF(L1038&lt;=0, 0, INT($G$8/L1038))</f>
        <v/>
      </c>
      <c r="Q1038" s="95">
        <f>MIN(O1038, P1038)</f>
        <v/>
      </c>
      <c r="R1038" s="96">
        <f>ROUND((Q1038*L1038)/1000, 2)</f>
        <v/>
      </c>
      <c r="S1038" s="85">
        <f>IF($C$8&gt;0, R1038/$C$8, 0)</f>
        <v/>
      </c>
      <c r="T1038" s="85">
        <f>IF(O1038&gt;0, Q1038/O1038, 0)</f>
        <v/>
      </c>
      <c r="U1038" s="18">
        <f>IF(Q1038=0, "Exceeds Limit", IF(P1038&lt;=O1038, "Weight Limited", "Volume Limited"))</f>
        <v/>
      </c>
      <c r="V1038" s="100">
        <f>B1038&amp;"|"&amp;D1038&amp;"|"&amp;F1038</f>
        <v/>
      </c>
    </row>
    <row r="1039" ht="19" customHeight="1">
      <c r="A1039" s="93" t="n">
        <v>1029</v>
      </c>
      <c r="B1039" s="101" t="inlineStr">
        <is>
          <t>Stainless Steel 316</t>
        </is>
      </c>
      <c r="C1039" s="13" t="inlineStr">
        <is>
          <t>ASME B36.19M / B36.10M</t>
        </is>
      </c>
      <c r="D1039" s="12" t="inlineStr">
        <is>
          <t>14''</t>
        </is>
      </c>
      <c r="E1039" s="93" t="n">
        <v>350</v>
      </c>
      <c r="F1039" s="12" t="inlineStr">
        <is>
          <t>40S</t>
        </is>
      </c>
      <c r="G1039" s="14" t="n">
        <v>14</v>
      </c>
      <c r="H1039" s="78" t="n">
        <v>355.6</v>
      </c>
      <c r="I1039" s="14" t="n">
        <v>0.375</v>
      </c>
      <c r="J1039" s="78" t="n">
        <v>9.52</v>
      </c>
      <c r="K1039" s="14">
        <f>ROUND((H1039-J1039)*J1039*IF(B1039="Carbon Steel",$K$7,IF(B1039="Stainless Steel 304",$K$8,$L$8)), 3)</f>
        <v/>
      </c>
      <c r="L1039" s="78">
        <f>ROUND(K1039*$G$5, 2)</f>
        <v/>
      </c>
      <c r="M1039" s="93">
        <f>INT($G$6/H1039)</f>
        <v/>
      </c>
      <c r="N1039" s="93">
        <f>IF(M1039=0, 0, IF(OR($K$6="Square Grid", M1039=1), INT($G$7/H1039), IF($G$7&lt;H1039, 0, 1+INT(($G$7-H1039)/(0.8660254*H1039)))))</f>
        <v/>
      </c>
      <c r="O1039" s="59">
        <f>IF(OR(M1039=0,N1039=0), 0, IF(OR($K$6="Square Grid", M1039=1), M1039*N1039*$K$5, (INT((N1039+1)/2)*M1039 + INT(N1039/2)*IF(($G$6-M1039*H1039)&gt;=0.5*H1039, M1039, M1039-1))*$K$5))</f>
        <v/>
      </c>
      <c r="P1039" s="59">
        <f>IF(L1039&lt;=0, 0, INT($G$8/L1039))</f>
        <v/>
      </c>
      <c r="Q1039" s="95">
        <f>MIN(O1039, P1039)</f>
        <v/>
      </c>
      <c r="R1039" s="96">
        <f>ROUND((Q1039*L1039)/1000, 2)</f>
        <v/>
      </c>
      <c r="S1039" s="79">
        <f>IF($C$8&gt;0, R1039/$C$8, 0)</f>
        <v/>
      </c>
      <c r="T1039" s="79">
        <f>IF(O1039&gt;0, Q1039/O1039, 0)</f>
        <v/>
      </c>
      <c r="U1039" s="12">
        <f>IF(Q1039=0, "Exceeds Limit", IF(P1039&lt;=O1039, "Weight Limited", "Volume Limited"))</f>
        <v/>
      </c>
      <c r="V1039" s="97">
        <f>B1039&amp;"|"&amp;D1039&amp;"|"&amp;F1039</f>
        <v/>
      </c>
    </row>
    <row r="1040" ht="19" customHeight="1">
      <c r="A1040" s="98" t="n">
        <v>1030</v>
      </c>
      <c r="B1040" s="102" t="inlineStr">
        <is>
          <t>Stainless Steel 316</t>
        </is>
      </c>
      <c r="C1040" s="19" t="inlineStr">
        <is>
          <t>ASME B36.19M / B36.10M</t>
        </is>
      </c>
      <c r="D1040" s="18" t="inlineStr">
        <is>
          <t>14''</t>
        </is>
      </c>
      <c r="E1040" s="98" t="n">
        <v>350</v>
      </c>
      <c r="F1040" s="18" t="inlineStr">
        <is>
          <t>STD</t>
        </is>
      </c>
      <c r="G1040" s="20" t="n">
        <v>14</v>
      </c>
      <c r="H1040" s="82" t="n">
        <v>355.6</v>
      </c>
      <c r="I1040" s="20" t="n">
        <v>0.375</v>
      </c>
      <c r="J1040" s="82" t="n">
        <v>9.52</v>
      </c>
      <c r="K1040" s="20">
        <f>ROUND((H1040-J1040)*J1040*IF(B1040="Carbon Steel",$K$7,IF(B1040="Stainless Steel 304",$K$8,$L$8)), 3)</f>
        <v/>
      </c>
      <c r="L1040" s="82">
        <f>ROUND(K1040*$G$5, 2)</f>
        <v/>
      </c>
      <c r="M1040" s="98">
        <f>INT($G$6/H1040)</f>
        <v/>
      </c>
      <c r="N1040" s="98">
        <f>IF(M1040=0, 0, IF(OR($K$6="Square Grid", M1040=1), INT($G$7/H1040), IF($G$7&lt;H1040, 0, 1+INT(($G$7-H1040)/(0.8660254*H1040)))))</f>
        <v/>
      </c>
      <c r="O1040" s="84">
        <f>IF(OR(M1040=0,N1040=0), 0, IF(OR($K$6="Square Grid", M1040=1), M1040*N1040*$K$5, (INT((N1040+1)/2)*M1040 + INT(N1040/2)*IF(($G$6-M1040*H1040)&gt;=0.5*H1040, M1040, M1040-1))*$K$5))</f>
        <v/>
      </c>
      <c r="P1040" s="84">
        <f>IF(L1040&lt;=0, 0, INT($G$8/L1040))</f>
        <v/>
      </c>
      <c r="Q1040" s="95">
        <f>MIN(O1040, P1040)</f>
        <v/>
      </c>
      <c r="R1040" s="96">
        <f>ROUND((Q1040*L1040)/1000, 2)</f>
        <v/>
      </c>
      <c r="S1040" s="85">
        <f>IF($C$8&gt;0, R1040/$C$8, 0)</f>
        <v/>
      </c>
      <c r="T1040" s="85">
        <f>IF(O1040&gt;0, Q1040/O1040, 0)</f>
        <v/>
      </c>
      <c r="U1040" s="18">
        <f>IF(Q1040=0, "Exceeds Limit", IF(P1040&lt;=O1040, "Weight Limited", "Volume Limited"))</f>
        <v/>
      </c>
      <c r="V1040" s="100">
        <f>B1040&amp;"|"&amp;D1040&amp;"|"&amp;F1040</f>
        <v/>
      </c>
    </row>
    <row r="1041" ht="19" customHeight="1">
      <c r="A1041" s="93" t="n">
        <v>1031</v>
      </c>
      <c r="B1041" s="101" t="inlineStr">
        <is>
          <t>Stainless Steel 316</t>
        </is>
      </c>
      <c r="C1041" s="13" t="inlineStr">
        <is>
          <t>ASME B36.19M / B36.10M</t>
        </is>
      </c>
      <c r="D1041" s="12" t="inlineStr">
        <is>
          <t>14''</t>
        </is>
      </c>
      <c r="E1041" s="93" t="n">
        <v>350</v>
      </c>
      <c r="F1041" s="12" t="inlineStr">
        <is>
          <t>40</t>
        </is>
      </c>
      <c r="G1041" s="14" t="n">
        <v>14</v>
      </c>
      <c r="H1041" s="78" t="n">
        <v>355.6</v>
      </c>
      <c r="I1041" s="14" t="n">
        <v>0.438</v>
      </c>
      <c r="J1041" s="78" t="n">
        <v>11.13</v>
      </c>
      <c r="K1041" s="14">
        <f>ROUND((H1041-J1041)*J1041*IF(B1041="Carbon Steel",$K$7,IF(B1041="Stainless Steel 304",$K$8,$L$8)), 3)</f>
        <v/>
      </c>
      <c r="L1041" s="78">
        <f>ROUND(K1041*$G$5, 2)</f>
        <v/>
      </c>
      <c r="M1041" s="93">
        <f>INT($G$6/H1041)</f>
        <v/>
      </c>
      <c r="N1041" s="93">
        <f>IF(M1041=0, 0, IF(OR($K$6="Square Grid", M1041=1), INT($G$7/H1041), IF($G$7&lt;H1041, 0, 1+INT(($G$7-H1041)/(0.8660254*H1041)))))</f>
        <v/>
      </c>
      <c r="O1041" s="59">
        <f>IF(OR(M1041=0,N1041=0), 0, IF(OR($K$6="Square Grid", M1041=1), M1041*N1041*$K$5, (INT((N1041+1)/2)*M1041 + INT(N1041/2)*IF(($G$6-M1041*H1041)&gt;=0.5*H1041, M1041, M1041-1))*$K$5))</f>
        <v/>
      </c>
      <c r="P1041" s="59">
        <f>IF(L1041&lt;=0, 0, INT($G$8/L1041))</f>
        <v/>
      </c>
      <c r="Q1041" s="95">
        <f>MIN(O1041, P1041)</f>
        <v/>
      </c>
      <c r="R1041" s="96">
        <f>ROUND((Q1041*L1041)/1000, 2)</f>
        <v/>
      </c>
      <c r="S1041" s="79">
        <f>IF($C$8&gt;0, R1041/$C$8, 0)</f>
        <v/>
      </c>
      <c r="T1041" s="79">
        <f>IF(O1041&gt;0, Q1041/O1041, 0)</f>
        <v/>
      </c>
      <c r="U1041" s="12">
        <f>IF(Q1041=0, "Exceeds Limit", IF(P1041&lt;=O1041, "Weight Limited", "Volume Limited"))</f>
        <v/>
      </c>
      <c r="V1041" s="97">
        <f>B1041&amp;"|"&amp;D1041&amp;"|"&amp;F1041</f>
        <v/>
      </c>
    </row>
    <row r="1042" ht="19" customHeight="1">
      <c r="A1042" s="98" t="n">
        <v>1032</v>
      </c>
      <c r="B1042" s="102" t="inlineStr">
        <is>
          <t>Stainless Steel 316</t>
        </is>
      </c>
      <c r="C1042" s="19" t="inlineStr">
        <is>
          <t>ASME B36.19M / B36.10M</t>
        </is>
      </c>
      <c r="D1042" s="18" t="inlineStr">
        <is>
          <t>14''</t>
        </is>
      </c>
      <c r="E1042" s="98" t="n">
        <v>350</v>
      </c>
      <c r="F1042" s="18" t="inlineStr">
        <is>
          <t>60</t>
        </is>
      </c>
      <c r="G1042" s="20" t="n">
        <v>14</v>
      </c>
      <c r="H1042" s="82" t="n">
        <v>355.6</v>
      </c>
      <c r="I1042" s="20" t="n">
        <v>0.594</v>
      </c>
      <c r="J1042" s="82" t="n">
        <v>15.09</v>
      </c>
      <c r="K1042" s="20">
        <f>ROUND((H1042-J1042)*J1042*IF(B1042="Carbon Steel",$K$7,IF(B1042="Stainless Steel 304",$K$8,$L$8)), 3)</f>
        <v/>
      </c>
      <c r="L1042" s="82">
        <f>ROUND(K1042*$G$5, 2)</f>
        <v/>
      </c>
      <c r="M1042" s="98">
        <f>INT($G$6/H1042)</f>
        <v/>
      </c>
      <c r="N1042" s="98">
        <f>IF(M1042=0, 0, IF(OR($K$6="Square Grid", M1042=1), INT($G$7/H1042), IF($G$7&lt;H1042, 0, 1+INT(($G$7-H1042)/(0.8660254*H1042)))))</f>
        <v/>
      </c>
      <c r="O1042" s="84">
        <f>IF(OR(M1042=0,N1042=0), 0, IF(OR($K$6="Square Grid", M1042=1), M1042*N1042*$K$5, (INT((N1042+1)/2)*M1042 + INT(N1042/2)*IF(($G$6-M1042*H1042)&gt;=0.5*H1042, M1042, M1042-1))*$K$5))</f>
        <v/>
      </c>
      <c r="P1042" s="84">
        <f>IF(L1042&lt;=0, 0, INT($G$8/L1042))</f>
        <v/>
      </c>
      <c r="Q1042" s="95">
        <f>MIN(O1042, P1042)</f>
        <v/>
      </c>
      <c r="R1042" s="96">
        <f>ROUND((Q1042*L1042)/1000, 2)</f>
        <v/>
      </c>
      <c r="S1042" s="85">
        <f>IF($C$8&gt;0, R1042/$C$8, 0)</f>
        <v/>
      </c>
      <c r="T1042" s="85">
        <f>IF(O1042&gt;0, Q1042/O1042, 0)</f>
        <v/>
      </c>
      <c r="U1042" s="18">
        <f>IF(Q1042=0, "Exceeds Limit", IF(P1042&lt;=O1042, "Weight Limited", "Volume Limited"))</f>
        <v/>
      </c>
      <c r="V1042" s="100">
        <f>B1042&amp;"|"&amp;D1042&amp;"|"&amp;F1042</f>
        <v/>
      </c>
    </row>
    <row r="1043" ht="19" customHeight="1">
      <c r="A1043" s="93" t="n">
        <v>1033</v>
      </c>
      <c r="B1043" s="101" t="inlineStr">
        <is>
          <t>Stainless Steel 316</t>
        </is>
      </c>
      <c r="C1043" s="13" t="inlineStr">
        <is>
          <t>ASME B36.19M / B36.10M</t>
        </is>
      </c>
      <c r="D1043" s="12" t="inlineStr">
        <is>
          <t>14''</t>
        </is>
      </c>
      <c r="E1043" s="93" t="n">
        <v>350</v>
      </c>
      <c r="F1043" s="12" t="inlineStr">
        <is>
          <t>80S</t>
        </is>
      </c>
      <c r="G1043" s="14" t="n">
        <v>14</v>
      </c>
      <c r="H1043" s="78" t="n">
        <v>355.6</v>
      </c>
      <c r="I1043" s="14" t="n">
        <v>0.5</v>
      </c>
      <c r="J1043" s="78" t="n">
        <v>12.7</v>
      </c>
      <c r="K1043" s="14">
        <f>ROUND((H1043-J1043)*J1043*IF(B1043="Carbon Steel",$K$7,IF(B1043="Stainless Steel 304",$K$8,$L$8)), 3)</f>
        <v/>
      </c>
      <c r="L1043" s="78">
        <f>ROUND(K1043*$G$5, 2)</f>
        <v/>
      </c>
      <c r="M1043" s="93">
        <f>INT($G$6/H1043)</f>
        <v/>
      </c>
      <c r="N1043" s="93">
        <f>IF(M1043=0, 0, IF(OR($K$6="Square Grid", M1043=1), INT($G$7/H1043), IF($G$7&lt;H1043, 0, 1+INT(($G$7-H1043)/(0.8660254*H1043)))))</f>
        <v/>
      </c>
      <c r="O1043" s="59">
        <f>IF(OR(M1043=0,N1043=0), 0, IF(OR($K$6="Square Grid", M1043=1), M1043*N1043*$K$5, (INT((N1043+1)/2)*M1043 + INT(N1043/2)*IF(($G$6-M1043*H1043)&gt;=0.5*H1043, M1043, M1043-1))*$K$5))</f>
        <v/>
      </c>
      <c r="P1043" s="59">
        <f>IF(L1043&lt;=0, 0, INT($G$8/L1043))</f>
        <v/>
      </c>
      <c r="Q1043" s="95">
        <f>MIN(O1043, P1043)</f>
        <v/>
      </c>
      <c r="R1043" s="96">
        <f>ROUND((Q1043*L1043)/1000, 2)</f>
        <v/>
      </c>
      <c r="S1043" s="79">
        <f>IF($C$8&gt;0, R1043/$C$8, 0)</f>
        <v/>
      </c>
      <c r="T1043" s="79">
        <f>IF(O1043&gt;0, Q1043/O1043, 0)</f>
        <v/>
      </c>
      <c r="U1043" s="12">
        <f>IF(Q1043=0, "Exceeds Limit", IF(P1043&lt;=O1043, "Weight Limited", "Volume Limited"))</f>
        <v/>
      </c>
      <c r="V1043" s="97">
        <f>B1043&amp;"|"&amp;D1043&amp;"|"&amp;F1043</f>
        <v/>
      </c>
    </row>
    <row r="1044" ht="19" customHeight="1">
      <c r="A1044" s="98" t="n">
        <v>1034</v>
      </c>
      <c r="B1044" s="102" t="inlineStr">
        <is>
          <t>Stainless Steel 316</t>
        </is>
      </c>
      <c r="C1044" s="19" t="inlineStr">
        <is>
          <t>ASME B36.19M / B36.10M</t>
        </is>
      </c>
      <c r="D1044" s="18" t="inlineStr">
        <is>
          <t>14''</t>
        </is>
      </c>
      <c r="E1044" s="98" t="n">
        <v>350</v>
      </c>
      <c r="F1044" s="18" t="inlineStr">
        <is>
          <t>XS</t>
        </is>
      </c>
      <c r="G1044" s="20" t="n">
        <v>14</v>
      </c>
      <c r="H1044" s="82" t="n">
        <v>355.6</v>
      </c>
      <c r="I1044" s="20" t="n">
        <v>0.5</v>
      </c>
      <c r="J1044" s="82" t="n">
        <v>12.7</v>
      </c>
      <c r="K1044" s="20">
        <f>ROUND((H1044-J1044)*J1044*IF(B1044="Carbon Steel",$K$7,IF(B1044="Stainless Steel 304",$K$8,$L$8)), 3)</f>
        <v/>
      </c>
      <c r="L1044" s="82">
        <f>ROUND(K1044*$G$5, 2)</f>
        <v/>
      </c>
      <c r="M1044" s="98">
        <f>INT($G$6/H1044)</f>
        <v/>
      </c>
      <c r="N1044" s="98">
        <f>IF(M1044=0, 0, IF(OR($K$6="Square Grid", M1044=1), INT($G$7/H1044), IF($G$7&lt;H1044, 0, 1+INT(($G$7-H1044)/(0.8660254*H1044)))))</f>
        <v/>
      </c>
      <c r="O1044" s="84">
        <f>IF(OR(M1044=0,N1044=0), 0, IF(OR($K$6="Square Grid", M1044=1), M1044*N1044*$K$5, (INT((N1044+1)/2)*M1044 + INT(N1044/2)*IF(($G$6-M1044*H1044)&gt;=0.5*H1044, M1044, M1044-1))*$K$5))</f>
        <v/>
      </c>
      <c r="P1044" s="84">
        <f>IF(L1044&lt;=0, 0, INT($G$8/L1044))</f>
        <v/>
      </c>
      <c r="Q1044" s="95">
        <f>MIN(O1044, P1044)</f>
        <v/>
      </c>
      <c r="R1044" s="96">
        <f>ROUND((Q1044*L1044)/1000, 2)</f>
        <v/>
      </c>
      <c r="S1044" s="85">
        <f>IF($C$8&gt;0, R1044/$C$8, 0)</f>
        <v/>
      </c>
      <c r="T1044" s="85">
        <f>IF(O1044&gt;0, Q1044/O1044, 0)</f>
        <v/>
      </c>
      <c r="U1044" s="18">
        <f>IF(Q1044=0, "Exceeds Limit", IF(P1044&lt;=O1044, "Weight Limited", "Volume Limited"))</f>
        <v/>
      </c>
      <c r="V1044" s="100">
        <f>B1044&amp;"|"&amp;D1044&amp;"|"&amp;F1044</f>
        <v/>
      </c>
    </row>
    <row r="1045" ht="19" customHeight="1">
      <c r="A1045" s="93" t="n">
        <v>1035</v>
      </c>
      <c r="B1045" s="101" t="inlineStr">
        <is>
          <t>Stainless Steel 316</t>
        </is>
      </c>
      <c r="C1045" s="13" t="inlineStr">
        <is>
          <t>ASME B36.19M / B36.10M</t>
        </is>
      </c>
      <c r="D1045" s="12" t="inlineStr">
        <is>
          <t>14''</t>
        </is>
      </c>
      <c r="E1045" s="93" t="n">
        <v>350</v>
      </c>
      <c r="F1045" s="12" t="inlineStr">
        <is>
          <t>80</t>
        </is>
      </c>
      <c r="G1045" s="14" t="n">
        <v>14</v>
      </c>
      <c r="H1045" s="78" t="n">
        <v>355.6</v>
      </c>
      <c r="I1045" s="14" t="n">
        <v>0.75</v>
      </c>
      <c r="J1045" s="78" t="n">
        <v>19.05</v>
      </c>
      <c r="K1045" s="14">
        <f>ROUND((H1045-J1045)*J1045*IF(B1045="Carbon Steel",$K$7,IF(B1045="Stainless Steel 304",$K$8,$L$8)), 3)</f>
        <v/>
      </c>
      <c r="L1045" s="78">
        <f>ROUND(K1045*$G$5, 2)</f>
        <v/>
      </c>
      <c r="M1045" s="93">
        <f>INT($G$6/H1045)</f>
        <v/>
      </c>
      <c r="N1045" s="93">
        <f>IF(M1045=0, 0, IF(OR($K$6="Square Grid", M1045=1), INT($G$7/H1045), IF($G$7&lt;H1045, 0, 1+INT(($G$7-H1045)/(0.8660254*H1045)))))</f>
        <v/>
      </c>
      <c r="O1045" s="59">
        <f>IF(OR(M1045=0,N1045=0), 0, IF(OR($K$6="Square Grid", M1045=1), M1045*N1045*$K$5, (INT((N1045+1)/2)*M1045 + INT(N1045/2)*IF(($G$6-M1045*H1045)&gt;=0.5*H1045, M1045, M1045-1))*$K$5))</f>
        <v/>
      </c>
      <c r="P1045" s="59">
        <f>IF(L1045&lt;=0, 0, INT($G$8/L1045))</f>
        <v/>
      </c>
      <c r="Q1045" s="95">
        <f>MIN(O1045, P1045)</f>
        <v/>
      </c>
      <c r="R1045" s="96">
        <f>ROUND((Q1045*L1045)/1000, 2)</f>
        <v/>
      </c>
      <c r="S1045" s="79">
        <f>IF($C$8&gt;0, R1045/$C$8, 0)</f>
        <v/>
      </c>
      <c r="T1045" s="79">
        <f>IF(O1045&gt;0, Q1045/O1045, 0)</f>
        <v/>
      </c>
      <c r="U1045" s="12">
        <f>IF(Q1045=0, "Exceeds Limit", IF(P1045&lt;=O1045, "Weight Limited", "Volume Limited"))</f>
        <v/>
      </c>
      <c r="V1045" s="97">
        <f>B1045&amp;"|"&amp;D1045&amp;"|"&amp;F1045</f>
        <v/>
      </c>
    </row>
    <row r="1046" ht="19" customHeight="1">
      <c r="A1046" s="98" t="n">
        <v>1036</v>
      </c>
      <c r="B1046" s="102" t="inlineStr">
        <is>
          <t>Stainless Steel 316</t>
        </is>
      </c>
      <c r="C1046" s="19" t="inlineStr">
        <is>
          <t>ASME B36.19M / B36.10M</t>
        </is>
      </c>
      <c r="D1046" s="18" t="inlineStr">
        <is>
          <t>14''</t>
        </is>
      </c>
      <c r="E1046" s="98" t="n">
        <v>350</v>
      </c>
      <c r="F1046" s="18" t="inlineStr">
        <is>
          <t>100</t>
        </is>
      </c>
      <c r="G1046" s="20" t="n">
        <v>14</v>
      </c>
      <c r="H1046" s="82" t="n">
        <v>355.6</v>
      </c>
      <c r="I1046" s="20" t="n">
        <v>0.9379999999999999</v>
      </c>
      <c r="J1046" s="82" t="n">
        <v>23.83</v>
      </c>
      <c r="K1046" s="20">
        <f>ROUND((H1046-J1046)*J1046*IF(B1046="Carbon Steel",$K$7,IF(B1046="Stainless Steel 304",$K$8,$L$8)), 3)</f>
        <v/>
      </c>
      <c r="L1046" s="82">
        <f>ROUND(K1046*$G$5, 2)</f>
        <v/>
      </c>
      <c r="M1046" s="98">
        <f>INT($G$6/H1046)</f>
        <v/>
      </c>
      <c r="N1046" s="98">
        <f>IF(M1046=0, 0, IF(OR($K$6="Square Grid", M1046=1), INT($G$7/H1046), IF($G$7&lt;H1046, 0, 1+INT(($G$7-H1046)/(0.8660254*H1046)))))</f>
        <v/>
      </c>
      <c r="O1046" s="84">
        <f>IF(OR(M1046=0,N1046=0), 0, IF(OR($K$6="Square Grid", M1046=1), M1046*N1046*$K$5, (INT((N1046+1)/2)*M1046 + INT(N1046/2)*IF(($G$6-M1046*H1046)&gt;=0.5*H1046, M1046, M1046-1))*$K$5))</f>
        <v/>
      </c>
      <c r="P1046" s="84">
        <f>IF(L1046&lt;=0, 0, INT($G$8/L1046))</f>
        <v/>
      </c>
      <c r="Q1046" s="95">
        <f>MIN(O1046, P1046)</f>
        <v/>
      </c>
      <c r="R1046" s="96">
        <f>ROUND((Q1046*L1046)/1000, 2)</f>
        <v/>
      </c>
      <c r="S1046" s="85">
        <f>IF($C$8&gt;0, R1046/$C$8, 0)</f>
        <v/>
      </c>
      <c r="T1046" s="85">
        <f>IF(O1046&gt;0, Q1046/O1046, 0)</f>
        <v/>
      </c>
      <c r="U1046" s="18">
        <f>IF(Q1046=0, "Exceeds Limit", IF(P1046&lt;=O1046, "Weight Limited", "Volume Limited"))</f>
        <v/>
      </c>
      <c r="V1046" s="100">
        <f>B1046&amp;"|"&amp;D1046&amp;"|"&amp;F1046</f>
        <v/>
      </c>
    </row>
    <row r="1047" ht="19" customHeight="1">
      <c r="A1047" s="93" t="n">
        <v>1037</v>
      </c>
      <c r="B1047" s="101" t="inlineStr">
        <is>
          <t>Stainless Steel 316</t>
        </is>
      </c>
      <c r="C1047" s="13" t="inlineStr">
        <is>
          <t>ASME B36.19M / B36.10M</t>
        </is>
      </c>
      <c r="D1047" s="12" t="inlineStr">
        <is>
          <t>14''</t>
        </is>
      </c>
      <c r="E1047" s="93" t="n">
        <v>350</v>
      </c>
      <c r="F1047" s="12" t="inlineStr">
        <is>
          <t>120</t>
        </is>
      </c>
      <c r="G1047" s="14" t="n">
        <v>14</v>
      </c>
      <c r="H1047" s="78" t="n">
        <v>355.6</v>
      </c>
      <c r="I1047" s="14" t="n">
        <v>1.094</v>
      </c>
      <c r="J1047" s="78" t="n">
        <v>27.79</v>
      </c>
      <c r="K1047" s="14">
        <f>ROUND((H1047-J1047)*J1047*IF(B1047="Carbon Steel",$K$7,IF(B1047="Stainless Steel 304",$K$8,$L$8)), 3)</f>
        <v/>
      </c>
      <c r="L1047" s="78">
        <f>ROUND(K1047*$G$5, 2)</f>
        <v/>
      </c>
      <c r="M1047" s="93">
        <f>INT($G$6/H1047)</f>
        <v/>
      </c>
      <c r="N1047" s="93">
        <f>IF(M1047=0, 0, IF(OR($K$6="Square Grid", M1047=1), INT($G$7/H1047), IF($G$7&lt;H1047, 0, 1+INT(($G$7-H1047)/(0.8660254*H1047)))))</f>
        <v/>
      </c>
      <c r="O1047" s="59">
        <f>IF(OR(M1047=0,N1047=0), 0, IF(OR($K$6="Square Grid", M1047=1), M1047*N1047*$K$5, (INT((N1047+1)/2)*M1047 + INT(N1047/2)*IF(($G$6-M1047*H1047)&gt;=0.5*H1047, M1047, M1047-1))*$K$5))</f>
        <v/>
      </c>
      <c r="P1047" s="59">
        <f>IF(L1047&lt;=0, 0, INT($G$8/L1047))</f>
        <v/>
      </c>
      <c r="Q1047" s="95">
        <f>MIN(O1047, P1047)</f>
        <v/>
      </c>
      <c r="R1047" s="96">
        <f>ROUND((Q1047*L1047)/1000, 2)</f>
        <v/>
      </c>
      <c r="S1047" s="79">
        <f>IF($C$8&gt;0, R1047/$C$8, 0)</f>
        <v/>
      </c>
      <c r="T1047" s="79">
        <f>IF(O1047&gt;0, Q1047/O1047, 0)</f>
        <v/>
      </c>
      <c r="U1047" s="12">
        <f>IF(Q1047=0, "Exceeds Limit", IF(P1047&lt;=O1047, "Weight Limited", "Volume Limited"))</f>
        <v/>
      </c>
      <c r="V1047" s="97">
        <f>B1047&amp;"|"&amp;D1047&amp;"|"&amp;F1047</f>
        <v/>
      </c>
    </row>
    <row r="1048" ht="19" customHeight="1">
      <c r="A1048" s="98" t="n">
        <v>1038</v>
      </c>
      <c r="B1048" s="102" t="inlineStr">
        <is>
          <t>Stainless Steel 316</t>
        </is>
      </c>
      <c r="C1048" s="19" t="inlineStr">
        <is>
          <t>ASME B36.19M / B36.10M</t>
        </is>
      </c>
      <c r="D1048" s="18" t="inlineStr">
        <is>
          <t>14''</t>
        </is>
      </c>
      <c r="E1048" s="98" t="n">
        <v>350</v>
      </c>
      <c r="F1048" s="18" t="inlineStr">
        <is>
          <t>140</t>
        </is>
      </c>
      <c r="G1048" s="20" t="n">
        <v>14</v>
      </c>
      <c r="H1048" s="82" t="n">
        <v>355.6</v>
      </c>
      <c r="I1048" s="20" t="n">
        <v>1.25</v>
      </c>
      <c r="J1048" s="82" t="n">
        <v>31.75</v>
      </c>
      <c r="K1048" s="20">
        <f>ROUND((H1048-J1048)*J1048*IF(B1048="Carbon Steel",$K$7,IF(B1048="Stainless Steel 304",$K$8,$L$8)), 3)</f>
        <v/>
      </c>
      <c r="L1048" s="82">
        <f>ROUND(K1048*$G$5, 2)</f>
        <v/>
      </c>
      <c r="M1048" s="98">
        <f>INT($G$6/H1048)</f>
        <v/>
      </c>
      <c r="N1048" s="98">
        <f>IF(M1048=0, 0, IF(OR($K$6="Square Grid", M1048=1), INT($G$7/H1048), IF($G$7&lt;H1048, 0, 1+INT(($G$7-H1048)/(0.8660254*H1048)))))</f>
        <v/>
      </c>
      <c r="O1048" s="84">
        <f>IF(OR(M1048=0,N1048=0), 0, IF(OR($K$6="Square Grid", M1048=1), M1048*N1048*$K$5, (INT((N1048+1)/2)*M1048 + INT(N1048/2)*IF(($G$6-M1048*H1048)&gt;=0.5*H1048, M1048, M1048-1))*$K$5))</f>
        <v/>
      </c>
      <c r="P1048" s="84">
        <f>IF(L1048&lt;=0, 0, INT($G$8/L1048))</f>
        <v/>
      </c>
      <c r="Q1048" s="95">
        <f>MIN(O1048, P1048)</f>
        <v/>
      </c>
      <c r="R1048" s="96">
        <f>ROUND((Q1048*L1048)/1000, 2)</f>
        <v/>
      </c>
      <c r="S1048" s="85">
        <f>IF($C$8&gt;0, R1048/$C$8, 0)</f>
        <v/>
      </c>
      <c r="T1048" s="85">
        <f>IF(O1048&gt;0, Q1048/O1048, 0)</f>
        <v/>
      </c>
      <c r="U1048" s="18">
        <f>IF(Q1048=0, "Exceeds Limit", IF(P1048&lt;=O1048, "Weight Limited", "Volume Limited"))</f>
        <v/>
      </c>
      <c r="V1048" s="100">
        <f>B1048&amp;"|"&amp;D1048&amp;"|"&amp;F1048</f>
        <v/>
      </c>
    </row>
    <row r="1049" ht="19" customHeight="1">
      <c r="A1049" s="93" t="n">
        <v>1039</v>
      </c>
      <c r="B1049" s="101" t="inlineStr">
        <is>
          <t>Stainless Steel 316</t>
        </is>
      </c>
      <c r="C1049" s="13" t="inlineStr">
        <is>
          <t>ASME B36.19M / B36.10M</t>
        </is>
      </c>
      <c r="D1049" s="12" t="inlineStr">
        <is>
          <t>14''</t>
        </is>
      </c>
      <c r="E1049" s="93" t="n">
        <v>350</v>
      </c>
      <c r="F1049" s="12" t="inlineStr">
        <is>
          <t>160</t>
        </is>
      </c>
      <c r="G1049" s="14" t="n">
        <v>14</v>
      </c>
      <c r="H1049" s="78" t="n">
        <v>355.6</v>
      </c>
      <c r="I1049" s="14" t="n">
        <v>1.406</v>
      </c>
      <c r="J1049" s="78" t="n">
        <v>35.71</v>
      </c>
      <c r="K1049" s="14">
        <f>ROUND((H1049-J1049)*J1049*IF(B1049="Carbon Steel",$K$7,IF(B1049="Stainless Steel 304",$K$8,$L$8)), 3)</f>
        <v/>
      </c>
      <c r="L1049" s="78">
        <f>ROUND(K1049*$G$5, 2)</f>
        <v/>
      </c>
      <c r="M1049" s="93">
        <f>INT($G$6/H1049)</f>
        <v/>
      </c>
      <c r="N1049" s="93">
        <f>IF(M1049=0, 0, IF(OR($K$6="Square Grid", M1049=1), INT($G$7/H1049), IF($G$7&lt;H1049, 0, 1+INT(($G$7-H1049)/(0.8660254*H1049)))))</f>
        <v/>
      </c>
      <c r="O1049" s="59">
        <f>IF(OR(M1049=0,N1049=0), 0, IF(OR($K$6="Square Grid", M1049=1), M1049*N1049*$K$5, (INT((N1049+1)/2)*M1049 + INT(N1049/2)*IF(($G$6-M1049*H1049)&gt;=0.5*H1049, M1049, M1049-1))*$K$5))</f>
        <v/>
      </c>
      <c r="P1049" s="59">
        <f>IF(L1049&lt;=0, 0, INT($G$8/L1049))</f>
        <v/>
      </c>
      <c r="Q1049" s="95">
        <f>MIN(O1049, P1049)</f>
        <v/>
      </c>
      <c r="R1049" s="96">
        <f>ROUND((Q1049*L1049)/1000, 2)</f>
        <v/>
      </c>
      <c r="S1049" s="79">
        <f>IF($C$8&gt;0, R1049/$C$8, 0)</f>
        <v/>
      </c>
      <c r="T1049" s="79">
        <f>IF(O1049&gt;0, Q1049/O1049, 0)</f>
        <v/>
      </c>
      <c r="U1049" s="12">
        <f>IF(Q1049=0, "Exceeds Limit", IF(P1049&lt;=O1049, "Weight Limited", "Volume Limited"))</f>
        <v/>
      </c>
      <c r="V1049" s="97">
        <f>B1049&amp;"|"&amp;D1049&amp;"|"&amp;F1049</f>
        <v/>
      </c>
    </row>
    <row r="1050" ht="19" customHeight="1">
      <c r="A1050" s="98" t="n">
        <v>1040</v>
      </c>
      <c r="B1050" s="102" t="inlineStr">
        <is>
          <t>Stainless Steel 316</t>
        </is>
      </c>
      <c r="C1050" s="19" t="inlineStr">
        <is>
          <t>ASME B36.19M / B36.10M</t>
        </is>
      </c>
      <c r="D1050" s="18" t="inlineStr">
        <is>
          <t>16''</t>
        </is>
      </c>
      <c r="E1050" s="98" t="n">
        <v>400</v>
      </c>
      <c r="F1050" s="18" t="inlineStr">
        <is>
          <t>5S</t>
        </is>
      </c>
      <c r="G1050" s="20" t="n">
        <v>16</v>
      </c>
      <c r="H1050" s="82" t="n">
        <v>406.4</v>
      </c>
      <c r="I1050" s="20" t="n">
        <v>0.165</v>
      </c>
      <c r="J1050" s="82" t="n">
        <v>4.19</v>
      </c>
      <c r="K1050" s="20">
        <f>ROUND((H1050-J1050)*J1050*IF(B1050="Carbon Steel",$K$7,IF(B1050="Stainless Steel 304",$K$8,$L$8)), 3)</f>
        <v/>
      </c>
      <c r="L1050" s="82">
        <f>ROUND(K1050*$G$5, 2)</f>
        <v/>
      </c>
      <c r="M1050" s="98">
        <f>INT($G$6/H1050)</f>
        <v/>
      </c>
      <c r="N1050" s="98">
        <f>IF(M1050=0, 0, IF(OR($K$6="Square Grid", M1050=1), INT($G$7/H1050), IF($G$7&lt;H1050, 0, 1+INT(($G$7-H1050)/(0.8660254*H1050)))))</f>
        <v/>
      </c>
      <c r="O1050" s="84">
        <f>IF(OR(M1050=0,N1050=0), 0, IF(OR($K$6="Square Grid", M1050=1), M1050*N1050*$K$5, (INT((N1050+1)/2)*M1050 + INT(N1050/2)*IF(($G$6-M1050*H1050)&gt;=0.5*H1050, M1050, M1050-1))*$K$5))</f>
        <v/>
      </c>
      <c r="P1050" s="84">
        <f>IF(L1050&lt;=0, 0, INT($G$8/L1050))</f>
        <v/>
      </c>
      <c r="Q1050" s="95">
        <f>MIN(O1050, P1050)</f>
        <v/>
      </c>
      <c r="R1050" s="96">
        <f>ROUND((Q1050*L1050)/1000, 2)</f>
        <v/>
      </c>
      <c r="S1050" s="85">
        <f>IF($C$8&gt;0, R1050/$C$8, 0)</f>
        <v/>
      </c>
      <c r="T1050" s="85">
        <f>IF(O1050&gt;0, Q1050/O1050, 0)</f>
        <v/>
      </c>
      <c r="U1050" s="18">
        <f>IF(Q1050=0, "Exceeds Limit", IF(P1050&lt;=O1050, "Weight Limited", "Volume Limited"))</f>
        <v/>
      </c>
      <c r="V1050" s="100">
        <f>B1050&amp;"|"&amp;D1050&amp;"|"&amp;F1050</f>
        <v/>
      </c>
    </row>
    <row r="1051" ht="19" customHeight="1">
      <c r="A1051" s="93" t="n">
        <v>1041</v>
      </c>
      <c r="B1051" s="101" t="inlineStr">
        <is>
          <t>Stainless Steel 316</t>
        </is>
      </c>
      <c r="C1051" s="13" t="inlineStr">
        <is>
          <t>ASME B36.19M / B36.10M</t>
        </is>
      </c>
      <c r="D1051" s="12" t="inlineStr">
        <is>
          <t>16''</t>
        </is>
      </c>
      <c r="E1051" s="93" t="n">
        <v>400</v>
      </c>
      <c r="F1051" s="12" t="inlineStr">
        <is>
          <t>5</t>
        </is>
      </c>
      <c r="G1051" s="14" t="n">
        <v>16</v>
      </c>
      <c r="H1051" s="78" t="n">
        <v>406.4</v>
      </c>
      <c r="I1051" s="14" t="n">
        <v>0.165</v>
      </c>
      <c r="J1051" s="78" t="n">
        <v>4.19</v>
      </c>
      <c r="K1051" s="14">
        <f>ROUND((H1051-J1051)*J1051*IF(B1051="Carbon Steel",$K$7,IF(B1051="Stainless Steel 304",$K$8,$L$8)), 3)</f>
        <v/>
      </c>
      <c r="L1051" s="78">
        <f>ROUND(K1051*$G$5, 2)</f>
        <v/>
      </c>
      <c r="M1051" s="93">
        <f>INT($G$6/H1051)</f>
        <v/>
      </c>
      <c r="N1051" s="93">
        <f>IF(M1051=0, 0, IF(OR($K$6="Square Grid", M1051=1), INT($G$7/H1051), IF($G$7&lt;H1051, 0, 1+INT(($G$7-H1051)/(0.8660254*H1051)))))</f>
        <v/>
      </c>
      <c r="O1051" s="59">
        <f>IF(OR(M1051=0,N1051=0), 0, IF(OR($K$6="Square Grid", M1051=1), M1051*N1051*$K$5, (INT((N1051+1)/2)*M1051 + INT(N1051/2)*IF(($G$6-M1051*H1051)&gt;=0.5*H1051, M1051, M1051-1))*$K$5))</f>
        <v/>
      </c>
      <c r="P1051" s="59">
        <f>IF(L1051&lt;=0, 0, INT($G$8/L1051))</f>
        <v/>
      </c>
      <c r="Q1051" s="95">
        <f>MIN(O1051, P1051)</f>
        <v/>
      </c>
      <c r="R1051" s="96">
        <f>ROUND((Q1051*L1051)/1000, 2)</f>
        <v/>
      </c>
      <c r="S1051" s="79">
        <f>IF($C$8&gt;0, R1051/$C$8, 0)</f>
        <v/>
      </c>
      <c r="T1051" s="79">
        <f>IF(O1051&gt;0, Q1051/O1051, 0)</f>
        <v/>
      </c>
      <c r="U1051" s="12">
        <f>IF(Q1051=0, "Exceeds Limit", IF(P1051&lt;=O1051, "Weight Limited", "Volume Limited"))</f>
        <v/>
      </c>
      <c r="V1051" s="97">
        <f>B1051&amp;"|"&amp;D1051&amp;"|"&amp;F1051</f>
        <v/>
      </c>
    </row>
    <row r="1052" ht="19" customHeight="1">
      <c r="A1052" s="98" t="n">
        <v>1042</v>
      </c>
      <c r="B1052" s="102" t="inlineStr">
        <is>
          <t>Stainless Steel 316</t>
        </is>
      </c>
      <c r="C1052" s="19" t="inlineStr">
        <is>
          <t>ASME B36.19M / B36.10M</t>
        </is>
      </c>
      <c r="D1052" s="18" t="inlineStr">
        <is>
          <t>16''</t>
        </is>
      </c>
      <c r="E1052" s="98" t="n">
        <v>400</v>
      </c>
      <c r="F1052" s="18" t="inlineStr">
        <is>
          <t>10S</t>
        </is>
      </c>
      <c r="G1052" s="20" t="n">
        <v>16</v>
      </c>
      <c r="H1052" s="82" t="n">
        <v>406.4</v>
      </c>
      <c r="I1052" s="20" t="n">
        <v>0.188</v>
      </c>
      <c r="J1052" s="82" t="n">
        <v>4.78</v>
      </c>
      <c r="K1052" s="20">
        <f>ROUND((H1052-J1052)*J1052*IF(B1052="Carbon Steel",$K$7,IF(B1052="Stainless Steel 304",$K$8,$L$8)), 3)</f>
        <v/>
      </c>
      <c r="L1052" s="82">
        <f>ROUND(K1052*$G$5, 2)</f>
        <v/>
      </c>
      <c r="M1052" s="98">
        <f>INT($G$6/H1052)</f>
        <v/>
      </c>
      <c r="N1052" s="98">
        <f>IF(M1052=0, 0, IF(OR($K$6="Square Grid", M1052=1), INT($G$7/H1052), IF($G$7&lt;H1052, 0, 1+INT(($G$7-H1052)/(0.8660254*H1052)))))</f>
        <v/>
      </c>
      <c r="O1052" s="84">
        <f>IF(OR(M1052=0,N1052=0), 0, IF(OR($K$6="Square Grid", M1052=1), M1052*N1052*$K$5, (INT((N1052+1)/2)*M1052 + INT(N1052/2)*IF(($G$6-M1052*H1052)&gt;=0.5*H1052, M1052, M1052-1))*$K$5))</f>
        <v/>
      </c>
      <c r="P1052" s="84">
        <f>IF(L1052&lt;=0, 0, INT($G$8/L1052))</f>
        <v/>
      </c>
      <c r="Q1052" s="95">
        <f>MIN(O1052, P1052)</f>
        <v/>
      </c>
      <c r="R1052" s="96">
        <f>ROUND((Q1052*L1052)/1000, 2)</f>
        <v/>
      </c>
      <c r="S1052" s="85">
        <f>IF($C$8&gt;0, R1052/$C$8, 0)</f>
        <v/>
      </c>
      <c r="T1052" s="85">
        <f>IF(O1052&gt;0, Q1052/O1052, 0)</f>
        <v/>
      </c>
      <c r="U1052" s="18">
        <f>IF(Q1052=0, "Exceeds Limit", IF(P1052&lt;=O1052, "Weight Limited", "Volume Limited"))</f>
        <v/>
      </c>
      <c r="V1052" s="100">
        <f>B1052&amp;"|"&amp;D1052&amp;"|"&amp;F1052</f>
        <v/>
      </c>
    </row>
    <row r="1053" ht="19" customHeight="1">
      <c r="A1053" s="93" t="n">
        <v>1043</v>
      </c>
      <c r="B1053" s="101" t="inlineStr">
        <is>
          <t>Stainless Steel 316</t>
        </is>
      </c>
      <c r="C1053" s="13" t="inlineStr">
        <is>
          <t>ASME B36.19M / B36.10M</t>
        </is>
      </c>
      <c r="D1053" s="12" t="inlineStr">
        <is>
          <t>16''</t>
        </is>
      </c>
      <c r="E1053" s="93" t="n">
        <v>400</v>
      </c>
      <c r="F1053" s="12" t="inlineStr">
        <is>
          <t>10</t>
        </is>
      </c>
      <c r="G1053" s="14" t="n">
        <v>16</v>
      </c>
      <c r="H1053" s="78" t="n">
        <v>406.4</v>
      </c>
      <c r="I1053" s="14" t="n">
        <v>0.25</v>
      </c>
      <c r="J1053" s="78" t="n">
        <v>6.35</v>
      </c>
      <c r="K1053" s="14">
        <f>ROUND((H1053-J1053)*J1053*IF(B1053="Carbon Steel",$K$7,IF(B1053="Stainless Steel 304",$K$8,$L$8)), 3)</f>
        <v/>
      </c>
      <c r="L1053" s="78">
        <f>ROUND(K1053*$G$5, 2)</f>
        <v/>
      </c>
      <c r="M1053" s="93">
        <f>INT($G$6/H1053)</f>
        <v/>
      </c>
      <c r="N1053" s="93">
        <f>IF(M1053=0, 0, IF(OR($K$6="Square Grid", M1053=1), INT($G$7/H1053), IF($G$7&lt;H1053, 0, 1+INT(($G$7-H1053)/(0.8660254*H1053)))))</f>
        <v/>
      </c>
      <c r="O1053" s="59">
        <f>IF(OR(M1053=0,N1053=0), 0, IF(OR($K$6="Square Grid", M1053=1), M1053*N1053*$K$5, (INT((N1053+1)/2)*M1053 + INT(N1053/2)*IF(($G$6-M1053*H1053)&gt;=0.5*H1053, M1053, M1053-1))*$K$5))</f>
        <v/>
      </c>
      <c r="P1053" s="59">
        <f>IF(L1053&lt;=0, 0, INT($G$8/L1053))</f>
        <v/>
      </c>
      <c r="Q1053" s="95">
        <f>MIN(O1053, P1053)</f>
        <v/>
      </c>
      <c r="R1053" s="96">
        <f>ROUND((Q1053*L1053)/1000, 2)</f>
        <v/>
      </c>
      <c r="S1053" s="79">
        <f>IF($C$8&gt;0, R1053/$C$8, 0)</f>
        <v/>
      </c>
      <c r="T1053" s="79">
        <f>IF(O1053&gt;0, Q1053/O1053, 0)</f>
        <v/>
      </c>
      <c r="U1053" s="12">
        <f>IF(Q1053=0, "Exceeds Limit", IF(P1053&lt;=O1053, "Weight Limited", "Volume Limited"))</f>
        <v/>
      </c>
      <c r="V1053" s="97">
        <f>B1053&amp;"|"&amp;D1053&amp;"|"&amp;F1053</f>
        <v/>
      </c>
    </row>
    <row r="1054" ht="19" customHeight="1">
      <c r="A1054" s="98" t="n">
        <v>1044</v>
      </c>
      <c r="B1054" s="102" t="inlineStr">
        <is>
          <t>Stainless Steel 316</t>
        </is>
      </c>
      <c r="C1054" s="19" t="inlineStr">
        <is>
          <t>ASME B36.19M / B36.10M</t>
        </is>
      </c>
      <c r="D1054" s="18" t="inlineStr">
        <is>
          <t>16''</t>
        </is>
      </c>
      <c r="E1054" s="98" t="n">
        <v>400</v>
      </c>
      <c r="F1054" s="18" t="inlineStr">
        <is>
          <t>20</t>
        </is>
      </c>
      <c r="G1054" s="20" t="n">
        <v>16</v>
      </c>
      <c r="H1054" s="82" t="n">
        <v>406.4</v>
      </c>
      <c r="I1054" s="20" t="n">
        <v>0.312</v>
      </c>
      <c r="J1054" s="82" t="n">
        <v>7.92</v>
      </c>
      <c r="K1054" s="20">
        <f>ROUND((H1054-J1054)*J1054*IF(B1054="Carbon Steel",$K$7,IF(B1054="Stainless Steel 304",$K$8,$L$8)), 3)</f>
        <v/>
      </c>
      <c r="L1054" s="82">
        <f>ROUND(K1054*$G$5, 2)</f>
        <v/>
      </c>
      <c r="M1054" s="98">
        <f>INT($G$6/H1054)</f>
        <v/>
      </c>
      <c r="N1054" s="98">
        <f>IF(M1054=0, 0, IF(OR($K$6="Square Grid", M1054=1), INT($G$7/H1054), IF($G$7&lt;H1054, 0, 1+INT(($G$7-H1054)/(0.8660254*H1054)))))</f>
        <v/>
      </c>
      <c r="O1054" s="84">
        <f>IF(OR(M1054=0,N1054=0), 0, IF(OR($K$6="Square Grid", M1054=1), M1054*N1054*$K$5, (INT((N1054+1)/2)*M1054 + INT(N1054/2)*IF(($G$6-M1054*H1054)&gt;=0.5*H1054, M1054, M1054-1))*$K$5))</f>
        <v/>
      </c>
      <c r="P1054" s="84">
        <f>IF(L1054&lt;=0, 0, INT($G$8/L1054))</f>
        <v/>
      </c>
      <c r="Q1054" s="95">
        <f>MIN(O1054, P1054)</f>
        <v/>
      </c>
      <c r="R1054" s="96">
        <f>ROUND((Q1054*L1054)/1000, 2)</f>
        <v/>
      </c>
      <c r="S1054" s="85">
        <f>IF($C$8&gt;0, R1054/$C$8, 0)</f>
        <v/>
      </c>
      <c r="T1054" s="85">
        <f>IF(O1054&gt;0, Q1054/O1054, 0)</f>
        <v/>
      </c>
      <c r="U1054" s="18">
        <f>IF(Q1054=0, "Exceeds Limit", IF(P1054&lt;=O1054, "Weight Limited", "Volume Limited"))</f>
        <v/>
      </c>
      <c r="V1054" s="100">
        <f>B1054&amp;"|"&amp;D1054&amp;"|"&amp;F1054</f>
        <v/>
      </c>
    </row>
    <row r="1055" ht="19" customHeight="1">
      <c r="A1055" s="93" t="n">
        <v>1045</v>
      </c>
      <c r="B1055" s="101" t="inlineStr">
        <is>
          <t>Stainless Steel 316</t>
        </is>
      </c>
      <c r="C1055" s="13" t="inlineStr">
        <is>
          <t>ASME B36.19M / B36.10M</t>
        </is>
      </c>
      <c r="D1055" s="12" t="inlineStr">
        <is>
          <t>16''</t>
        </is>
      </c>
      <c r="E1055" s="93" t="n">
        <v>400</v>
      </c>
      <c r="F1055" s="12" t="inlineStr">
        <is>
          <t>30</t>
        </is>
      </c>
      <c r="G1055" s="14" t="n">
        <v>16</v>
      </c>
      <c r="H1055" s="78" t="n">
        <v>406.4</v>
      </c>
      <c r="I1055" s="14" t="n">
        <v>0.375</v>
      </c>
      <c r="J1055" s="78" t="n">
        <v>9.52</v>
      </c>
      <c r="K1055" s="14">
        <f>ROUND((H1055-J1055)*J1055*IF(B1055="Carbon Steel",$K$7,IF(B1055="Stainless Steel 304",$K$8,$L$8)), 3)</f>
        <v/>
      </c>
      <c r="L1055" s="78">
        <f>ROUND(K1055*$G$5, 2)</f>
        <v/>
      </c>
      <c r="M1055" s="93">
        <f>INT($G$6/H1055)</f>
        <v/>
      </c>
      <c r="N1055" s="93">
        <f>IF(M1055=0, 0, IF(OR($K$6="Square Grid", M1055=1), INT($G$7/H1055), IF($G$7&lt;H1055, 0, 1+INT(($G$7-H1055)/(0.8660254*H1055)))))</f>
        <v/>
      </c>
      <c r="O1055" s="59">
        <f>IF(OR(M1055=0,N1055=0), 0, IF(OR($K$6="Square Grid", M1055=1), M1055*N1055*$K$5, (INT((N1055+1)/2)*M1055 + INT(N1055/2)*IF(($G$6-M1055*H1055)&gt;=0.5*H1055, M1055, M1055-1))*$K$5))</f>
        <v/>
      </c>
      <c r="P1055" s="59">
        <f>IF(L1055&lt;=0, 0, INT($G$8/L1055))</f>
        <v/>
      </c>
      <c r="Q1055" s="95">
        <f>MIN(O1055, P1055)</f>
        <v/>
      </c>
      <c r="R1055" s="96">
        <f>ROUND((Q1055*L1055)/1000, 2)</f>
        <v/>
      </c>
      <c r="S1055" s="79">
        <f>IF($C$8&gt;0, R1055/$C$8, 0)</f>
        <v/>
      </c>
      <c r="T1055" s="79">
        <f>IF(O1055&gt;0, Q1055/O1055, 0)</f>
        <v/>
      </c>
      <c r="U1055" s="12">
        <f>IF(Q1055=0, "Exceeds Limit", IF(P1055&lt;=O1055, "Weight Limited", "Volume Limited"))</f>
        <v/>
      </c>
      <c r="V1055" s="97">
        <f>B1055&amp;"|"&amp;D1055&amp;"|"&amp;F1055</f>
        <v/>
      </c>
    </row>
    <row r="1056" ht="19" customHeight="1">
      <c r="A1056" s="98" t="n">
        <v>1046</v>
      </c>
      <c r="B1056" s="102" t="inlineStr">
        <is>
          <t>Stainless Steel 316</t>
        </is>
      </c>
      <c r="C1056" s="19" t="inlineStr">
        <is>
          <t>ASME B36.19M / B36.10M</t>
        </is>
      </c>
      <c r="D1056" s="18" t="inlineStr">
        <is>
          <t>16''</t>
        </is>
      </c>
      <c r="E1056" s="98" t="n">
        <v>400</v>
      </c>
      <c r="F1056" s="18" t="inlineStr">
        <is>
          <t>40S</t>
        </is>
      </c>
      <c r="G1056" s="20" t="n">
        <v>16</v>
      </c>
      <c r="H1056" s="82" t="n">
        <v>406.4</v>
      </c>
      <c r="I1056" s="20" t="n">
        <v>0.375</v>
      </c>
      <c r="J1056" s="82" t="n">
        <v>9.52</v>
      </c>
      <c r="K1056" s="20">
        <f>ROUND((H1056-J1056)*J1056*IF(B1056="Carbon Steel",$K$7,IF(B1056="Stainless Steel 304",$K$8,$L$8)), 3)</f>
        <v/>
      </c>
      <c r="L1056" s="82">
        <f>ROUND(K1056*$G$5, 2)</f>
        <v/>
      </c>
      <c r="M1056" s="98">
        <f>INT($G$6/H1056)</f>
        <v/>
      </c>
      <c r="N1056" s="98">
        <f>IF(M1056=0, 0, IF(OR($K$6="Square Grid", M1056=1), INT($G$7/H1056), IF($G$7&lt;H1056, 0, 1+INT(($G$7-H1056)/(0.8660254*H1056)))))</f>
        <v/>
      </c>
      <c r="O1056" s="84">
        <f>IF(OR(M1056=0,N1056=0), 0, IF(OR($K$6="Square Grid", M1056=1), M1056*N1056*$K$5, (INT((N1056+1)/2)*M1056 + INT(N1056/2)*IF(($G$6-M1056*H1056)&gt;=0.5*H1056, M1056, M1056-1))*$K$5))</f>
        <v/>
      </c>
      <c r="P1056" s="84">
        <f>IF(L1056&lt;=0, 0, INT($G$8/L1056))</f>
        <v/>
      </c>
      <c r="Q1056" s="95">
        <f>MIN(O1056, P1056)</f>
        <v/>
      </c>
      <c r="R1056" s="96">
        <f>ROUND((Q1056*L1056)/1000, 2)</f>
        <v/>
      </c>
      <c r="S1056" s="85">
        <f>IF($C$8&gt;0, R1056/$C$8, 0)</f>
        <v/>
      </c>
      <c r="T1056" s="85">
        <f>IF(O1056&gt;0, Q1056/O1056, 0)</f>
        <v/>
      </c>
      <c r="U1056" s="18">
        <f>IF(Q1056=0, "Exceeds Limit", IF(P1056&lt;=O1056, "Weight Limited", "Volume Limited"))</f>
        <v/>
      </c>
      <c r="V1056" s="100">
        <f>B1056&amp;"|"&amp;D1056&amp;"|"&amp;F1056</f>
        <v/>
      </c>
    </row>
    <row r="1057" ht="19" customHeight="1">
      <c r="A1057" s="93" t="n">
        <v>1047</v>
      </c>
      <c r="B1057" s="101" t="inlineStr">
        <is>
          <t>Stainless Steel 316</t>
        </is>
      </c>
      <c r="C1057" s="13" t="inlineStr">
        <is>
          <t>ASME B36.19M / B36.10M</t>
        </is>
      </c>
      <c r="D1057" s="12" t="inlineStr">
        <is>
          <t>16''</t>
        </is>
      </c>
      <c r="E1057" s="93" t="n">
        <v>400</v>
      </c>
      <c r="F1057" s="12" t="inlineStr">
        <is>
          <t>STD</t>
        </is>
      </c>
      <c r="G1057" s="14" t="n">
        <v>16</v>
      </c>
      <c r="H1057" s="78" t="n">
        <v>406.4</v>
      </c>
      <c r="I1057" s="14" t="n">
        <v>0.375</v>
      </c>
      <c r="J1057" s="78" t="n">
        <v>9.52</v>
      </c>
      <c r="K1057" s="14">
        <f>ROUND((H1057-J1057)*J1057*IF(B1057="Carbon Steel",$K$7,IF(B1057="Stainless Steel 304",$K$8,$L$8)), 3)</f>
        <v/>
      </c>
      <c r="L1057" s="78">
        <f>ROUND(K1057*$G$5, 2)</f>
        <v/>
      </c>
      <c r="M1057" s="93">
        <f>INT($G$6/H1057)</f>
        <v/>
      </c>
      <c r="N1057" s="93">
        <f>IF(M1057=0, 0, IF(OR($K$6="Square Grid", M1057=1), INT($G$7/H1057), IF($G$7&lt;H1057, 0, 1+INT(($G$7-H1057)/(0.8660254*H1057)))))</f>
        <v/>
      </c>
      <c r="O1057" s="59">
        <f>IF(OR(M1057=0,N1057=0), 0, IF(OR($K$6="Square Grid", M1057=1), M1057*N1057*$K$5, (INT((N1057+1)/2)*M1057 + INT(N1057/2)*IF(($G$6-M1057*H1057)&gt;=0.5*H1057, M1057, M1057-1))*$K$5))</f>
        <v/>
      </c>
      <c r="P1057" s="59">
        <f>IF(L1057&lt;=0, 0, INT($G$8/L1057))</f>
        <v/>
      </c>
      <c r="Q1057" s="95">
        <f>MIN(O1057, P1057)</f>
        <v/>
      </c>
      <c r="R1057" s="96">
        <f>ROUND((Q1057*L1057)/1000, 2)</f>
        <v/>
      </c>
      <c r="S1057" s="79">
        <f>IF($C$8&gt;0, R1057/$C$8, 0)</f>
        <v/>
      </c>
      <c r="T1057" s="79">
        <f>IF(O1057&gt;0, Q1057/O1057, 0)</f>
        <v/>
      </c>
      <c r="U1057" s="12">
        <f>IF(Q1057=0, "Exceeds Limit", IF(P1057&lt;=O1057, "Weight Limited", "Volume Limited"))</f>
        <v/>
      </c>
      <c r="V1057" s="97">
        <f>B1057&amp;"|"&amp;D1057&amp;"|"&amp;F1057</f>
        <v/>
      </c>
    </row>
    <row r="1058" ht="19" customHeight="1">
      <c r="A1058" s="98" t="n">
        <v>1048</v>
      </c>
      <c r="B1058" s="102" t="inlineStr">
        <is>
          <t>Stainless Steel 316</t>
        </is>
      </c>
      <c r="C1058" s="19" t="inlineStr">
        <is>
          <t>ASME B36.19M / B36.10M</t>
        </is>
      </c>
      <c r="D1058" s="18" t="inlineStr">
        <is>
          <t>16''</t>
        </is>
      </c>
      <c r="E1058" s="98" t="n">
        <v>400</v>
      </c>
      <c r="F1058" s="18" t="inlineStr">
        <is>
          <t>40</t>
        </is>
      </c>
      <c r="G1058" s="20" t="n">
        <v>16</v>
      </c>
      <c r="H1058" s="82" t="n">
        <v>406.4</v>
      </c>
      <c r="I1058" s="20" t="n">
        <v>0.5</v>
      </c>
      <c r="J1058" s="82" t="n">
        <v>12.7</v>
      </c>
      <c r="K1058" s="20">
        <f>ROUND((H1058-J1058)*J1058*IF(B1058="Carbon Steel",$K$7,IF(B1058="Stainless Steel 304",$K$8,$L$8)), 3)</f>
        <v/>
      </c>
      <c r="L1058" s="82">
        <f>ROUND(K1058*$G$5, 2)</f>
        <v/>
      </c>
      <c r="M1058" s="98">
        <f>INT($G$6/H1058)</f>
        <v/>
      </c>
      <c r="N1058" s="98">
        <f>IF(M1058=0, 0, IF(OR($K$6="Square Grid", M1058=1), INT($G$7/H1058), IF($G$7&lt;H1058, 0, 1+INT(($G$7-H1058)/(0.8660254*H1058)))))</f>
        <v/>
      </c>
      <c r="O1058" s="84">
        <f>IF(OR(M1058=0,N1058=0), 0, IF(OR($K$6="Square Grid", M1058=1), M1058*N1058*$K$5, (INT((N1058+1)/2)*M1058 + INT(N1058/2)*IF(($G$6-M1058*H1058)&gt;=0.5*H1058, M1058, M1058-1))*$K$5))</f>
        <v/>
      </c>
      <c r="P1058" s="84">
        <f>IF(L1058&lt;=0, 0, INT($G$8/L1058))</f>
        <v/>
      </c>
      <c r="Q1058" s="95">
        <f>MIN(O1058, P1058)</f>
        <v/>
      </c>
      <c r="R1058" s="96">
        <f>ROUND((Q1058*L1058)/1000, 2)</f>
        <v/>
      </c>
      <c r="S1058" s="85">
        <f>IF($C$8&gt;0, R1058/$C$8, 0)</f>
        <v/>
      </c>
      <c r="T1058" s="85">
        <f>IF(O1058&gt;0, Q1058/O1058, 0)</f>
        <v/>
      </c>
      <c r="U1058" s="18">
        <f>IF(Q1058=0, "Exceeds Limit", IF(P1058&lt;=O1058, "Weight Limited", "Volume Limited"))</f>
        <v/>
      </c>
      <c r="V1058" s="100">
        <f>B1058&amp;"|"&amp;D1058&amp;"|"&amp;F1058</f>
        <v/>
      </c>
    </row>
    <row r="1059" ht="19" customHeight="1">
      <c r="A1059" s="93" t="n">
        <v>1049</v>
      </c>
      <c r="B1059" s="101" t="inlineStr">
        <is>
          <t>Stainless Steel 316</t>
        </is>
      </c>
      <c r="C1059" s="13" t="inlineStr">
        <is>
          <t>ASME B36.19M / B36.10M</t>
        </is>
      </c>
      <c r="D1059" s="12" t="inlineStr">
        <is>
          <t>16''</t>
        </is>
      </c>
      <c r="E1059" s="93" t="n">
        <v>400</v>
      </c>
      <c r="F1059" s="12" t="inlineStr">
        <is>
          <t>60</t>
        </is>
      </c>
      <c r="G1059" s="14" t="n">
        <v>16</v>
      </c>
      <c r="H1059" s="78" t="n">
        <v>406.4</v>
      </c>
      <c r="I1059" s="14" t="n">
        <v>0.656</v>
      </c>
      <c r="J1059" s="78" t="n">
        <v>16.66</v>
      </c>
      <c r="K1059" s="14">
        <f>ROUND((H1059-J1059)*J1059*IF(B1059="Carbon Steel",$K$7,IF(B1059="Stainless Steel 304",$K$8,$L$8)), 3)</f>
        <v/>
      </c>
      <c r="L1059" s="78">
        <f>ROUND(K1059*$G$5, 2)</f>
        <v/>
      </c>
      <c r="M1059" s="93">
        <f>INT($G$6/H1059)</f>
        <v/>
      </c>
      <c r="N1059" s="93">
        <f>IF(M1059=0, 0, IF(OR($K$6="Square Grid", M1059=1), INT($G$7/H1059), IF($G$7&lt;H1059, 0, 1+INT(($G$7-H1059)/(0.8660254*H1059)))))</f>
        <v/>
      </c>
      <c r="O1059" s="59">
        <f>IF(OR(M1059=0,N1059=0), 0, IF(OR($K$6="Square Grid", M1059=1), M1059*N1059*$K$5, (INT((N1059+1)/2)*M1059 + INT(N1059/2)*IF(($G$6-M1059*H1059)&gt;=0.5*H1059, M1059, M1059-1))*$K$5))</f>
        <v/>
      </c>
      <c r="P1059" s="59">
        <f>IF(L1059&lt;=0, 0, INT($G$8/L1059))</f>
        <v/>
      </c>
      <c r="Q1059" s="95">
        <f>MIN(O1059, P1059)</f>
        <v/>
      </c>
      <c r="R1059" s="96">
        <f>ROUND((Q1059*L1059)/1000, 2)</f>
        <v/>
      </c>
      <c r="S1059" s="79">
        <f>IF($C$8&gt;0, R1059/$C$8, 0)</f>
        <v/>
      </c>
      <c r="T1059" s="79">
        <f>IF(O1059&gt;0, Q1059/O1059, 0)</f>
        <v/>
      </c>
      <c r="U1059" s="12">
        <f>IF(Q1059=0, "Exceeds Limit", IF(P1059&lt;=O1059, "Weight Limited", "Volume Limited"))</f>
        <v/>
      </c>
      <c r="V1059" s="97">
        <f>B1059&amp;"|"&amp;D1059&amp;"|"&amp;F1059</f>
        <v/>
      </c>
    </row>
    <row r="1060" ht="19" customHeight="1">
      <c r="A1060" s="98" t="n">
        <v>1050</v>
      </c>
      <c r="B1060" s="102" t="inlineStr">
        <is>
          <t>Stainless Steel 316</t>
        </is>
      </c>
      <c r="C1060" s="19" t="inlineStr">
        <is>
          <t>ASME B36.19M / B36.10M</t>
        </is>
      </c>
      <c r="D1060" s="18" t="inlineStr">
        <is>
          <t>16''</t>
        </is>
      </c>
      <c r="E1060" s="98" t="n">
        <v>400</v>
      </c>
      <c r="F1060" s="18" t="inlineStr">
        <is>
          <t>80S</t>
        </is>
      </c>
      <c r="G1060" s="20" t="n">
        <v>16</v>
      </c>
      <c r="H1060" s="82" t="n">
        <v>406.4</v>
      </c>
      <c r="I1060" s="20" t="n">
        <v>0.5</v>
      </c>
      <c r="J1060" s="82" t="n">
        <v>12.7</v>
      </c>
      <c r="K1060" s="20">
        <f>ROUND((H1060-J1060)*J1060*IF(B1060="Carbon Steel",$K$7,IF(B1060="Stainless Steel 304",$K$8,$L$8)), 3)</f>
        <v/>
      </c>
      <c r="L1060" s="82">
        <f>ROUND(K1060*$G$5, 2)</f>
        <v/>
      </c>
      <c r="M1060" s="98">
        <f>INT($G$6/H1060)</f>
        <v/>
      </c>
      <c r="N1060" s="98">
        <f>IF(M1060=0, 0, IF(OR($K$6="Square Grid", M1060=1), INT($G$7/H1060), IF($G$7&lt;H1060, 0, 1+INT(($G$7-H1060)/(0.8660254*H1060)))))</f>
        <v/>
      </c>
      <c r="O1060" s="84">
        <f>IF(OR(M1060=0,N1060=0), 0, IF(OR($K$6="Square Grid", M1060=1), M1060*N1060*$K$5, (INT((N1060+1)/2)*M1060 + INT(N1060/2)*IF(($G$6-M1060*H1060)&gt;=0.5*H1060, M1060, M1060-1))*$K$5))</f>
        <v/>
      </c>
      <c r="P1060" s="84">
        <f>IF(L1060&lt;=0, 0, INT($G$8/L1060))</f>
        <v/>
      </c>
      <c r="Q1060" s="95">
        <f>MIN(O1060, P1060)</f>
        <v/>
      </c>
      <c r="R1060" s="96">
        <f>ROUND((Q1060*L1060)/1000, 2)</f>
        <v/>
      </c>
      <c r="S1060" s="85">
        <f>IF($C$8&gt;0, R1060/$C$8, 0)</f>
        <v/>
      </c>
      <c r="T1060" s="85">
        <f>IF(O1060&gt;0, Q1060/O1060, 0)</f>
        <v/>
      </c>
      <c r="U1060" s="18">
        <f>IF(Q1060=0, "Exceeds Limit", IF(P1060&lt;=O1060, "Weight Limited", "Volume Limited"))</f>
        <v/>
      </c>
      <c r="V1060" s="100">
        <f>B1060&amp;"|"&amp;D1060&amp;"|"&amp;F1060</f>
        <v/>
      </c>
    </row>
    <row r="1061" ht="19" customHeight="1">
      <c r="A1061" s="93" t="n">
        <v>1051</v>
      </c>
      <c r="B1061" s="101" t="inlineStr">
        <is>
          <t>Stainless Steel 316</t>
        </is>
      </c>
      <c r="C1061" s="13" t="inlineStr">
        <is>
          <t>ASME B36.19M / B36.10M</t>
        </is>
      </c>
      <c r="D1061" s="12" t="inlineStr">
        <is>
          <t>16''</t>
        </is>
      </c>
      <c r="E1061" s="93" t="n">
        <v>400</v>
      </c>
      <c r="F1061" s="12" t="inlineStr">
        <is>
          <t>XS</t>
        </is>
      </c>
      <c r="G1061" s="14" t="n">
        <v>16</v>
      </c>
      <c r="H1061" s="78" t="n">
        <v>406.4</v>
      </c>
      <c r="I1061" s="14" t="n">
        <v>0.5</v>
      </c>
      <c r="J1061" s="78" t="n">
        <v>12.7</v>
      </c>
      <c r="K1061" s="14">
        <f>ROUND((H1061-J1061)*J1061*IF(B1061="Carbon Steel",$K$7,IF(B1061="Stainless Steel 304",$K$8,$L$8)), 3)</f>
        <v/>
      </c>
      <c r="L1061" s="78">
        <f>ROUND(K1061*$G$5, 2)</f>
        <v/>
      </c>
      <c r="M1061" s="93">
        <f>INT($G$6/H1061)</f>
        <v/>
      </c>
      <c r="N1061" s="93">
        <f>IF(M1061=0, 0, IF(OR($K$6="Square Grid", M1061=1), INT($G$7/H1061), IF($G$7&lt;H1061, 0, 1+INT(($G$7-H1061)/(0.8660254*H1061)))))</f>
        <v/>
      </c>
      <c r="O1061" s="59">
        <f>IF(OR(M1061=0,N1061=0), 0, IF(OR($K$6="Square Grid", M1061=1), M1061*N1061*$K$5, (INT((N1061+1)/2)*M1061 + INT(N1061/2)*IF(($G$6-M1061*H1061)&gt;=0.5*H1061, M1061, M1061-1))*$K$5))</f>
        <v/>
      </c>
      <c r="P1061" s="59">
        <f>IF(L1061&lt;=0, 0, INT($G$8/L1061))</f>
        <v/>
      </c>
      <c r="Q1061" s="95">
        <f>MIN(O1061, P1061)</f>
        <v/>
      </c>
      <c r="R1061" s="96">
        <f>ROUND((Q1061*L1061)/1000, 2)</f>
        <v/>
      </c>
      <c r="S1061" s="79">
        <f>IF($C$8&gt;0, R1061/$C$8, 0)</f>
        <v/>
      </c>
      <c r="T1061" s="79">
        <f>IF(O1061&gt;0, Q1061/O1061, 0)</f>
        <v/>
      </c>
      <c r="U1061" s="12">
        <f>IF(Q1061=0, "Exceeds Limit", IF(P1061&lt;=O1061, "Weight Limited", "Volume Limited"))</f>
        <v/>
      </c>
      <c r="V1061" s="97">
        <f>B1061&amp;"|"&amp;D1061&amp;"|"&amp;F1061</f>
        <v/>
      </c>
    </row>
    <row r="1062" ht="19" customHeight="1">
      <c r="A1062" s="98" t="n">
        <v>1052</v>
      </c>
      <c r="B1062" s="102" t="inlineStr">
        <is>
          <t>Stainless Steel 316</t>
        </is>
      </c>
      <c r="C1062" s="19" t="inlineStr">
        <is>
          <t>ASME B36.19M / B36.10M</t>
        </is>
      </c>
      <c r="D1062" s="18" t="inlineStr">
        <is>
          <t>16''</t>
        </is>
      </c>
      <c r="E1062" s="98" t="n">
        <v>400</v>
      </c>
      <c r="F1062" s="18" t="inlineStr">
        <is>
          <t>80</t>
        </is>
      </c>
      <c r="G1062" s="20" t="n">
        <v>16</v>
      </c>
      <c r="H1062" s="82" t="n">
        <v>406.4</v>
      </c>
      <c r="I1062" s="20" t="n">
        <v>0.844</v>
      </c>
      <c r="J1062" s="82" t="n">
        <v>21.44</v>
      </c>
      <c r="K1062" s="20">
        <f>ROUND((H1062-J1062)*J1062*IF(B1062="Carbon Steel",$K$7,IF(B1062="Stainless Steel 304",$K$8,$L$8)), 3)</f>
        <v/>
      </c>
      <c r="L1062" s="82">
        <f>ROUND(K1062*$G$5, 2)</f>
        <v/>
      </c>
      <c r="M1062" s="98">
        <f>INT($G$6/H1062)</f>
        <v/>
      </c>
      <c r="N1062" s="98">
        <f>IF(M1062=0, 0, IF(OR($K$6="Square Grid", M1062=1), INT($G$7/H1062), IF($G$7&lt;H1062, 0, 1+INT(($G$7-H1062)/(0.8660254*H1062)))))</f>
        <v/>
      </c>
      <c r="O1062" s="84">
        <f>IF(OR(M1062=0,N1062=0), 0, IF(OR($K$6="Square Grid", M1062=1), M1062*N1062*$K$5, (INT((N1062+1)/2)*M1062 + INT(N1062/2)*IF(($G$6-M1062*H1062)&gt;=0.5*H1062, M1062, M1062-1))*$K$5))</f>
        <v/>
      </c>
      <c r="P1062" s="84">
        <f>IF(L1062&lt;=0, 0, INT($G$8/L1062))</f>
        <v/>
      </c>
      <c r="Q1062" s="95">
        <f>MIN(O1062, P1062)</f>
        <v/>
      </c>
      <c r="R1062" s="96">
        <f>ROUND((Q1062*L1062)/1000, 2)</f>
        <v/>
      </c>
      <c r="S1062" s="85">
        <f>IF($C$8&gt;0, R1062/$C$8, 0)</f>
        <v/>
      </c>
      <c r="T1062" s="85">
        <f>IF(O1062&gt;0, Q1062/O1062, 0)</f>
        <v/>
      </c>
      <c r="U1062" s="18">
        <f>IF(Q1062=0, "Exceeds Limit", IF(P1062&lt;=O1062, "Weight Limited", "Volume Limited"))</f>
        <v/>
      </c>
      <c r="V1062" s="100">
        <f>B1062&amp;"|"&amp;D1062&amp;"|"&amp;F1062</f>
        <v/>
      </c>
    </row>
    <row r="1063" ht="19" customHeight="1">
      <c r="A1063" s="93" t="n">
        <v>1053</v>
      </c>
      <c r="B1063" s="101" t="inlineStr">
        <is>
          <t>Stainless Steel 316</t>
        </is>
      </c>
      <c r="C1063" s="13" t="inlineStr">
        <is>
          <t>ASME B36.19M / B36.10M</t>
        </is>
      </c>
      <c r="D1063" s="12" t="inlineStr">
        <is>
          <t>16''</t>
        </is>
      </c>
      <c r="E1063" s="93" t="n">
        <v>400</v>
      </c>
      <c r="F1063" s="12" t="inlineStr">
        <is>
          <t>100</t>
        </is>
      </c>
      <c r="G1063" s="14" t="n">
        <v>16</v>
      </c>
      <c r="H1063" s="78" t="n">
        <v>406.4</v>
      </c>
      <c r="I1063" s="14" t="n">
        <v>1.031</v>
      </c>
      <c r="J1063" s="78" t="n">
        <v>26.19</v>
      </c>
      <c r="K1063" s="14">
        <f>ROUND((H1063-J1063)*J1063*IF(B1063="Carbon Steel",$K$7,IF(B1063="Stainless Steel 304",$K$8,$L$8)), 3)</f>
        <v/>
      </c>
      <c r="L1063" s="78">
        <f>ROUND(K1063*$G$5, 2)</f>
        <v/>
      </c>
      <c r="M1063" s="93">
        <f>INT($G$6/H1063)</f>
        <v/>
      </c>
      <c r="N1063" s="93">
        <f>IF(M1063=0, 0, IF(OR($K$6="Square Grid", M1063=1), INT($G$7/H1063), IF($G$7&lt;H1063, 0, 1+INT(($G$7-H1063)/(0.8660254*H1063)))))</f>
        <v/>
      </c>
      <c r="O1063" s="59">
        <f>IF(OR(M1063=0,N1063=0), 0, IF(OR($K$6="Square Grid", M1063=1), M1063*N1063*$K$5, (INT((N1063+1)/2)*M1063 + INT(N1063/2)*IF(($G$6-M1063*H1063)&gt;=0.5*H1063, M1063, M1063-1))*$K$5))</f>
        <v/>
      </c>
      <c r="P1063" s="59">
        <f>IF(L1063&lt;=0, 0, INT($G$8/L1063))</f>
        <v/>
      </c>
      <c r="Q1063" s="95">
        <f>MIN(O1063, P1063)</f>
        <v/>
      </c>
      <c r="R1063" s="96">
        <f>ROUND((Q1063*L1063)/1000, 2)</f>
        <v/>
      </c>
      <c r="S1063" s="79">
        <f>IF($C$8&gt;0, R1063/$C$8, 0)</f>
        <v/>
      </c>
      <c r="T1063" s="79">
        <f>IF(O1063&gt;0, Q1063/O1063, 0)</f>
        <v/>
      </c>
      <c r="U1063" s="12">
        <f>IF(Q1063=0, "Exceeds Limit", IF(P1063&lt;=O1063, "Weight Limited", "Volume Limited"))</f>
        <v/>
      </c>
      <c r="V1063" s="97">
        <f>B1063&amp;"|"&amp;D1063&amp;"|"&amp;F1063</f>
        <v/>
      </c>
    </row>
    <row r="1064" ht="19" customHeight="1">
      <c r="A1064" s="98" t="n">
        <v>1054</v>
      </c>
      <c r="B1064" s="102" t="inlineStr">
        <is>
          <t>Stainless Steel 316</t>
        </is>
      </c>
      <c r="C1064" s="19" t="inlineStr">
        <is>
          <t>ASME B36.19M / B36.10M</t>
        </is>
      </c>
      <c r="D1064" s="18" t="inlineStr">
        <is>
          <t>16''</t>
        </is>
      </c>
      <c r="E1064" s="98" t="n">
        <v>400</v>
      </c>
      <c r="F1064" s="18" t="inlineStr">
        <is>
          <t>120</t>
        </is>
      </c>
      <c r="G1064" s="20" t="n">
        <v>16</v>
      </c>
      <c r="H1064" s="82" t="n">
        <v>406.4</v>
      </c>
      <c r="I1064" s="20" t="n">
        <v>1.219</v>
      </c>
      <c r="J1064" s="82" t="n">
        <v>30.96</v>
      </c>
      <c r="K1064" s="20">
        <f>ROUND((H1064-J1064)*J1064*IF(B1064="Carbon Steel",$K$7,IF(B1064="Stainless Steel 304",$K$8,$L$8)), 3)</f>
        <v/>
      </c>
      <c r="L1064" s="82">
        <f>ROUND(K1064*$G$5, 2)</f>
        <v/>
      </c>
      <c r="M1064" s="98">
        <f>INT($G$6/H1064)</f>
        <v/>
      </c>
      <c r="N1064" s="98">
        <f>IF(M1064=0, 0, IF(OR($K$6="Square Grid", M1064=1), INT($G$7/H1064), IF($G$7&lt;H1064, 0, 1+INT(($G$7-H1064)/(0.8660254*H1064)))))</f>
        <v/>
      </c>
      <c r="O1064" s="84">
        <f>IF(OR(M1064=0,N1064=0), 0, IF(OR($K$6="Square Grid", M1064=1), M1064*N1064*$K$5, (INT((N1064+1)/2)*M1064 + INT(N1064/2)*IF(($G$6-M1064*H1064)&gt;=0.5*H1064, M1064, M1064-1))*$K$5))</f>
        <v/>
      </c>
      <c r="P1064" s="84">
        <f>IF(L1064&lt;=0, 0, INT($G$8/L1064))</f>
        <v/>
      </c>
      <c r="Q1064" s="95">
        <f>MIN(O1064, P1064)</f>
        <v/>
      </c>
      <c r="R1064" s="96">
        <f>ROUND((Q1064*L1064)/1000, 2)</f>
        <v/>
      </c>
      <c r="S1064" s="85">
        <f>IF($C$8&gt;0, R1064/$C$8, 0)</f>
        <v/>
      </c>
      <c r="T1064" s="85">
        <f>IF(O1064&gt;0, Q1064/O1064, 0)</f>
        <v/>
      </c>
      <c r="U1064" s="18">
        <f>IF(Q1064=0, "Exceeds Limit", IF(P1064&lt;=O1064, "Weight Limited", "Volume Limited"))</f>
        <v/>
      </c>
      <c r="V1064" s="100">
        <f>B1064&amp;"|"&amp;D1064&amp;"|"&amp;F1064</f>
        <v/>
      </c>
    </row>
    <row r="1065" ht="19" customHeight="1">
      <c r="A1065" s="93" t="n">
        <v>1055</v>
      </c>
      <c r="B1065" s="101" t="inlineStr">
        <is>
          <t>Stainless Steel 316</t>
        </is>
      </c>
      <c r="C1065" s="13" t="inlineStr">
        <is>
          <t>ASME B36.19M / B36.10M</t>
        </is>
      </c>
      <c r="D1065" s="12" t="inlineStr">
        <is>
          <t>16''</t>
        </is>
      </c>
      <c r="E1065" s="93" t="n">
        <v>400</v>
      </c>
      <c r="F1065" s="12" t="inlineStr">
        <is>
          <t>140</t>
        </is>
      </c>
      <c r="G1065" s="14" t="n">
        <v>16</v>
      </c>
      <c r="H1065" s="78" t="n">
        <v>406.4</v>
      </c>
      <c r="I1065" s="14" t="n">
        <v>1.438</v>
      </c>
      <c r="J1065" s="78" t="n">
        <v>36.53</v>
      </c>
      <c r="K1065" s="14">
        <f>ROUND((H1065-J1065)*J1065*IF(B1065="Carbon Steel",$K$7,IF(B1065="Stainless Steel 304",$K$8,$L$8)), 3)</f>
        <v/>
      </c>
      <c r="L1065" s="78">
        <f>ROUND(K1065*$G$5, 2)</f>
        <v/>
      </c>
      <c r="M1065" s="93">
        <f>INT($G$6/H1065)</f>
        <v/>
      </c>
      <c r="N1065" s="93">
        <f>IF(M1065=0, 0, IF(OR($K$6="Square Grid", M1065=1), INT($G$7/H1065), IF($G$7&lt;H1065, 0, 1+INT(($G$7-H1065)/(0.8660254*H1065)))))</f>
        <v/>
      </c>
      <c r="O1065" s="59">
        <f>IF(OR(M1065=0,N1065=0), 0, IF(OR($K$6="Square Grid", M1065=1), M1065*N1065*$K$5, (INT((N1065+1)/2)*M1065 + INT(N1065/2)*IF(($G$6-M1065*H1065)&gt;=0.5*H1065, M1065, M1065-1))*$K$5))</f>
        <v/>
      </c>
      <c r="P1065" s="59">
        <f>IF(L1065&lt;=0, 0, INT($G$8/L1065))</f>
        <v/>
      </c>
      <c r="Q1065" s="95">
        <f>MIN(O1065, P1065)</f>
        <v/>
      </c>
      <c r="R1065" s="96">
        <f>ROUND((Q1065*L1065)/1000, 2)</f>
        <v/>
      </c>
      <c r="S1065" s="79">
        <f>IF($C$8&gt;0, R1065/$C$8, 0)</f>
        <v/>
      </c>
      <c r="T1065" s="79">
        <f>IF(O1065&gt;0, Q1065/O1065, 0)</f>
        <v/>
      </c>
      <c r="U1065" s="12">
        <f>IF(Q1065=0, "Exceeds Limit", IF(P1065&lt;=O1065, "Weight Limited", "Volume Limited"))</f>
        <v/>
      </c>
      <c r="V1065" s="97">
        <f>B1065&amp;"|"&amp;D1065&amp;"|"&amp;F1065</f>
        <v/>
      </c>
    </row>
    <row r="1066" ht="19" customHeight="1">
      <c r="A1066" s="98" t="n">
        <v>1056</v>
      </c>
      <c r="B1066" s="102" t="inlineStr">
        <is>
          <t>Stainless Steel 316</t>
        </is>
      </c>
      <c r="C1066" s="19" t="inlineStr">
        <is>
          <t>ASME B36.19M / B36.10M</t>
        </is>
      </c>
      <c r="D1066" s="18" t="inlineStr">
        <is>
          <t>16''</t>
        </is>
      </c>
      <c r="E1066" s="98" t="n">
        <v>400</v>
      </c>
      <c r="F1066" s="18" t="inlineStr">
        <is>
          <t>160</t>
        </is>
      </c>
      <c r="G1066" s="20" t="n">
        <v>16</v>
      </c>
      <c r="H1066" s="82" t="n">
        <v>406.4</v>
      </c>
      <c r="I1066" s="20" t="n">
        <v>1.594</v>
      </c>
      <c r="J1066" s="82" t="n">
        <v>40.49</v>
      </c>
      <c r="K1066" s="20">
        <f>ROUND((H1066-J1066)*J1066*IF(B1066="Carbon Steel",$K$7,IF(B1066="Stainless Steel 304",$K$8,$L$8)), 3)</f>
        <v/>
      </c>
      <c r="L1066" s="82">
        <f>ROUND(K1066*$G$5, 2)</f>
        <v/>
      </c>
      <c r="M1066" s="98">
        <f>INT($G$6/H1066)</f>
        <v/>
      </c>
      <c r="N1066" s="98">
        <f>IF(M1066=0, 0, IF(OR($K$6="Square Grid", M1066=1), INT($G$7/H1066), IF($G$7&lt;H1066, 0, 1+INT(($G$7-H1066)/(0.8660254*H1066)))))</f>
        <v/>
      </c>
      <c r="O1066" s="84">
        <f>IF(OR(M1066=0,N1066=0), 0, IF(OR($K$6="Square Grid", M1066=1), M1066*N1066*$K$5, (INT((N1066+1)/2)*M1066 + INT(N1066/2)*IF(($G$6-M1066*H1066)&gt;=0.5*H1066, M1066, M1066-1))*$K$5))</f>
        <v/>
      </c>
      <c r="P1066" s="84">
        <f>IF(L1066&lt;=0, 0, INT($G$8/L1066))</f>
        <v/>
      </c>
      <c r="Q1066" s="95">
        <f>MIN(O1066, P1066)</f>
        <v/>
      </c>
      <c r="R1066" s="96">
        <f>ROUND((Q1066*L1066)/1000, 2)</f>
        <v/>
      </c>
      <c r="S1066" s="85">
        <f>IF($C$8&gt;0, R1066/$C$8, 0)</f>
        <v/>
      </c>
      <c r="T1066" s="85">
        <f>IF(O1066&gt;0, Q1066/O1066, 0)</f>
        <v/>
      </c>
      <c r="U1066" s="18">
        <f>IF(Q1066=0, "Exceeds Limit", IF(P1066&lt;=O1066, "Weight Limited", "Volume Limited"))</f>
        <v/>
      </c>
      <c r="V1066" s="100">
        <f>B1066&amp;"|"&amp;D1066&amp;"|"&amp;F1066</f>
        <v/>
      </c>
    </row>
    <row r="1067" ht="19" customHeight="1">
      <c r="A1067" s="93" t="n">
        <v>1057</v>
      </c>
      <c r="B1067" s="101" t="inlineStr">
        <is>
          <t>Stainless Steel 316</t>
        </is>
      </c>
      <c r="C1067" s="13" t="inlineStr">
        <is>
          <t>ASME B36.19M / B36.10M</t>
        </is>
      </c>
      <c r="D1067" s="12" t="inlineStr">
        <is>
          <t>18''</t>
        </is>
      </c>
      <c r="E1067" s="93" t="n">
        <v>450</v>
      </c>
      <c r="F1067" s="12" t="inlineStr">
        <is>
          <t>5S</t>
        </is>
      </c>
      <c r="G1067" s="14" t="n">
        <v>18</v>
      </c>
      <c r="H1067" s="78" t="n">
        <v>457.2</v>
      </c>
      <c r="I1067" s="14" t="n">
        <v>0.165</v>
      </c>
      <c r="J1067" s="78" t="n">
        <v>4.19</v>
      </c>
      <c r="K1067" s="14">
        <f>ROUND((H1067-J1067)*J1067*IF(B1067="Carbon Steel",$K$7,IF(B1067="Stainless Steel 304",$K$8,$L$8)), 3)</f>
        <v/>
      </c>
      <c r="L1067" s="78">
        <f>ROUND(K1067*$G$5, 2)</f>
        <v/>
      </c>
      <c r="M1067" s="93">
        <f>INT($G$6/H1067)</f>
        <v/>
      </c>
      <c r="N1067" s="93">
        <f>IF(M1067=0, 0, IF(OR($K$6="Square Grid", M1067=1), INT($G$7/H1067), IF($G$7&lt;H1067, 0, 1+INT(($G$7-H1067)/(0.8660254*H1067)))))</f>
        <v/>
      </c>
      <c r="O1067" s="59">
        <f>IF(OR(M1067=0,N1067=0), 0, IF(OR($K$6="Square Grid", M1067=1), M1067*N1067*$K$5, (INT((N1067+1)/2)*M1067 + INT(N1067/2)*IF(($G$6-M1067*H1067)&gt;=0.5*H1067, M1067, M1067-1))*$K$5))</f>
        <v/>
      </c>
      <c r="P1067" s="59">
        <f>IF(L1067&lt;=0, 0, INT($G$8/L1067))</f>
        <v/>
      </c>
      <c r="Q1067" s="95">
        <f>MIN(O1067, P1067)</f>
        <v/>
      </c>
      <c r="R1067" s="96">
        <f>ROUND((Q1067*L1067)/1000, 2)</f>
        <v/>
      </c>
      <c r="S1067" s="79">
        <f>IF($C$8&gt;0, R1067/$C$8, 0)</f>
        <v/>
      </c>
      <c r="T1067" s="79">
        <f>IF(O1067&gt;0, Q1067/O1067, 0)</f>
        <v/>
      </c>
      <c r="U1067" s="12">
        <f>IF(Q1067=0, "Exceeds Limit", IF(P1067&lt;=O1067, "Weight Limited", "Volume Limited"))</f>
        <v/>
      </c>
      <c r="V1067" s="97">
        <f>B1067&amp;"|"&amp;D1067&amp;"|"&amp;F1067</f>
        <v/>
      </c>
    </row>
    <row r="1068" ht="19" customHeight="1">
      <c r="A1068" s="98" t="n">
        <v>1058</v>
      </c>
      <c r="B1068" s="102" t="inlineStr">
        <is>
          <t>Stainless Steel 316</t>
        </is>
      </c>
      <c r="C1068" s="19" t="inlineStr">
        <is>
          <t>ASME B36.19M / B36.10M</t>
        </is>
      </c>
      <c r="D1068" s="18" t="inlineStr">
        <is>
          <t>18''</t>
        </is>
      </c>
      <c r="E1068" s="98" t="n">
        <v>450</v>
      </c>
      <c r="F1068" s="18" t="inlineStr">
        <is>
          <t>5</t>
        </is>
      </c>
      <c r="G1068" s="20" t="n">
        <v>18</v>
      </c>
      <c r="H1068" s="82" t="n">
        <v>457.2</v>
      </c>
      <c r="I1068" s="20" t="n">
        <v>0.165</v>
      </c>
      <c r="J1068" s="82" t="n">
        <v>4.19</v>
      </c>
      <c r="K1068" s="20">
        <f>ROUND((H1068-J1068)*J1068*IF(B1068="Carbon Steel",$K$7,IF(B1068="Stainless Steel 304",$K$8,$L$8)), 3)</f>
        <v/>
      </c>
      <c r="L1068" s="82">
        <f>ROUND(K1068*$G$5, 2)</f>
        <v/>
      </c>
      <c r="M1068" s="98">
        <f>INT($G$6/H1068)</f>
        <v/>
      </c>
      <c r="N1068" s="98">
        <f>IF(M1068=0, 0, IF(OR($K$6="Square Grid", M1068=1), INT($G$7/H1068), IF($G$7&lt;H1068, 0, 1+INT(($G$7-H1068)/(0.8660254*H1068)))))</f>
        <v/>
      </c>
      <c r="O1068" s="84">
        <f>IF(OR(M1068=0,N1068=0), 0, IF(OR($K$6="Square Grid", M1068=1), M1068*N1068*$K$5, (INT((N1068+1)/2)*M1068 + INT(N1068/2)*IF(($G$6-M1068*H1068)&gt;=0.5*H1068, M1068, M1068-1))*$K$5))</f>
        <v/>
      </c>
      <c r="P1068" s="84">
        <f>IF(L1068&lt;=0, 0, INT($G$8/L1068))</f>
        <v/>
      </c>
      <c r="Q1068" s="95">
        <f>MIN(O1068, P1068)</f>
        <v/>
      </c>
      <c r="R1068" s="96">
        <f>ROUND((Q1068*L1068)/1000, 2)</f>
        <v/>
      </c>
      <c r="S1068" s="85">
        <f>IF($C$8&gt;0, R1068/$C$8, 0)</f>
        <v/>
      </c>
      <c r="T1068" s="85">
        <f>IF(O1068&gt;0, Q1068/O1068, 0)</f>
        <v/>
      </c>
      <c r="U1068" s="18">
        <f>IF(Q1068=0, "Exceeds Limit", IF(P1068&lt;=O1068, "Weight Limited", "Volume Limited"))</f>
        <v/>
      </c>
      <c r="V1068" s="100">
        <f>B1068&amp;"|"&amp;D1068&amp;"|"&amp;F1068</f>
        <v/>
      </c>
    </row>
    <row r="1069" ht="19" customHeight="1">
      <c r="A1069" s="93" t="n">
        <v>1059</v>
      </c>
      <c r="B1069" s="101" t="inlineStr">
        <is>
          <t>Stainless Steel 316</t>
        </is>
      </c>
      <c r="C1069" s="13" t="inlineStr">
        <is>
          <t>ASME B36.19M / B36.10M</t>
        </is>
      </c>
      <c r="D1069" s="12" t="inlineStr">
        <is>
          <t>18''</t>
        </is>
      </c>
      <c r="E1069" s="93" t="n">
        <v>450</v>
      </c>
      <c r="F1069" s="12" t="inlineStr">
        <is>
          <t>10S</t>
        </is>
      </c>
      <c r="G1069" s="14" t="n">
        <v>18</v>
      </c>
      <c r="H1069" s="78" t="n">
        <v>457.2</v>
      </c>
      <c r="I1069" s="14" t="n">
        <v>0.188</v>
      </c>
      <c r="J1069" s="78" t="n">
        <v>4.78</v>
      </c>
      <c r="K1069" s="14">
        <f>ROUND((H1069-J1069)*J1069*IF(B1069="Carbon Steel",$K$7,IF(B1069="Stainless Steel 304",$K$8,$L$8)), 3)</f>
        <v/>
      </c>
      <c r="L1069" s="78">
        <f>ROUND(K1069*$G$5, 2)</f>
        <v/>
      </c>
      <c r="M1069" s="93">
        <f>INT($G$6/H1069)</f>
        <v/>
      </c>
      <c r="N1069" s="93">
        <f>IF(M1069=0, 0, IF(OR($K$6="Square Grid", M1069=1), INT($G$7/H1069), IF($G$7&lt;H1069, 0, 1+INT(($G$7-H1069)/(0.8660254*H1069)))))</f>
        <v/>
      </c>
      <c r="O1069" s="59">
        <f>IF(OR(M1069=0,N1069=0), 0, IF(OR($K$6="Square Grid", M1069=1), M1069*N1069*$K$5, (INT((N1069+1)/2)*M1069 + INT(N1069/2)*IF(($G$6-M1069*H1069)&gt;=0.5*H1069, M1069, M1069-1))*$K$5))</f>
        <v/>
      </c>
      <c r="P1069" s="59">
        <f>IF(L1069&lt;=0, 0, INT($G$8/L1069))</f>
        <v/>
      </c>
      <c r="Q1069" s="95">
        <f>MIN(O1069, P1069)</f>
        <v/>
      </c>
      <c r="R1069" s="96">
        <f>ROUND((Q1069*L1069)/1000, 2)</f>
        <v/>
      </c>
      <c r="S1069" s="79">
        <f>IF($C$8&gt;0, R1069/$C$8, 0)</f>
        <v/>
      </c>
      <c r="T1069" s="79">
        <f>IF(O1069&gt;0, Q1069/O1069, 0)</f>
        <v/>
      </c>
      <c r="U1069" s="12">
        <f>IF(Q1069=0, "Exceeds Limit", IF(P1069&lt;=O1069, "Weight Limited", "Volume Limited"))</f>
        <v/>
      </c>
      <c r="V1069" s="97">
        <f>B1069&amp;"|"&amp;D1069&amp;"|"&amp;F1069</f>
        <v/>
      </c>
    </row>
    <row r="1070" ht="19" customHeight="1">
      <c r="A1070" s="98" t="n">
        <v>1060</v>
      </c>
      <c r="B1070" s="102" t="inlineStr">
        <is>
          <t>Stainless Steel 316</t>
        </is>
      </c>
      <c r="C1070" s="19" t="inlineStr">
        <is>
          <t>ASME B36.19M / B36.10M</t>
        </is>
      </c>
      <c r="D1070" s="18" t="inlineStr">
        <is>
          <t>18''</t>
        </is>
      </c>
      <c r="E1070" s="98" t="n">
        <v>450</v>
      </c>
      <c r="F1070" s="18" t="inlineStr">
        <is>
          <t>10</t>
        </is>
      </c>
      <c r="G1070" s="20" t="n">
        <v>18</v>
      </c>
      <c r="H1070" s="82" t="n">
        <v>457.2</v>
      </c>
      <c r="I1070" s="20" t="n">
        <v>0.25</v>
      </c>
      <c r="J1070" s="82" t="n">
        <v>6.35</v>
      </c>
      <c r="K1070" s="20">
        <f>ROUND((H1070-J1070)*J1070*IF(B1070="Carbon Steel",$K$7,IF(B1070="Stainless Steel 304",$K$8,$L$8)), 3)</f>
        <v/>
      </c>
      <c r="L1070" s="82">
        <f>ROUND(K1070*$G$5, 2)</f>
        <v/>
      </c>
      <c r="M1070" s="98">
        <f>INT($G$6/H1070)</f>
        <v/>
      </c>
      <c r="N1070" s="98">
        <f>IF(M1070=0, 0, IF(OR($K$6="Square Grid", M1070=1), INT($G$7/H1070), IF($G$7&lt;H1070, 0, 1+INT(($G$7-H1070)/(0.8660254*H1070)))))</f>
        <v/>
      </c>
      <c r="O1070" s="84">
        <f>IF(OR(M1070=0,N1070=0), 0, IF(OR($K$6="Square Grid", M1070=1), M1070*N1070*$K$5, (INT((N1070+1)/2)*M1070 + INT(N1070/2)*IF(($G$6-M1070*H1070)&gt;=0.5*H1070, M1070, M1070-1))*$K$5))</f>
        <v/>
      </c>
      <c r="P1070" s="84">
        <f>IF(L1070&lt;=0, 0, INT($G$8/L1070))</f>
        <v/>
      </c>
      <c r="Q1070" s="95">
        <f>MIN(O1070, P1070)</f>
        <v/>
      </c>
      <c r="R1070" s="96">
        <f>ROUND((Q1070*L1070)/1000, 2)</f>
        <v/>
      </c>
      <c r="S1070" s="85">
        <f>IF($C$8&gt;0, R1070/$C$8, 0)</f>
        <v/>
      </c>
      <c r="T1070" s="85">
        <f>IF(O1070&gt;0, Q1070/O1070, 0)</f>
        <v/>
      </c>
      <c r="U1070" s="18">
        <f>IF(Q1070=0, "Exceeds Limit", IF(P1070&lt;=O1070, "Weight Limited", "Volume Limited"))</f>
        <v/>
      </c>
      <c r="V1070" s="100">
        <f>B1070&amp;"|"&amp;D1070&amp;"|"&amp;F1070</f>
        <v/>
      </c>
    </row>
    <row r="1071" ht="19" customHeight="1">
      <c r="A1071" s="93" t="n">
        <v>1061</v>
      </c>
      <c r="B1071" s="101" t="inlineStr">
        <is>
          <t>Stainless Steel 316</t>
        </is>
      </c>
      <c r="C1071" s="13" t="inlineStr">
        <is>
          <t>ASME B36.19M / B36.10M</t>
        </is>
      </c>
      <c r="D1071" s="12" t="inlineStr">
        <is>
          <t>18''</t>
        </is>
      </c>
      <c r="E1071" s="93" t="n">
        <v>450</v>
      </c>
      <c r="F1071" s="12" t="inlineStr">
        <is>
          <t>20</t>
        </is>
      </c>
      <c r="G1071" s="14" t="n">
        <v>18</v>
      </c>
      <c r="H1071" s="78" t="n">
        <v>457.2</v>
      </c>
      <c r="I1071" s="14" t="n">
        <v>0.312</v>
      </c>
      <c r="J1071" s="78" t="n">
        <v>7.92</v>
      </c>
      <c r="K1071" s="14">
        <f>ROUND((H1071-J1071)*J1071*IF(B1071="Carbon Steel",$K$7,IF(B1071="Stainless Steel 304",$K$8,$L$8)), 3)</f>
        <v/>
      </c>
      <c r="L1071" s="78">
        <f>ROUND(K1071*$G$5, 2)</f>
        <v/>
      </c>
      <c r="M1071" s="93">
        <f>INT($G$6/H1071)</f>
        <v/>
      </c>
      <c r="N1071" s="93">
        <f>IF(M1071=0, 0, IF(OR($K$6="Square Grid", M1071=1), INT($G$7/H1071), IF($G$7&lt;H1071, 0, 1+INT(($G$7-H1071)/(0.8660254*H1071)))))</f>
        <v/>
      </c>
      <c r="O1071" s="59">
        <f>IF(OR(M1071=0,N1071=0), 0, IF(OR($K$6="Square Grid", M1071=1), M1071*N1071*$K$5, (INT((N1071+1)/2)*M1071 + INT(N1071/2)*IF(($G$6-M1071*H1071)&gt;=0.5*H1071, M1071, M1071-1))*$K$5))</f>
        <v/>
      </c>
      <c r="P1071" s="59">
        <f>IF(L1071&lt;=0, 0, INT($G$8/L1071))</f>
        <v/>
      </c>
      <c r="Q1071" s="95">
        <f>MIN(O1071, P1071)</f>
        <v/>
      </c>
      <c r="R1071" s="96">
        <f>ROUND((Q1071*L1071)/1000, 2)</f>
        <v/>
      </c>
      <c r="S1071" s="79">
        <f>IF($C$8&gt;0, R1071/$C$8, 0)</f>
        <v/>
      </c>
      <c r="T1071" s="79">
        <f>IF(O1071&gt;0, Q1071/O1071, 0)</f>
        <v/>
      </c>
      <c r="U1071" s="12">
        <f>IF(Q1071=0, "Exceeds Limit", IF(P1071&lt;=O1071, "Weight Limited", "Volume Limited"))</f>
        <v/>
      </c>
      <c r="V1071" s="97">
        <f>B1071&amp;"|"&amp;D1071&amp;"|"&amp;F1071</f>
        <v/>
      </c>
    </row>
    <row r="1072" ht="19" customHeight="1">
      <c r="A1072" s="98" t="n">
        <v>1062</v>
      </c>
      <c r="B1072" s="102" t="inlineStr">
        <is>
          <t>Stainless Steel 316</t>
        </is>
      </c>
      <c r="C1072" s="19" t="inlineStr">
        <is>
          <t>ASME B36.19M / B36.10M</t>
        </is>
      </c>
      <c r="D1072" s="18" t="inlineStr">
        <is>
          <t>18''</t>
        </is>
      </c>
      <c r="E1072" s="98" t="n">
        <v>450</v>
      </c>
      <c r="F1072" s="18" t="inlineStr">
        <is>
          <t>30</t>
        </is>
      </c>
      <c r="G1072" s="20" t="n">
        <v>18</v>
      </c>
      <c r="H1072" s="82" t="n">
        <v>457.2</v>
      </c>
      <c r="I1072" s="20" t="n">
        <v>0.438</v>
      </c>
      <c r="J1072" s="82" t="n">
        <v>11.13</v>
      </c>
      <c r="K1072" s="20">
        <f>ROUND((H1072-J1072)*J1072*IF(B1072="Carbon Steel",$K$7,IF(B1072="Stainless Steel 304",$K$8,$L$8)), 3)</f>
        <v/>
      </c>
      <c r="L1072" s="82">
        <f>ROUND(K1072*$G$5, 2)</f>
        <v/>
      </c>
      <c r="M1072" s="98">
        <f>INT($G$6/H1072)</f>
        <v/>
      </c>
      <c r="N1072" s="98">
        <f>IF(M1072=0, 0, IF(OR($K$6="Square Grid", M1072=1), INT($G$7/H1072), IF($G$7&lt;H1072, 0, 1+INT(($G$7-H1072)/(0.8660254*H1072)))))</f>
        <v/>
      </c>
      <c r="O1072" s="84">
        <f>IF(OR(M1072=0,N1072=0), 0, IF(OR($K$6="Square Grid", M1072=1), M1072*N1072*$K$5, (INT((N1072+1)/2)*M1072 + INT(N1072/2)*IF(($G$6-M1072*H1072)&gt;=0.5*H1072, M1072, M1072-1))*$K$5))</f>
        <v/>
      </c>
      <c r="P1072" s="84">
        <f>IF(L1072&lt;=0, 0, INT($G$8/L1072))</f>
        <v/>
      </c>
      <c r="Q1072" s="95">
        <f>MIN(O1072, P1072)</f>
        <v/>
      </c>
      <c r="R1072" s="96">
        <f>ROUND((Q1072*L1072)/1000, 2)</f>
        <v/>
      </c>
      <c r="S1072" s="85">
        <f>IF($C$8&gt;0, R1072/$C$8, 0)</f>
        <v/>
      </c>
      <c r="T1072" s="85">
        <f>IF(O1072&gt;0, Q1072/O1072, 0)</f>
        <v/>
      </c>
      <c r="U1072" s="18">
        <f>IF(Q1072=0, "Exceeds Limit", IF(P1072&lt;=O1072, "Weight Limited", "Volume Limited"))</f>
        <v/>
      </c>
      <c r="V1072" s="100">
        <f>B1072&amp;"|"&amp;D1072&amp;"|"&amp;F1072</f>
        <v/>
      </c>
    </row>
    <row r="1073" ht="19" customHeight="1">
      <c r="A1073" s="93" t="n">
        <v>1063</v>
      </c>
      <c r="B1073" s="101" t="inlineStr">
        <is>
          <t>Stainless Steel 316</t>
        </is>
      </c>
      <c r="C1073" s="13" t="inlineStr">
        <is>
          <t>ASME B36.19M / B36.10M</t>
        </is>
      </c>
      <c r="D1073" s="12" t="inlineStr">
        <is>
          <t>18''</t>
        </is>
      </c>
      <c r="E1073" s="93" t="n">
        <v>450</v>
      </c>
      <c r="F1073" s="12" t="inlineStr">
        <is>
          <t>40S</t>
        </is>
      </c>
      <c r="G1073" s="14" t="n">
        <v>18</v>
      </c>
      <c r="H1073" s="78" t="n">
        <v>457.2</v>
      </c>
      <c r="I1073" s="14" t="n">
        <v>0.375</v>
      </c>
      <c r="J1073" s="78" t="n">
        <v>9.52</v>
      </c>
      <c r="K1073" s="14">
        <f>ROUND((H1073-J1073)*J1073*IF(B1073="Carbon Steel",$K$7,IF(B1073="Stainless Steel 304",$K$8,$L$8)), 3)</f>
        <v/>
      </c>
      <c r="L1073" s="78">
        <f>ROUND(K1073*$G$5, 2)</f>
        <v/>
      </c>
      <c r="M1073" s="93">
        <f>INT($G$6/H1073)</f>
        <v/>
      </c>
      <c r="N1073" s="93">
        <f>IF(M1073=0, 0, IF(OR($K$6="Square Grid", M1073=1), INT($G$7/H1073), IF($G$7&lt;H1073, 0, 1+INT(($G$7-H1073)/(0.8660254*H1073)))))</f>
        <v/>
      </c>
      <c r="O1073" s="59">
        <f>IF(OR(M1073=0,N1073=0), 0, IF(OR($K$6="Square Grid", M1073=1), M1073*N1073*$K$5, (INT((N1073+1)/2)*M1073 + INT(N1073/2)*IF(($G$6-M1073*H1073)&gt;=0.5*H1073, M1073, M1073-1))*$K$5))</f>
        <v/>
      </c>
      <c r="P1073" s="59">
        <f>IF(L1073&lt;=0, 0, INT($G$8/L1073))</f>
        <v/>
      </c>
      <c r="Q1073" s="95">
        <f>MIN(O1073, P1073)</f>
        <v/>
      </c>
      <c r="R1073" s="96">
        <f>ROUND((Q1073*L1073)/1000, 2)</f>
        <v/>
      </c>
      <c r="S1073" s="79">
        <f>IF($C$8&gt;0, R1073/$C$8, 0)</f>
        <v/>
      </c>
      <c r="T1073" s="79">
        <f>IF(O1073&gt;0, Q1073/O1073, 0)</f>
        <v/>
      </c>
      <c r="U1073" s="12">
        <f>IF(Q1073=0, "Exceeds Limit", IF(P1073&lt;=O1073, "Weight Limited", "Volume Limited"))</f>
        <v/>
      </c>
      <c r="V1073" s="97">
        <f>B1073&amp;"|"&amp;D1073&amp;"|"&amp;F1073</f>
        <v/>
      </c>
    </row>
    <row r="1074" ht="19" customHeight="1">
      <c r="A1074" s="98" t="n">
        <v>1064</v>
      </c>
      <c r="B1074" s="102" t="inlineStr">
        <is>
          <t>Stainless Steel 316</t>
        </is>
      </c>
      <c r="C1074" s="19" t="inlineStr">
        <is>
          <t>ASME B36.19M / B36.10M</t>
        </is>
      </c>
      <c r="D1074" s="18" t="inlineStr">
        <is>
          <t>18''</t>
        </is>
      </c>
      <c r="E1074" s="98" t="n">
        <v>450</v>
      </c>
      <c r="F1074" s="18" t="inlineStr">
        <is>
          <t>STD</t>
        </is>
      </c>
      <c r="G1074" s="20" t="n">
        <v>18</v>
      </c>
      <c r="H1074" s="82" t="n">
        <v>457.2</v>
      </c>
      <c r="I1074" s="20" t="n">
        <v>0.375</v>
      </c>
      <c r="J1074" s="82" t="n">
        <v>9.52</v>
      </c>
      <c r="K1074" s="20">
        <f>ROUND((H1074-J1074)*J1074*IF(B1074="Carbon Steel",$K$7,IF(B1074="Stainless Steel 304",$K$8,$L$8)), 3)</f>
        <v/>
      </c>
      <c r="L1074" s="82">
        <f>ROUND(K1074*$G$5, 2)</f>
        <v/>
      </c>
      <c r="M1074" s="98">
        <f>INT($G$6/H1074)</f>
        <v/>
      </c>
      <c r="N1074" s="98">
        <f>IF(M1074=0, 0, IF(OR($K$6="Square Grid", M1074=1), INT($G$7/H1074), IF($G$7&lt;H1074, 0, 1+INT(($G$7-H1074)/(0.8660254*H1074)))))</f>
        <v/>
      </c>
      <c r="O1074" s="84">
        <f>IF(OR(M1074=0,N1074=0), 0, IF(OR($K$6="Square Grid", M1074=1), M1074*N1074*$K$5, (INT((N1074+1)/2)*M1074 + INT(N1074/2)*IF(($G$6-M1074*H1074)&gt;=0.5*H1074, M1074, M1074-1))*$K$5))</f>
        <v/>
      </c>
      <c r="P1074" s="84">
        <f>IF(L1074&lt;=0, 0, INT($G$8/L1074))</f>
        <v/>
      </c>
      <c r="Q1074" s="95">
        <f>MIN(O1074, P1074)</f>
        <v/>
      </c>
      <c r="R1074" s="96">
        <f>ROUND((Q1074*L1074)/1000, 2)</f>
        <v/>
      </c>
      <c r="S1074" s="85">
        <f>IF($C$8&gt;0, R1074/$C$8, 0)</f>
        <v/>
      </c>
      <c r="T1074" s="85">
        <f>IF(O1074&gt;0, Q1074/O1074, 0)</f>
        <v/>
      </c>
      <c r="U1074" s="18">
        <f>IF(Q1074=0, "Exceeds Limit", IF(P1074&lt;=O1074, "Weight Limited", "Volume Limited"))</f>
        <v/>
      </c>
      <c r="V1074" s="100">
        <f>B1074&amp;"|"&amp;D1074&amp;"|"&amp;F1074</f>
        <v/>
      </c>
    </row>
    <row r="1075" ht="19" customHeight="1">
      <c r="A1075" s="93" t="n">
        <v>1065</v>
      </c>
      <c r="B1075" s="101" t="inlineStr">
        <is>
          <t>Stainless Steel 316</t>
        </is>
      </c>
      <c r="C1075" s="13" t="inlineStr">
        <is>
          <t>ASME B36.19M / B36.10M</t>
        </is>
      </c>
      <c r="D1075" s="12" t="inlineStr">
        <is>
          <t>18''</t>
        </is>
      </c>
      <c r="E1075" s="93" t="n">
        <v>450</v>
      </c>
      <c r="F1075" s="12" t="inlineStr">
        <is>
          <t>40</t>
        </is>
      </c>
      <c r="G1075" s="14" t="n">
        <v>18</v>
      </c>
      <c r="H1075" s="78" t="n">
        <v>457.2</v>
      </c>
      <c r="I1075" s="14" t="n">
        <v>0.5620000000000001</v>
      </c>
      <c r="J1075" s="78" t="n">
        <v>14.27</v>
      </c>
      <c r="K1075" s="14">
        <f>ROUND((H1075-J1075)*J1075*IF(B1075="Carbon Steel",$K$7,IF(B1075="Stainless Steel 304",$K$8,$L$8)), 3)</f>
        <v/>
      </c>
      <c r="L1075" s="78">
        <f>ROUND(K1075*$G$5, 2)</f>
        <v/>
      </c>
      <c r="M1075" s="93">
        <f>INT($G$6/H1075)</f>
        <v/>
      </c>
      <c r="N1075" s="93">
        <f>IF(M1075=0, 0, IF(OR($K$6="Square Grid", M1075=1), INT($G$7/H1075), IF($G$7&lt;H1075, 0, 1+INT(($G$7-H1075)/(0.8660254*H1075)))))</f>
        <v/>
      </c>
      <c r="O1075" s="59">
        <f>IF(OR(M1075=0,N1075=0), 0, IF(OR($K$6="Square Grid", M1075=1), M1075*N1075*$K$5, (INT((N1075+1)/2)*M1075 + INT(N1075/2)*IF(($G$6-M1075*H1075)&gt;=0.5*H1075, M1075, M1075-1))*$K$5))</f>
        <v/>
      </c>
      <c r="P1075" s="59">
        <f>IF(L1075&lt;=0, 0, INT($G$8/L1075))</f>
        <v/>
      </c>
      <c r="Q1075" s="95">
        <f>MIN(O1075, P1075)</f>
        <v/>
      </c>
      <c r="R1075" s="96">
        <f>ROUND((Q1075*L1075)/1000, 2)</f>
        <v/>
      </c>
      <c r="S1075" s="79">
        <f>IF($C$8&gt;0, R1075/$C$8, 0)</f>
        <v/>
      </c>
      <c r="T1075" s="79">
        <f>IF(O1075&gt;0, Q1075/O1075, 0)</f>
        <v/>
      </c>
      <c r="U1075" s="12">
        <f>IF(Q1075=0, "Exceeds Limit", IF(P1075&lt;=O1075, "Weight Limited", "Volume Limited"))</f>
        <v/>
      </c>
      <c r="V1075" s="97">
        <f>B1075&amp;"|"&amp;D1075&amp;"|"&amp;F1075</f>
        <v/>
      </c>
    </row>
    <row r="1076" ht="19" customHeight="1">
      <c r="A1076" s="98" t="n">
        <v>1066</v>
      </c>
      <c r="B1076" s="102" t="inlineStr">
        <is>
          <t>Stainless Steel 316</t>
        </is>
      </c>
      <c r="C1076" s="19" t="inlineStr">
        <is>
          <t>ASME B36.19M / B36.10M</t>
        </is>
      </c>
      <c r="D1076" s="18" t="inlineStr">
        <is>
          <t>18''</t>
        </is>
      </c>
      <c r="E1076" s="98" t="n">
        <v>450</v>
      </c>
      <c r="F1076" s="18" t="inlineStr">
        <is>
          <t>60</t>
        </is>
      </c>
      <c r="G1076" s="20" t="n">
        <v>18</v>
      </c>
      <c r="H1076" s="82" t="n">
        <v>457.2</v>
      </c>
      <c r="I1076" s="20" t="n">
        <v>0.75</v>
      </c>
      <c r="J1076" s="82" t="n">
        <v>19.05</v>
      </c>
      <c r="K1076" s="20">
        <f>ROUND((H1076-J1076)*J1076*IF(B1076="Carbon Steel",$K$7,IF(B1076="Stainless Steel 304",$K$8,$L$8)), 3)</f>
        <v/>
      </c>
      <c r="L1076" s="82">
        <f>ROUND(K1076*$G$5, 2)</f>
        <v/>
      </c>
      <c r="M1076" s="98">
        <f>INT($G$6/H1076)</f>
        <v/>
      </c>
      <c r="N1076" s="98">
        <f>IF(M1076=0, 0, IF(OR($K$6="Square Grid", M1076=1), INT($G$7/H1076), IF($G$7&lt;H1076, 0, 1+INT(($G$7-H1076)/(0.8660254*H1076)))))</f>
        <v/>
      </c>
      <c r="O1076" s="84">
        <f>IF(OR(M1076=0,N1076=0), 0, IF(OR($K$6="Square Grid", M1076=1), M1076*N1076*$K$5, (INT((N1076+1)/2)*M1076 + INT(N1076/2)*IF(($G$6-M1076*H1076)&gt;=0.5*H1076, M1076, M1076-1))*$K$5))</f>
        <v/>
      </c>
      <c r="P1076" s="84">
        <f>IF(L1076&lt;=0, 0, INT($G$8/L1076))</f>
        <v/>
      </c>
      <c r="Q1076" s="95">
        <f>MIN(O1076, P1076)</f>
        <v/>
      </c>
      <c r="R1076" s="96">
        <f>ROUND((Q1076*L1076)/1000, 2)</f>
        <v/>
      </c>
      <c r="S1076" s="85">
        <f>IF($C$8&gt;0, R1076/$C$8, 0)</f>
        <v/>
      </c>
      <c r="T1076" s="85">
        <f>IF(O1076&gt;0, Q1076/O1076, 0)</f>
        <v/>
      </c>
      <c r="U1076" s="18">
        <f>IF(Q1076=0, "Exceeds Limit", IF(P1076&lt;=O1076, "Weight Limited", "Volume Limited"))</f>
        <v/>
      </c>
      <c r="V1076" s="100">
        <f>B1076&amp;"|"&amp;D1076&amp;"|"&amp;F1076</f>
        <v/>
      </c>
    </row>
    <row r="1077" ht="19" customHeight="1">
      <c r="A1077" s="93" t="n">
        <v>1067</v>
      </c>
      <c r="B1077" s="101" t="inlineStr">
        <is>
          <t>Stainless Steel 316</t>
        </is>
      </c>
      <c r="C1077" s="13" t="inlineStr">
        <is>
          <t>ASME B36.19M / B36.10M</t>
        </is>
      </c>
      <c r="D1077" s="12" t="inlineStr">
        <is>
          <t>18''</t>
        </is>
      </c>
      <c r="E1077" s="93" t="n">
        <v>450</v>
      </c>
      <c r="F1077" s="12" t="inlineStr">
        <is>
          <t>80S</t>
        </is>
      </c>
      <c r="G1077" s="14" t="n">
        <v>18</v>
      </c>
      <c r="H1077" s="78" t="n">
        <v>457.2</v>
      </c>
      <c r="I1077" s="14" t="n">
        <v>0.5</v>
      </c>
      <c r="J1077" s="78" t="n">
        <v>12.7</v>
      </c>
      <c r="K1077" s="14">
        <f>ROUND((H1077-J1077)*J1077*IF(B1077="Carbon Steel",$K$7,IF(B1077="Stainless Steel 304",$K$8,$L$8)), 3)</f>
        <v/>
      </c>
      <c r="L1077" s="78">
        <f>ROUND(K1077*$G$5, 2)</f>
        <v/>
      </c>
      <c r="M1077" s="93">
        <f>INT($G$6/H1077)</f>
        <v/>
      </c>
      <c r="N1077" s="93">
        <f>IF(M1077=0, 0, IF(OR($K$6="Square Grid", M1077=1), INT($G$7/H1077), IF($G$7&lt;H1077, 0, 1+INT(($G$7-H1077)/(0.8660254*H1077)))))</f>
        <v/>
      </c>
      <c r="O1077" s="59">
        <f>IF(OR(M1077=0,N1077=0), 0, IF(OR($K$6="Square Grid", M1077=1), M1077*N1077*$K$5, (INT((N1077+1)/2)*M1077 + INT(N1077/2)*IF(($G$6-M1077*H1077)&gt;=0.5*H1077, M1077, M1077-1))*$K$5))</f>
        <v/>
      </c>
      <c r="P1077" s="59">
        <f>IF(L1077&lt;=0, 0, INT($G$8/L1077))</f>
        <v/>
      </c>
      <c r="Q1077" s="95">
        <f>MIN(O1077, P1077)</f>
        <v/>
      </c>
      <c r="R1077" s="96">
        <f>ROUND((Q1077*L1077)/1000, 2)</f>
        <v/>
      </c>
      <c r="S1077" s="79">
        <f>IF($C$8&gt;0, R1077/$C$8, 0)</f>
        <v/>
      </c>
      <c r="T1077" s="79">
        <f>IF(O1077&gt;0, Q1077/O1077, 0)</f>
        <v/>
      </c>
      <c r="U1077" s="12">
        <f>IF(Q1077=0, "Exceeds Limit", IF(P1077&lt;=O1077, "Weight Limited", "Volume Limited"))</f>
        <v/>
      </c>
      <c r="V1077" s="97">
        <f>B1077&amp;"|"&amp;D1077&amp;"|"&amp;F1077</f>
        <v/>
      </c>
    </row>
    <row r="1078" ht="19" customHeight="1">
      <c r="A1078" s="98" t="n">
        <v>1068</v>
      </c>
      <c r="B1078" s="102" t="inlineStr">
        <is>
          <t>Stainless Steel 316</t>
        </is>
      </c>
      <c r="C1078" s="19" t="inlineStr">
        <is>
          <t>ASME B36.19M / B36.10M</t>
        </is>
      </c>
      <c r="D1078" s="18" t="inlineStr">
        <is>
          <t>18''</t>
        </is>
      </c>
      <c r="E1078" s="98" t="n">
        <v>450</v>
      </c>
      <c r="F1078" s="18" t="inlineStr">
        <is>
          <t>XS</t>
        </is>
      </c>
      <c r="G1078" s="20" t="n">
        <v>18</v>
      </c>
      <c r="H1078" s="82" t="n">
        <v>457.2</v>
      </c>
      <c r="I1078" s="20" t="n">
        <v>0.5</v>
      </c>
      <c r="J1078" s="82" t="n">
        <v>12.7</v>
      </c>
      <c r="K1078" s="20">
        <f>ROUND((H1078-J1078)*J1078*IF(B1078="Carbon Steel",$K$7,IF(B1078="Stainless Steel 304",$K$8,$L$8)), 3)</f>
        <v/>
      </c>
      <c r="L1078" s="82">
        <f>ROUND(K1078*$G$5, 2)</f>
        <v/>
      </c>
      <c r="M1078" s="98">
        <f>INT($G$6/H1078)</f>
        <v/>
      </c>
      <c r="N1078" s="98">
        <f>IF(M1078=0, 0, IF(OR($K$6="Square Grid", M1078=1), INT($G$7/H1078), IF($G$7&lt;H1078, 0, 1+INT(($G$7-H1078)/(0.8660254*H1078)))))</f>
        <v/>
      </c>
      <c r="O1078" s="84">
        <f>IF(OR(M1078=0,N1078=0), 0, IF(OR($K$6="Square Grid", M1078=1), M1078*N1078*$K$5, (INT((N1078+1)/2)*M1078 + INT(N1078/2)*IF(($G$6-M1078*H1078)&gt;=0.5*H1078, M1078, M1078-1))*$K$5))</f>
        <v/>
      </c>
      <c r="P1078" s="84">
        <f>IF(L1078&lt;=0, 0, INT($G$8/L1078))</f>
        <v/>
      </c>
      <c r="Q1078" s="95">
        <f>MIN(O1078, P1078)</f>
        <v/>
      </c>
      <c r="R1078" s="96">
        <f>ROUND((Q1078*L1078)/1000, 2)</f>
        <v/>
      </c>
      <c r="S1078" s="85">
        <f>IF($C$8&gt;0, R1078/$C$8, 0)</f>
        <v/>
      </c>
      <c r="T1078" s="85">
        <f>IF(O1078&gt;0, Q1078/O1078, 0)</f>
        <v/>
      </c>
      <c r="U1078" s="18">
        <f>IF(Q1078=0, "Exceeds Limit", IF(P1078&lt;=O1078, "Weight Limited", "Volume Limited"))</f>
        <v/>
      </c>
      <c r="V1078" s="100">
        <f>B1078&amp;"|"&amp;D1078&amp;"|"&amp;F1078</f>
        <v/>
      </c>
    </row>
    <row r="1079" ht="19" customHeight="1">
      <c r="A1079" s="93" t="n">
        <v>1069</v>
      </c>
      <c r="B1079" s="101" t="inlineStr">
        <is>
          <t>Stainless Steel 316</t>
        </is>
      </c>
      <c r="C1079" s="13" t="inlineStr">
        <is>
          <t>ASME B36.19M / B36.10M</t>
        </is>
      </c>
      <c r="D1079" s="12" t="inlineStr">
        <is>
          <t>18''</t>
        </is>
      </c>
      <c r="E1079" s="93" t="n">
        <v>450</v>
      </c>
      <c r="F1079" s="12" t="inlineStr">
        <is>
          <t>80</t>
        </is>
      </c>
      <c r="G1079" s="14" t="n">
        <v>18</v>
      </c>
      <c r="H1079" s="78" t="n">
        <v>457.2</v>
      </c>
      <c r="I1079" s="14" t="n">
        <v>0.9379999999999999</v>
      </c>
      <c r="J1079" s="78" t="n">
        <v>23.83</v>
      </c>
      <c r="K1079" s="14">
        <f>ROUND((H1079-J1079)*J1079*IF(B1079="Carbon Steel",$K$7,IF(B1079="Stainless Steel 304",$K$8,$L$8)), 3)</f>
        <v/>
      </c>
      <c r="L1079" s="78">
        <f>ROUND(K1079*$G$5, 2)</f>
        <v/>
      </c>
      <c r="M1079" s="93">
        <f>INT($G$6/H1079)</f>
        <v/>
      </c>
      <c r="N1079" s="93">
        <f>IF(M1079=0, 0, IF(OR($K$6="Square Grid", M1079=1), INT($G$7/H1079), IF($G$7&lt;H1079, 0, 1+INT(($G$7-H1079)/(0.8660254*H1079)))))</f>
        <v/>
      </c>
      <c r="O1079" s="59">
        <f>IF(OR(M1079=0,N1079=0), 0, IF(OR($K$6="Square Grid", M1079=1), M1079*N1079*$K$5, (INT((N1079+1)/2)*M1079 + INT(N1079/2)*IF(($G$6-M1079*H1079)&gt;=0.5*H1079, M1079, M1079-1))*$K$5))</f>
        <v/>
      </c>
      <c r="P1079" s="59">
        <f>IF(L1079&lt;=0, 0, INT($G$8/L1079))</f>
        <v/>
      </c>
      <c r="Q1079" s="95">
        <f>MIN(O1079, P1079)</f>
        <v/>
      </c>
      <c r="R1079" s="96">
        <f>ROUND((Q1079*L1079)/1000, 2)</f>
        <v/>
      </c>
      <c r="S1079" s="79">
        <f>IF($C$8&gt;0, R1079/$C$8, 0)</f>
        <v/>
      </c>
      <c r="T1079" s="79">
        <f>IF(O1079&gt;0, Q1079/O1079, 0)</f>
        <v/>
      </c>
      <c r="U1079" s="12">
        <f>IF(Q1079=0, "Exceeds Limit", IF(P1079&lt;=O1079, "Weight Limited", "Volume Limited"))</f>
        <v/>
      </c>
      <c r="V1079" s="97">
        <f>B1079&amp;"|"&amp;D1079&amp;"|"&amp;F1079</f>
        <v/>
      </c>
    </row>
    <row r="1080" ht="19" customHeight="1">
      <c r="A1080" s="98" t="n">
        <v>1070</v>
      </c>
      <c r="B1080" s="102" t="inlineStr">
        <is>
          <t>Stainless Steel 316</t>
        </is>
      </c>
      <c r="C1080" s="19" t="inlineStr">
        <is>
          <t>ASME B36.19M / B36.10M</t>
        </is>
      </c>
      <c r="D1080" s="18" t="inlineStr">
        <is>
          <t>18''</t>
        </is>
      </c>
      <c r="E1080" s="98" t="n">
        <v>450</v>
      </c>
      <c r="F1080" s="18" t="inlineStr">
        <is>
          <t>100</t>
        </is>
      </c>
      <c r="G1080" s="20" t="n">
        <v>18</v>
      </c>
      <c r="H1080" s="82" t="n">
        <v>457.2</v>
      </c>
      <c r="I1080" s="20" t="n">
        <v>1.156</v>
      </c>
      <c r="J1080" s="82" t="n">
        <v>29.36</v>
      </c>
      <c r="K1080" s="20">
        <f>ROUND((H1080-J1080)*J1080*IF(B1080="Carbon Steel",$K$7,IF(B1080="Stainless Steel 304",$K$8,$L$8)), 3)</f>
        <v/>
      </c>
      <c r="L1080" s="82">
        <f>ROUND(K1080*$G$5, 2)</f>
        <v/>
      </c>
      <c r="M1080" s="98">
        <f>INT($G$6/H1080)</f>
        <v/>
      </c>
      <c r="N1080" s="98">
        <f>IF(M1080=0, 0, IF(OR($K$6="Square Grid", M1080=1), INT($G$7/H1080), IF($G$7&lt;H1080, 0, 1+INT(($G$7-H1080)/(0.8660254*H1080)))))</f>
        <v/>
      </c>
      <c r="O1080" s="84">
        <f>IF(OR(M1080=0,N1080=0), 0, IF(OR($K$6="Square Grid", M1080=1), M1080*N1080*$K$5, (INT((N1080+1)/2)*M1080 + INT(N1080/2)*IF(($G$6-M1080*H1080)&gt;=0.5*H1080, M1080, M1080-1))*$K$5))</f>
        <v/>
      </c>
      <c r="P1080" s="84">
        <f>IF(L1080&lt;=0, 0, INT($G$8/L1080))</f>
        <v/>
      </c>
      <c r="Q1080" s="95">
        <f>MIN(O1080, P1080)</f>
        <v/>
      </c>
      <c r="R1080" s="96">
        <f>ROUND((Q1080*L1080)/1000, 2)</f>
        <v/>
      </c>
      <c r="S1080" s="85">
        <f>IF($C$8&gt;0, R1080/$C$8, 0)</f>
        <v/>
      </c>
      <c r="T1080" s="85">
        <f>IF(O1080&gt;0, Q1080/O1080, 0)</f>
        <v/>
      </c>
      <c r="U1080" s="18">
        <f>IF(Q1080=0, "Exceeds Limit", IF(P1080&lt;=O1080, "Weight Limited", "Volume Limited"))</f>
        <v/>
      </c>
      <c r="V1080" s="100">
        <f>B1080&amp;"|"&amp;D1080&amp;"|"&amp;F1080</f>
        <v/>
      </c>
    </row>
    <row r="1081" ht="19" customHeight="1">
      <c r="A1081" s="93" t="n">
        <v>1071</v>
      </c>
      <c r="B1081" s="101" t="inlineStr">
        <is>
          <t>Stainless Steel 316</t>
        </is>
      </c>
      <c r="C1081" s="13" t="inlineStr">
        <is>
          <t>ASME B36.19M / B36.10M</t>
        </is>
      </c>
      <c r="D1081" s="12" t="inlineStr">
        <is>
          <t>18''</t>
        </is>
      </c>
      <c r="E1081" s="93" t="n">
        <v>450</v>
      </c>
      <c r="F1081" s="12" t="inlineStr">
        <is>
          <t>120</t>
        </is>
      </c>
      <c r="G1081" s="14" t="n">
        <v>18</v>
      </c>
      <c r="H1081" s="78" t="n">
        <v>457.2</v>
      </c>
      <c r="I1081" s="14" t="n">
        <v>1.375</v>
      </c>
      <c r="J1081" s="78" t="n">
        <v>34.92</v>
      </c>
      <c r="K1081" s="14">
        <f>ROUND((H1081-J1081)*J1081*IF(B1081="Carbon Steel",$K$7,IF(B1081="Stainless Steel 304",$K$8,$L$8)), 3)</f>
        <v/>
      </c>
      <c r="L1081" s="78">
        <f>ROUND(K1081*$G$5, 2)</f>
        <v/>
      </c>
      <c r="M1081" s="93">
        <f>INT($G$6/H1081)</f>
        <v/>
      </c>
      <c r="N1081" s="93">
        <f>IF(M1081=0, 0, IF(OR($K$6="Square Grid", M1081=1), INT($G$7/H1081), IF($G$7&lt;H1081, 0, 1+INT(($G$7-H1081)/(0.8660254*H1081)))))</f>
        <v/>
      </c>
      <c r="O1081" s="59">
        <f>IF(OR(M1081=0,N1081=0), 0, IF(OR($K$6="Square Grid", M1081=1), M1081*N1081*$K$5, (INT((N1081+1)/2)*M1081 + INT(N1081/2)*IF(($G$6-M1081*H1081)&gt;=0.5*H1081, M1081, M1081-1))*$K$5))</f>
        <v/>
      </c>
      <c r="P1081" s="59">
        <f>IF(L1081&lt;=0, 0, INT($G$8/L1081))</f>
        <v/>
      </c>
      <c r="Q1081" s="95">
        <f>MIN(O1081, P1081)</f>
        <v/>
      </c>
      <c r="R1081" s="96">
        <f>ROUND((Q1081*L1081)/1000, 2)</f>
        <v/>
      </c>
      <c r="S1081" s="79">
        <f>IF($C$8&gt;0, R1081/$C$8, 0)</f>
        <v/>
      </c>
      <c r="T1081" s="79">
        <f>IF(O1081&gt;0, Q1081/O1081, 0)</f>
        <v/>
      </c>
      <c r="U1081" s="12">
        <f>IF(Q1081=0, "Exceeds Limit", IF(P1081&lt;=O1081, "Weight Limited", "Volume Limited"))</f>
        <v/>
      </c>
      <c r="V1081" s="97">
        <f>B1081&amp;"|"&amp;D1081&amp;"|"&amp;F1081</f>
        <v/>
      </c>
    </row>
    <row r="1082" ht="19" customHeight="1">
      <c r="A1082" s="98" t="n">
        <v>1072</v>
      </c>
      <c r="B1082" s="102" t="inlineStr">
        <is>
          <t>Stainless Steel 316</t>
        </is>
      </c>
      <c r="C1082" s="19" t="inlineStr">
        <is>
          <t>ASME B36.19M / B36.10M</t>
        </is>
      </c>
      <c r="D1082" s="18" t="inlineStr">
        <is>
          <t>18''</t>
        </is>
      </c>
      <c r="E1082" s="98" t="n">
        <v>450</v>
      </c>
      <c r="F1082" s="18" t="inlineStr">
        <is>
          <t>140</t>
        </is>
      </c>
      <c r="G1082" s="20" t="n">
        <v>18</v>
      </c>
      <c r="H1082" s="82" t="n">
        <v>457.2</v>
      </c>
      <c r="I1082" s="20" t="n">
        <v>1.562</v>
      </c>
      <c r="J1082" s="82" t="n">
        <v>39.67</v>
      </c>
      <c r="K1082" s="20">
        <f>ROUND((H1082-J1082)*J1082*IF(B1082="Carbon Steel",$K$7,IF(B1082="Stainless Steel 304",$K$8,$L$8)), 3)</f>
        <v/>
      </c>
      <c r="L1082" s="82">
        <f>ROUND(K1082*$G$5, 2)</f>
        <v/>
      </c>
      <c r="M1082" s="98">
        <f>INT($G$6/H1082)</f>
        <v/>
      </c>
      <c r="N1082" s="98">
        <f>IF(M1082=0, 0, IF(OR($K$6="Square Grid", M1082=1), INT($G$7/H1082), IF($G$7&lt;H1082, 0, 1+INT(($G$7-H1082)/(0.8660254*H1082)))))</f>
        <v/>
      </c>
      <c r="O1082" s="84">
        <f>IF(OR(M1082=0,N1082=0), 0, IF(OR($K$6="Square Grid", M1082=1), M1082*N1082*$K$5, (INT((N1082+1)/2)*M1082 + INT(N1082/2)*IF(($G$6-M1082*H1082)&gt;=0.5*H1082, M1082, M1082-1))*$K$5))</f>
        <v/>
      </c>
      <c r="P1082" s="84">
        <f>IF(L1082&lt;=0, 0, INT($G$8/L1082))</f>
        <v/>
      </c>
      <c r="Q1082" s="95">
        <f>MIN(O1082, P1082)</f>
        <v/>
      </c>
      <c r="R1082" s="96">
        <f>ROUND((Q1082*L1082)/1000, 2)</f>
        <v/>
      </c>
      <c r="S1082" s="85">
        <f>IF($C$8&gt;0, R1082/$C$8, 0)</f>
        <v/>
      </c>
      <c r="T1082" s="85">
        <f>IF(O1082&gt;0, Q1082/O1082, 0)</f>
        <v/>
      </c>
      <c r="U1082" s="18">
        <f>IF(Q1082=0, "Exceeds Limit", IF(P1082&lt;=O1082, "Weight Limited", "Volume Limited"))</f>
        <v/>
      </c>
      <c r="V1082" s="100">
        <f>B1082&amp;"|"&amp;D1082&amp;"|"&amp;F1082</f>
        <v/>
      </c>
    </row>
    <row r="1083" ht="19" customHeight="1">
      <c r="A1083" s="93" t="n">
        <v>1073</v>
      </c>
      <c r="B1083" s="101" t="inlineStr">
        <is>
          <t>Stainless Steel 316</t>
        </is>
      </c>
      <c r="C1083" s="13" t="inlineStr">
        <is>
          <t>ASME B36.19M / B36.10M</t>
        </is>
      </c>
      <c r="D1083" s="12" t="inlineStr">
        <is>
          <t>18''</t>
        </is>
      </c>
      <c r="E1083" s="93" t="n">
        <v>450</v>
      </c>
      <c r="F1083" s="12" t="inlineStr">
        <is>
          <t>160</t>
        </is>
      </c>
      <c r="G1083" s="14" t="n">
        <v>18</v>
      </c>
      <c r="H1083" s="78" t="n">
        <v>457.2</v>
      </c>
      <c r="I1083" s="14" t="n">
        <v>1.781</v>
      </c>
      <c r="J1083" s="78" t="n">
        <v>45.24</v>
      </c>
      <c r="K1083" s="14">
        <f>ROUND((H1083-J1083)*J1083*IF(B1083="Carbon Steel",$K$7,IF(B1083="Stainless Steel 304",$K$8,$L$8)), 3)</f>
        <v/>
      </c>
      <c r="L1083" s="78">
        <f>ROUND(K1083*$G$5, 2)</f>
        <v/>
      </c>
      <c r="M1083" s="93">
        <f>INT($G$6/H1083)</f>
        <v/>
      </c>
      <c r="N1083" s="93">
        <f>IF(M1083=0, 0, IF(OR($K$6="Square Grid", M1083=1), INT($G$7/H1083), IF($G$7&lt;H1083, 0, 1+INT(($G$7-H1083)/(0.8660254*H1083)))))</f>
        <v/>
      </c>
      <c r="O1083" s="59">
        <f>IF(OR(M1083=0,N1083=0), 0, IF(OR($K$6="Square Grid", M1083=1), M1083*N1083*$K$5, (INT((N1083+1)/2)*M1083 + INT(N1083/2)*IF(($G$6-M1083*H1083)&gt;=0.5*H1083, M1083, M1083-1))*$K$5))</f>
        <v/>
      </c>
      <c r="P1083" s="59">
        <f>IF(L1083&lt;=0, 0, INT($G$8/L1083))</f>
        <v/>
      </c>
      <c r="Q1083" s="95">
        <f>MIN(O1083, P1083)</f>
        <v/>
      </c>
      <c r="R1083" s="96">
        <f>ROUND((Q1083*L1083)/1000, 2)</f>
        <v/>
      </c>
      <c r="S1083" s="79">
        <f>IF($C$8&gt;0, R1083/$C$8, 0)</f>
        <v/>
      </c>
      <c r="T1083" s="79">
        <f>IF(O1083&gt;0, Q1083/O1083, 0)</f>
        <v/>
      </c>
      <c r="U1083" s="12">
        <f>IF(Q1083=0, "Exceeds Limit", IF(P1083&lt;=O1083, "Weight Limited", "Volume Limited"))</f>
        <v/>
      </c>
      <c r="V1083" s="97">
        <f>B1083&amp;"|"&amp;D1083&amp;"|"&amp;F1083</f>
        <v/>
      </c>
    </row>
    <row r="1084" ht="19" customHeight="1">
      <c r="A1084" s="98" t="n">
        <v>1074</v>
      </c>
      <c r="B1084" s="102" t="inlineStr">
        <is>
          <t>Stainless Steel 316</t>
        </is>
      </c>
      <c r="C1084" s="19" t="inlineStr">
        <is>
          <t>ASME B36.19M / B36.10M</t>
        </is>
      </c>
      <c r="D1084" s="18" t="inlineStr">
        <is>
          <t>20''</t>
        </is>
      </c>
      <c r="E1084" s="98" t="n">
        <v>500</v>
      </c>
      <c r="F1084" s="18" t="inlineStr">
        <is>
          <t>5S</t>
        </is>
      </c>
      <c r="G1084" s="20" t="n">
        <v>20</v>
      </c>
      <c r="H1084" s="82" t="n">
        <v>508</v>
      </c>
      <c r="I1084" s="20" t="n">
        <v>0.188</v>
      </c>
      <c r="J1084" s="82" t="n">
        <v>4.78</v>
      </c>
      <c r="K1084" s="20">
        <f>ROUND((H1084-J1084)*J1084*IF(B1084="Carbon Steel",$K$7,IF(B1084="Stainless Steel 304",$K$8,$L$8)), 3)</f>
        <v/>
      </c>
      <c r="L1084" s="82">
        <f>ROUND(K1084*$G$5, 2)</f>
        <v/>
      </c>
      <c r="M1084" s="98">
        <f>INT($G$6/H1084)</f>
        <v/>
      </c>
      <c r="N1084" s="98">
        <f>IF(M1084=0, 0, IF(OR($K$6="Square Grid", M1084=1), INT($G$7/H1084), IF($G$7&lt;H1084, 0, 1+INT(($G$7-H1084)/(0.8660254*H1084)))))</f>
        <v/>
      </c>
      <c r="O1084" s="84">
        <f>IF(OR(M1084=0,N1084=0), 0, IF(OR($K$6="Square Grid", M1084=1), M1084*N1084*$K$5, (INT((N1084+1)/2)*M1084 + INT(N1084/2)*IF(($G$6-M1084*H1084)&gt;=0.5*H1084, M1084, M1084-1))*$K$5))</f>
        <v/>
      </c>
      <c r="P1084" s="84">
        <f>IF(L1084&lt;=0, 0, INT($G$8/L1084))</f>
        <v/>
      </c>
      <c r="Q1084" s="95">
        <f>MIN(O1084, P1084)</f>
        <v/>
      </c>
      <c r="R1084" s="96">
        <f>ROUND((Q1084*L1084)/1000, 2)</f>
        <v/>
      </c>
      <c r="S1084" s="85">
        <f>IF($C$8&gt;0, R1084/$C$8, 0)</f>
        <v/>
      </c>
      <c r="T1084" s="85">
        <f>IF(O1084&gt;0, Q1084/O1084, 0)</f>
        <v/>
      </c>
      <c r="U1084" s="18">
        <f>IF(Q1084=0, "Exceeds Limit", IF(P1084&lt;=O1084, "Weight Limited", "Volume Limited"))</f>
        <v/>
      </c>
      <c r="V1084" s="100">
        <f>B1084&amp;"|"&amp;D1084&amp;"|"&amp;F1084</f>
        <v/>
      </c>
    </row>
    <row r="1085" ht="19" customHeight="1">
      <c r="A1085" s="93" t="n">
        <v>1075</v>
      </c>
      <c r="B1085" s="101" t="inlineStr">
        <is>
          <t>Stainless Steel 316</t>
        </is>
      </c>
      <c r="C1085" s="13" t="inlineStr">
        <is>
          <t>ASME B36.19M / B36.10M</t>
        </is>
      </c>
      <c r="D1085" s="12" t="inlineStr">
        <is>
          <t>20''</t>
        </is>
      </c>
      <c r="E1085" s="93" t="n">
        <v>500</v>
      </c>
      <c r="F1085" s="12" t="inlineStr">
        <is>
          <t>5</t>
        </is>
      </c>
      <c r="G1085" s="14" t="n">
        <v>20</v>
      </c>
      <c r="H1085" s="78" t="n">
        <v>508</v>
      </c>
      <c r="I1085" s="14" t="n">
        <v>0.188</v>
      </c>
      <c r="J1085" s="78" t="n">
        <v>4.78</v>
      </c>
      <c r="K1085" s="14">
        <f>ROUND((H1085-J1085)*J1085*IF(B1085="Carbon Steel",$K$7,IF(B1085="Stainless Steel 304",$K$8,$L$8)), 3)</f>
        <v/>
      </c>
      <c r="L1085" s="78">
        <f>ROUND(K1085*$G$5, 2)</f>
        <v/>
      </c>
      <c r="M1085" s="93">
        <f>INT($G$6/H1085)</f>
        <v/>
      </c>
      <c r="N1085" s="93">
        <f>IF(M1085=0, 0, IF(OR($K$6="Square Grid", M1085=1), INT($G$7/H1085), IF($G$7&lt;H1085, 0, 1+INT(($G$7-H1085)/(0.8660254*H1085)))))</f>
        <v/>
      </c>
      <c r="O1085" s="59">
        <f>IF(OR(M1085=0,N1085=0), 0, IF(OR($K$6="Square Grid", M1085=1), M1085*N1085*$K$5, (INT((N1085+1)/2)*M1085 + INT(N1085/2)*IF(($G$6-M1085*H1085)&gt;=0.5*H1085, M1085, M1085-1))*$K$5))</f>
        <v/>
      </c>
      <c r="P1085" s="59">
        <f>IF(L1085&lt;=0, 0, INT($G$8/L1085))</f>
        <v/>
      </c>
      <c r="Q1085" s="95">
        <f>MIN(O1085, P1085)</f>
        <v/>
      </c>
      <c r="R1085" s="96">
        <f>ROUND((Q1085*L1085)/1000, 2)</f>
        <v/>
      </c>
      <c r="S1085" s="79">
        <f>IF($C$8&gt;0, R1085/$C$8, 0)</f>
        <v/>
      </c>
      <c r="T1085" s="79">
        <f>IF(O1085&gt;0, Q1085/O1085, 0)</f>
        <v/>
      </c>
      <c r="U1085" s="12">
        <f>IF(Q1085=0, "Exceeds Limit", IF(P1085&lt;=O1085, "Weight Limited", "Volume Limited"))</f>
        <v/>
      </c>
      <c r="V1085" s="97">
        <f>B1085&amp;"|"&amp;D1085&amp;"|"&amp;F1085</f>
        <v/>
      </c>
    </row>
    <row r="1086" ht="19" customHeight="1">
      <c r="A1086" s="98" t="n">
        <v>1076</v>
      </c>
      <c r="B1086" s="102" t="inlineStr">
        <is>
          <t>Stainless Steel 316</t>
        </is>
      </c>
      <c r="C1086" s="19" t="inlineStr">
        <is>
          <t>ASME B36.19M / B36.10M</t>
        </is>
      </c>
      <c r="D1086" s="18" t="inlineStr">
        <is>
          <t>20''</t>
        </is>
      </c>
      <c r="E1086" s="98" t="n">
        <v>500</v>
      </c>
      <c r="F1086" s="18" t="inlineStr">
        <is>
          <t>10S</t>
        </is>
      </c>
      <c r="G1086" s="20" t="n">
        <v>20</v>
      </c>
      <c r="H1086" s="82" t="n">
        <v>508</v>
      </c>
      <c r="I1086" s="20" t="n">
        <v>0.218</v>
      </c>
      <c r="J1086" s="82" t="n">
        <v>5.54</v>
      </c>
      <c r="K1086" s="20">
        <f>ROUND((H1086-J1086)*J1086*IF(B1086="Carbon Steel",$K$7,IF(B1086="Stainless Steel 304",$K$8,$L$8)), 3)</f>
        <v/>
      </c>
      <c r="L1086" s="82">
        <f>ROUND(K1086*$G$5, 2)</f>
        <v/>
      </c>
      <c r="M1086" s="98">
        <f>INT($G$6/H1086)</f>
        <v/>
      </c>
      <c r="N1086" s="98">
        <f>IF(M1086=0, 0, IF(OR($K$6="Square Grid", M1086=1), INT($G$7/H1086), IF($G$7&lt;H1086, 0, 1+INT(($G$7-H1086)/(0.8660254*H1086)))))</f>
        <v/>
      </c>
      <c r="O1086" s="84">
        <f>IF(OR(M1086=0,N1086=0), 0, IF(OR($K$6="Square Grid", M1086=1), M1086*N1086*$K$5, (INT((N1086+1)/2)*M1086 + INT(N1086/2)*IF(($G$6-M1086*H1086)&gt;=0.5*H1086, M1086, M1086-1))*$K$5))</f>
        <v/>
      </c>
      <c r="P1086" s="84">
        <f>IF(L1086&lt;=0, 0, INT($G$8/L1086))</f>
        <v/>
      </c>
      <c r="Q1086" s="95">
        <f>MIN(O1086, P1086)</f>
        <v/>
      </c>
      <c r="R1086" s="96">
        <f>ROUND((Q1086*L1086)/1000, 2)</f>
        <v/>
      </c>
      <c r="S1086" s="85">
        <f>IF($C$8&gt;0, R1086/$C$8, 0)</f>
        <v/>
      </c>
      <c r="T1086" s="85">
        <f>IF(O1086&gt;0, Q1086/O1086, 0)</f>
        <v/>
      </c>
      <c r="U1086" s="18">
        <f>IF(Q1086=0, "Exceeds Limit", IF(P1086&lt;=O1086, "Weight Limited", "Volume Limited"))</f>
        <v/>
      </c>
      <c r="V1086" s="100">
        <f>B1086&amp;"|"&amp;D1086&amp;"|"&amp;F1086</f>
        <v/>
      </c>
    </row>
    <row r="1087" ht="19" customHeight="1">
      <c r="A1087" s="93" t="n">
        <v>1077</v>
      </c>
      <c r="B1087" s="101" t="inlineStr">
        <is>
          <t>Stainless Steel 316</t>
        </is>
      </c>
      <c r="C1087" s="13" t="inlineStr">
        <is>
          <t>ASME B36.19M / B36.10M</t>
        </is>
      </c>
      <c r="D1087" s="12" t="inlineStr">
        <is>
          <t>20''</t>
        </is>
      </c>
      <c r="E1087" s="93" t="n">
        <v>500</v>
      </c>
      <c r="F1087" s="12" t="inlineStr">
        <is>
          <t>10</t>
        </is>
      </c>
      <c r="G1087" s="14" t="n">
        <v>20</v>
      </c>
      <c r="H1087" s="78" t="n">
        <v>508</v>
      </c>
      <c r="I1087" s="14" t="n">
        <v>0.25</v>
      </c>
      <c r="J1087" s="78" t="n">
        <v>6.35</v>
      </c>
      <c r="K1087" s="14">
        <f>ROUND((H1087-J1087)*J1087*IF(B1087="Carbon Steel",$K$7,IF(B1087="Stainless Steel 304",$K$8,$L$8)), 3)</f>
        <v/>
      </c>
      <c r="L1087" s="78">
        <f>ROUND(K1087*$G$5, 2)</f>
        <v/>
      </c>
      <c r="M1087" s="93">
        <f>INT($G$6/H1087)</f>
        <v/>
      </c>
      <c r="N1087" s="93">
        <f>IF(M1087=0, 0, IF(OR($K$6="Square Grid", M1087=1), INT($G$7/H1087), IF($G$7&lt;H1087, 0, 1+INT(($G$7-H1087)/(0.8660254*H1087)))))</f>
        <v/>
      </c>
      <c r="O1087" s="59">
        <f>IF(OR(M1087=0,N1087=0), 0, IF(OR($K$6="Square Grid", M1087=1), M1087*N1087*$K$5, (INT((N1087+1)/2)*M1087 + INT(N1087/2)*IF(($G$6-M1087*H1087)&gt;=0.5*H1087, M1087, M1087-1))*$K$5))</f>
        <v/>
      </c>
      <c r="P1087" s="59">
        <f>IF(L1087&lt;=0, 0, INT($G$8/L1087))</f>
        <v/>
      </c>
      <c r="Q1087" s="95">
        <f>MIN(O1087, P1087)</f>
        <v/>
      </c>
      <c r="R1087" s="96">
        <f>ROUND((Q1087*L1087)/1000, 2)</f>
        <v/>
      </c>
      <c r="S1087" s="79">
        <f>IF($C$8&gt;0, R1087/$C$8, 0)</f>
        <v/>
      </c>
      <c r="T1087" s="79">
        <f>IF(O1087&gt;0, Q1087/O1087, 0)</f>
        <v/>
      </c>
      <c r="U1087" s="12">
        <f>IF(Q1087=0, "Exceeds Limit", IF(P1087&lt;=O1087, "Weight Limited", "Volume Limited"))</f>
        <v/>
      </c>
      <c r="V1087" s="97">
        <f>B1087&amp;"|"&amp;D1087&amp;"|"&amp;F1087</f>
        <v/>
      </c>
    </row>
    <row r="1088" ht="19" customHeight="1">
      <c r="A1088" s="98" t="n">
        <v>1078</v>
      </c>
      <c r="B1088" s="102" t="inlineStr">
        <is>
          <t>Stainless Steel 316</t>
        </is>
      </c>
      <c r="C1088" s="19" t="inlineStr">
        <is>
          <t>ASME B36.19M / B36.10M</t>
        </is>
      </c>
      <c r="D1088" s="18" t="inlineStr">
        <is>
          <t>20''</t>
        </is>
      </c>
      <c r="E1088" s="98" t="n">
        <v>500</v>
      </c>
      <c r="F1088" s="18" t="inlineStr">
        <is>
          <t>20</t>
        </is>
      </c>
      <c r="G1088" s="20" t="n">
        <v>20</v>
      </c>
      <c r="H1088" s="82" t="n">
        <v>508</v>
      </c>
      <c r="I1088" s="20" t="n">
        <v>0.375</v>
      </c>
      <c r="J1088" s="82" t="n">
        <v>9.52</v>
      </c>
      <c r="K1088" s="20">
        <f>ROUND((H1088-J1088)*J1088*IF(B1088="Carbon Steel",$K$7,IF(B1088="Stainless Steel 304",$K$8,$L$8)), 3)</f>
        <v/>
      </c>
      <c r="L1088" s="82">
        <f>ROUND(K1088*$G$5, 2)</f>
        <v/>
      </c>
      <c r="M1088" s="98">
        <f>INT($G$6/H1088)</f>
        <v/>
      </c>
      <c r="N1088" s="98">
        <f>IF(M1088=0, 0, IF(OR($K$6="Square Grid", M1088=1), INT($G$7/H1088), IF($G$7&lt;H1088, 0, 1+INT(($G$7-H1088)/(0.8660254*H1088)))))</f>
        <v/>
      </c>
      <c r="O1088" s="84">
        <f>IF(OR(M1088=0,N1088=0), 0, IF(OR($K$6="Square Grid", M1088=1), M1088*N1088*$K$5, (INT((N1088+1)/2)*M1088 + INT(N1088/2)*IF(($G$6-M1088*H1088)&gt;=0.5*H1088, M1088, M1088-1))*$K$5))</f>
        <v/>
      </c>
      <c r="P1088" s="84">
        <f>IF(L1088&lt;=0, 0, INT($G$8/L1088))</f>
        <v/>
      </c>
      <c r="Q1088" s="95">
        <f>MIN(O1088, P1088)</f>
        <v/>
      </c>
      <c r="R1088" s="96">
        <f>ROUND((Q1088*L1088)/1000, 2)</f>
        <v/>
      </c>
      <c r="S1088" s="85">
        <f>IF($C$8&gt;0, R1088/$C$8, 0)</f>
        <v/>
      </c>
      <c r="T1088" s="85">
        <f>IF(O1088&gt;0, Q1088/O1088, 0)</f>
        <v/>
      </c>
      <c r="U1088" s="18">
        <f>IF(Q1088=0, "Exceeds Limit", IF(P1088&lt;=O1088, "Weight Limited", "Volume Limited"))</f>
        <v/>
      </c>
      <c r="V1088" s="100">
        <f>B1088&amp;"|"&amp;D1088&amp;"|"&amp;F1088</f>
        <v/>
      </c>
    </row>
    <row r="1089" ht="19" customHeight="1">
      <c r="A1089" s="93" t="n">
        <v>1079</v>
      </c>
      <c r="B1089" s="101" t="inlineStr">
        <is>
          <t>Stainless Steel 316</t>
        </is>
      </c>
      <c r="C1089" s="13" t="inlineStr">
        <is>
          <t>ASME B36.19M / B36.10M</t>
        </is>
      </c>
      <c r="D1089" s="12" t="inlineStr">
        <is>
          <t>20''</t>
        </is>
      </c>
      <c r="E1089" s="93" t="n">
        <v>500</v>
      </c>
      <c r="F1089" s="12" t="inlineStr">
        <is>
          <t>30</t>
        </is>
      </c>
      <c r="G1089" s="14" t="n">
        <v>20</v>
      </c>
      <c r="H1089" s="78" t="n">
        <v>508</v>
      </c>
      <c r="I1089" s="14" t="n">
        <v>0.5</v>
      </c>
      <c r="J1089" s="78" t="n">
        <v>12.7</v>
      </c>
      <c r="K1089" s="14">
        <f>ROUND((H1089-J1089)*J1089*IF(B1089="Carbon Steel",$K$7,IF(B1089="Stainless Steel 304",$K$8,$L$8)), 3)</f>
        <v/>
      </c>
      <c r="L1089" s="78">
        <f>ROUND(K1089*$G$5, 2)</f>
        <v/>
      </c>
      <c r="M1089" s="93">
        <f>INT($G$6/H1089)</f>
        <v/>
      </c>
      <c r="N1089" s="93">
        <f>IF(M1089=0, 0, IF(OR($K$6="Square Grid", M1089=1), INT($G$7/H1089), IF($G$7&lt;H1089, 0, 1+INT(($G$7-H1089)/(0.8660254*H1089)))))</f>
        <v/>
      </c>
      <c r="O1089" s="59">
        <f>IF(OR(M1089=0,N1089=0), 0, IF(OR($K$6="Square Grid", M1089=1), M1089*N1089*$K$5, (INT((N1089+1)/2)*M1089 + INT(N1089/2)*IF(($G$6-M1089*H1089)&gt;=0.5*H1089, M1089, M1089-1))*$K$5))</f>
        <v/>
      </c>
      <c r="P1089" s="59">
        <f>IF(L1089&lt;=0, 0, INT($G$8/L1089))</f>
        <v/>
      </c>
      <c r="Q1089" s="95">
        <f>MIN(O1089, P1089)</f>
        <v/>
      </c>
      <c r="R1089" s="96">
        <f>ROUND((Q1089*L1089)/1000, 2)</f>
        <v/>
      </c>
      <c r="S1089" s="79">
        <f>IF($C$8&gt;0, R1089/$C$8, 0)</f>
        <v/>
      </c>
      <c r="T1089" s="79">
        <f>IF(O1089&gt;0, Q1089/O1089, 0)</f>
        <v/>
      </c>
      <c r="U1089" s="12">
        <f>IF(Q1089=0, "Exceeds Limit", IF(P1089&lt;=O1089, "Weight Limited", "Volume Limited"))</f>
        <v/>
      </c>
      <c r="V1089" s="97">
        <f>B1089&amp;"|"&amp;D1089&amp;"|"&amp;F1089</f>
        <v/>
      </c>
    </row>
    <row r="1090" ht="19" customHeight="1">
      <c r="A1090" s="98" t="n">
        <v>1080</v>
      </c>
      <c r="B1090" s="102" t="inlineStr">
        <is>
          <t>Stainless Steel 316</t>
        </is>
      </c>
      <c r="C1090" s="19" t="inlineStr">
        <is>
          <t>ASME B36.19M / B36.10M</t>
        </is>
      </c>
      <c r="D1090" s="18" t="inlineStr">
        <is>
          <t>20''</t>
        </is>
      </c>
      <c r="E1090" s="98" t="n">
        <v>500</v>
      </c>
      <c r="F1090" s="18" t="inlineStr">
        <is>
          <t>40S</t>
        </is>
      </c>
      <c r="G1090" s="20" t="n">
        <v>20</v>
      </c>
      <c r="H1090" s="82" t="n">
        <v>508</v>
      </c>
      <c r="I1090" s="20" t="n">
        <v>0.375</v>
      </c>
      <c r="J1090" s="82" t="n">
        <v>9.52</v>
      </c>
      <c r="K1090" s="20">
        <f>ROUND((H1090-J1090)*J1090*IF(B1090="Carbon Steel",$K$7,IF(B1090="Stainless Steel 304",$K$8,$L$8)), 3)</f>
        <v/>
      </c>
      <c r="L1090" s="82">
        <f>ROUND(K1090*$G$5, 2)</f>
        <v/>
      </c>
      <c r="M1090" s="98">
        <f>INT($G$6/H1090)</f>
        <v/>
      </c>
      <c r="N1090" s="98">
        <f>IF(M1090=0, 0, IF(OR($K$6="Square Grid", M1090=1), INT($G$7/H1090), IF($G$7&lt;H1090, 0, 1+INT(($G$7-H1090)/(0.8660254*H1090)))))</f>
        <v/>
      </c>
      <c r="O1090" s="84">
        <f>IF(OR(M1090=0,N1090=0), 0, IF(OR($K$6="Square Grid", M1090=1), M1090*N1090*$K$5, (INT((N1090+1)/2)*M1090 + INT(N1090/2)*IF(($G$6-M1090*H1090)&gt;=0.5*H1090, M1090, M1090-1))*$K$5))</f>
        <v/>
      </c>
      <c r="P1090" s="84">
        <f>IF(L1090&lt;=0, 0, INT($G$8/L1090))</f>
        <v/>
      </c>
      <c r="Q1090" s="95">
        <f>MIN(O1090, P1090)</f>
        <v/>
      </c>
      <c r="R1090" s="96">
        <f>ROUND((Q1090*L1090)/1000, 2)</f>
        <v/>
      </c>
      <c r="S1090" s="85">
        <f>IF($C$8&gt;0, R1090/$C$8, 0)</f>
        <v/>
      </c>
      <c r="T1090" s="85">
        <f>IF(O1090&gt;0, Q1090/O1090, 0)</f>
        <v/>
      </c>
      <c r="U1090" s="18">
        <f>IF(Q1090=0, "Exceeds Limit", IF(P1090&lt;=O1090, "Weight Limited", "Volume Limited"))</f>
        <v/>
      </c>
      <c r="V1090" s="100">
        <f>B1090&amp;"|"&amp;D1090&amp;"|"&amp;F1090</f>
        <v/>
      </c>
    </row>
    <row r="1091" ht="19" customHeight="1">
      <c r="A1091" s="93" t="n">
        <v>1081</v>
      </c>
      <c r="B1091" s="101" t="inlineStr">
        <is>
          <t>Stainless Steel 316</t>
        </is>
      </c>
      <c r="C1091" s="13" t="inlineStr">
        <is>
          <t>ASME B36.19M / B36.10M</t>
        </is>
      </c>
      <c r="D1091" s="12" t="inlineStr">
        <is>
          <t>20''</t>
        </is>
      </c>
      <c r="E1091" s="93" t="n">
        <v>500</v>
      </c>
      <c r="F1091" s="12" t="inlineStr">
        <is>
          <t>STD</t>
        </is>
      </c>
      <c r="G1091" s="14" t="n">
        <v>20</v>
      </c>
      <c r="H1091" s="78" t="n">
        <v>508</v>
      </c>
      <c r="I1091" s="14" t="n">
        <v>0.375</v>
      </c>
      <c r="J1091" s="78" t="n">
        <v>9.52</v>
      </c>
      <c r="K1091" s="14">
        <f>ROUND((H1091-J1091)*J1091*IF(B1091="Carbon Steel",$K$7,IF(B1091="Stainless Steel 304",$K$8,$L$8)), 3)</f>
        <v/>
      </c>
      <c r="L1091" s="78">
        <f>ROUND(K1091*$G$5, 2)</f>
        <v/>
      </c>
      <c r="M1091" s="93">
        <f>INT($G$6/H1091)</f>
        <v/>
      </c>
      <c r="N1091" s="93">
        <f>IF(M1091=0, 0, IF(OR($K$6="Square Grid", M1091=1), INT($G$7/H1091), IF($G$7&lt;H1091, 0, 1+INT(($G$7-H1091)/(0.8660254*H1091)))))</f>
        <v/>
      </c>
      <c r="O1091" s="59">
        <f>IF(OR(M1091=0,N1091=0), 0, IF(OR($K$6="Square Grid", M1091=1), M1091*N1091*$K$5, (INT((N1091+1)/2)*M1091 + INT(N1091/2)*IF(($G$6-M1091*H1091)&gt;=0.5*H1091, M1091, M1091-1))*$K$5))</f>
        <v/>
      </c>
      <c r="P1091" s="59">
        <f>IF(L1091&lt;=0, 0, INT($G$8/L1091))</f>
        <v/>
      </c>
      <c r="Q1091" s="95">
        <f>MIN(O1091, P1091)</f>
        <v/>
      </c>
      <c r="R1091" s="96">
        <f>ROUND((Q1091*L1091)/1000, 2)</f>
        <v/>
      </c>
      <c r="S1091" s="79">
        <f>IF($C$8&gt;0, R1091/$C$8, 0)</f>
        <v/>
      </c>
      <c r="T1091" s="79">
        <f>IF(O1091&gt;0, Q1091/O1091, 0)</f>
        <v/>
      </c>
      <c r="U1091" s="12">
        <f>IF(Q1091=0, "Exceeds Limit", IF(P1091&lt;=O1091, "Weight Limited", "Volume Limited"))</f>
        <v/>
      </c>
      <c r="V1091" s="97">
        <f>B1091&amp;"|"&amp;D1091&amp;"|"&amp;F1091</f>
        <v/>
      </c>
    </row>
    <row r="1092" ht="19" customHeight="1">
      <c r="A1092" s="98" t="n">
        <v>1082</v>
      </c>
      <c r="B1092" s="102" t="inlineStr">
        <is>
          <t>Stainless Steel 316</t>
        </is>
      </c>
      <c r="C1092" s="19" t="inlineStr">
        <is>
          <t>ASME B36.19M / B36.10M</t>
        </is>
      </c>
      <c r="D1092" s="18" t="inlineStr">
        <is>
          <t>20''</t>
        </is>
      </c>
      <c r="E1092" s="98" t="n">
        <v>500</v>
      </c>
      <c r="F1092" s="18" t="inlineStr">
        <is>
          <t>40</t>
        </is>
      </c>
      <c r="G1092" s="20" t="n">
        <v>20</v>
      </c>
      <c r="H1092" s="82" t="n">
        <v>508</v>
      </c>
      <c r="I1092" s="20" t="n">
        <v>0.594</v>
      </c>
      <c r="J1092" s="82" t="n">
        <v>15.09</v>
      </c>
      <c r="K1092" s="20">
        <f>ROUND((H1092-J1092)*J1092*IF(B1092="Carbon Steel",$K$7,IF(B1092="Stainless Steel 304",$K$8,$L$8)), 3)</f>
        <v/>
      </c>
      <c r="L1092" s="82">
        <f>ROUND(K1092*$G$5, 2)</f>
        <v/>
      </c>
      <c r="M1092" s="98">
        <f>INT($G$6/H1092)</f>
        <v/>
      </c>
      <c r="N1092" s="98">
        <f>IF(M1092=0, 0, IF(OR($K$6="Square Grid", M1092=1), INT($G$7/H1092), IF($G$7&lt;H1092, 0, 1+INT(($G$7-H1092)/(0.8660254*H1092)))))</f>
        <v/>
      </c>
      <c r="O1092" s="84">
        <f>IF(OR(M1092=0,N1092=0), 0, IF(OR($K$6="Square Grid", M1092=1), M1092*N1092*$K$5, (INT((N1092+1)/2)*M1092 + INT(N1092/2)*IF(($G$6-M1092*H1092)&gt;=0.5*H1092, M1092, M1092-1))*$K$5))</f>
        <v/>
      </c>
      <c r="P1092" s="84">
        <f>IF(L1092&lt;=0, 0, INT($G$8/L1092))</f>
        <v/>
      </c>
      <c r="Q1092" s="95">
        <f>MIN(O1092, P1092)</f>
        <v/>
      </c>
      <c r="R1092" s="96">
        <f>ROUND((Q1092*L1092)/1000, 2)</f>
        <v/>
      </c>
      <c r="S1092" s="85">
        <f>IF($C$8&gt;0, R1092/$C$8, 0)</f>
        <v/>
      </c>
      <c r="T1092" s="85">
        <f>IF(O1092&gt;0, Q1092/O1092, 0)</f>
        <v/>
      </c>
      <c r="U1092" s="18">
        <f>IF(Q1092=0, "Exceeds Limit", IF(P1092&lt;=O1092, "Weight Limited", "Volume Limited"))</f>
        <v/>
      </c>
      <c r="V1092" s="100">
        <f>B1092&amp;"|"&amp;D1092&amp;"|"&amp;F1092</f>
        <v/>
      </c>
    </row>
    <row r="1093" ht="19" customHeight="1">
      <c r="A1093" s="93" t="n">
        <v>1083</v>
      </c>
      <c r="B1093" s="101" t="inlineStr">
        <is>
          <t>Stainless Steel 316</t>
        </is>
      </c>
      <c r="C1093" s="13" t="inlineStr">
        <is>
          <t>ASME B36.19M / B36.10M</t>
        </is>
      </c>
      <c r="D1093" s="12" t="inlineStr">
        <is>
          <t>20''</t>
        </is>
      </c>
      <c r="E1093" s="93" t="n">
        <v>500</v>
      </c>
      <c r="F1093" s="12" t="inlineStr">
        <is>
          <t>60</t>
        </is>
      </c>
      <c r="G1093" s="14" t="n">
        <v>20</v>
      </c>
      <c r="H1093" s="78" t="n">
        <v>508</v>
      </c>
      <c r="I1093" s="14" t="n">
        <v>0.8120000000000001</v>
      </c>
      <c r="J1093" s="78" t="n">
        <v>20.62</v>
      </c>
      <c r="K1093" s="14">
        <f>ROUND((H1093-J1093)*J1093*IF(B1093="Carbon Steel",$K$7,IF(B1093="Stainless Steel 304",$K$8,$L$8)), 3)</f>
        <v/>
      </c>
      <c r="L1093" s="78">
        <f>ROUND(K1093*$G$5, 2)</f>
        <v/>
      </c>
      <c r="M1093" s="93">
        <f>INT($G$6/H1093)</f>
        <v/>
      </c>
      <c r="N1093" s="93">
        <f>IF(M1093=0, 0, IF(OR($K$6="Square Grid", M1093=1), INT($G$7/H1093), IF($G$7&lt;H1093, 0, 1+INT(($G$7-H1093)/(0.8660254*H1093)))))</f>
        <v/>
      </c>
      <c r="O1093" s="59">
        <f>IF(OR(M1093=0,N1093=0), 0, IF(OR($K$6="Square Grid", M1093=1), M1093*N1093*$K$5, (INT((N1093+1)/2)*M1093 + INT(N1093/2)*IF(($G$6-M1093*H1093)&gt;=0.5*H1093, M1093, M1093-1))*$K$5))</f>
        <v/>
      </c>
      <c r="P1093" s="59">
        <f>IF(L1093&lt;=0, 0, INT($G$8/L1093))</f>
        <v/>
      </c>
      <c r="Q1093" s="95">
        <f>MIN(O1093, P1093)</f>
        <v/>
      </c>
      <c r="R1093" s="96">
        <f>ROUND((Q1093*L1093)/1000, 2)</f>
        <v/>
      </c>
      <c r="S1093" s="79">
        <f>IF($C$8&gt;0, R1093/$C$8, 0)</f>
        <v/>
      </c>
      <c r="T1093" s="79">
        <f>IF(O1093&gt;0, Q1093/O1093, 0)</f>
        <v/>
      </c>
      <c r="U1093" s="12">
        <f>IF(Q1093=0, "Exceeds Limit", IF(P1093&lt;=O1093, "Weight Limited", "Volume Limited"))</f>
        <v/>
      </c>
      <c r="V1093" s="97">
        <f>B1093&amp;"|"&amp;D1093&amp;"|"&amp;F1093</f>
        <v/>
      </c>
    </row>
    <row r="1094" ht="19" customHeight="1">
      <c r="A1094" s="98" t="n">
        <v>1084</v>
      </c>
      <c r="B1094" s="102" t="inlineStr">
        <is>
          <t>Stainless Steel 316</t>
        </is>
      </c>
      <c r="C1094" s="19" t="inlineStr">
        <is>
          <t>ASME B36.19M / B36.10M</t>
        </is>
      </c>
      <c r="D1094" s="18" t="inlineStr">
        <is>
          <t>20''</t>
        </is>
      </c>
      <c r="E1094" s="98" t="n">
        <v>500</v>
      </c>
      <c r="F1094" s="18" t="inlineStr">
        <is>
          <t>80S</t>
        </is>
      </c>
      <c r="G1094" s="20" t="n">
        <v>20</v>
      </c>
      <c r="H1094" s="82" t="n">
        <v>508</v>
      </c>
      <c r="I1094" s="20" t="n">
        <v>0.5</v>
      </c>
      <c r="J1094" s="82" t="n">
        <v>12.7</v>
      </c>
      <c r="K1094" s="20">
        <f>ROUND((H1094-J1094)*J1094*IF(B1094="Carbon Steel",$K$7,IF(B1094="Stainless Steel 304",$K$8,$L$8)), 3)</f>
        <v/>
      </c>
      <c r="L1094" s="82">
        <f>ROUND(K1094*$G$5, 2)</f>
        <v/>
      </c>
      <c r="M1094" s="98">
        <f>INT($G$6/H1094)</f>
        <v/>
      </c>
      <c r="N1094" s="98">
        <f>IF(M1094=0, 0, IF(OR($K$6="Square Grid", M1094=1), INT($G$7/H1094), IF($G$7&lt;H1094, 0, 1+INT(($G$7-H1094)/(0.8660254*H1094)))))</f>
        <v/>
      </c>
      <c r="O1094" s="84">
        <f>IF(OR(M1094=0,N1094=0), 0, IF(OR($K$6="Square Grid", M1094=1), M1094*N1094*$K$5, (INT((N1094+1)/2)*M1094 + INT(N1094/2)*IF(($G$6-M1094*H1094)&gt;=0.5*H1094, M1094, M1094-1))*$K$5))</f>
        <v/>
      </c>
      <c r="P1094" s="84">
        <f>IF(L1094&lt;=0, 0, INT($G$8/L1094))</f>
        <v/>
      </c>
      <c r="Q1094" s="95">
        <f>MIN(O1094, P1094)</f>
        <v/>
      </c>
      <c r="R1094" s="96">
        <f>ROUND((Q1094*L1094)/1000, 2)</f>
        <v/>
      </c>
      <c r="S1094" s="85">
        <f>IF($C$8&gt;0, R1094/$C$8, 0)</f>
        <v/>
      </c>
      <c r="T1094" s="85">
        <f>IF(O1094&gt;0, Q1094/O1094, 0)</f>
        <v/>
      </c>
      <c r="U1094" s="18">
        <f>IF(Q1094=0, "Exceeds Limit", IF(P1094&lt;=O1094, "Weight Limited", "Volume Limited"))</f>
        <v/>
      </c>
      <c r="V1094" s="100">
        <f>B1094&amp;"|"&amp;D1094&amp;"|"&amp;F1094</f>
        <v/>
      </c>
    </row>
    <row r="1095" ht="19" customHeight="1">
      <c r="A1095" s="93" t="n">
        <v>1085</v>
      </c>
      <c r="B1095" s="101" t="inlineStr">
        <is>
          <t>Stainless Steel 316</t>
        </is>
      </c>
      <c r="C1095" s="13" t="inlineStr">
        <is>
          <t>ASME B36.19M / B36.10M</t>
        </is>
      </c>
      <c r="D1095" s="12" t="inlineStr">
        <is>
          <t>20''</t>
        </is>
      </c>
      <c r="E1095" s="93" t="n">
        <v>500</v>
      </c>
      <c r="F1095" s="12" t="inlineStr">
        <is>
          <t>XS</t>
        </is>
      </c>
      <c r="G1095" s="14" t="n">
        <v>20</v>
      </c>
      <c r="H1095" s="78" t="n">
        <v>508</v>
      </c>
      <c r="I1095" s="14" t="n">
        <v>0.5</v>
      </c>
      <c r="J1095" s="78" t="n">
        <v>12.7</v>
      </c>
      <c r="K1095" s="14">
        <f>ROUND((H1095-J1095)*J1095*IF(B1095="Carbon Steel",$K$7,IF(B1095="Stainless Steel 304",$K$8,$L$8)), 3)</f>
        <v/>
      </c>
      <c r="L1095" s="78">
        <f>ROUND(K1095*$G$5, 2)</f>
        <v/>
      </c>
      <c r="M1095" s="93">
        <f>INT($G$6/H1095)</f>
        <v/>
      </c>
      <c r="N1095" s="93">
        <f>IF(M1095=0, 0, IF(OR($K$6="Square Grid", M1095=1), INT($G$7/H1095), IF($G$7&lt;H1095, 0, 1+INT(($G$7-H1095)/(0.8660254*H1095)))))</f>
        <v/>
      </c>
      <c r="O1095" s="59">
        <f>IF(OR(M1095=0,N1095=0), 0, IF(OR($K$6="Square Grid", M1095=1), M1095*N1095*$K$5, (INT((N1095+1)/2)*M1095 + INT(N1095/2)*IF(($G$6-M1095*H1095)&gt;=0.5*H1095, M1095, M1095-1))*$K$5))</f>
        <v/>
      </c>
      <c r="P1095" s="59">
        <f>IF(L1095&lt;=0, 0, INT($G$8/L1095))</f>
        <v/>
      </c>
      <c r="Q1095" s="95">
        <f>MIN(O1095, P1095)</f>
        <v/>
      </c>
      <c r="R1095" s="96">
        <f>ROUND((Q1095*L1095)/1000, 2)</f>
        <v/>
      </c>
      <c r="S1095" s="79">
        <f>IF($C$8&gt;0, R1095/$C$8, 0)</f>
        <v/>
      </c>
      <c r="T1095" s="79">
        <f>IF(O1095&gt;0, Q1095/O1095, 0)</f>
        <v/>
      </c>
      <c r="U1095" s="12">
        <f>IF(Q1095=0, "Exceeds Limit", IF(P1095&lt;=O1095, "Weight Limited", "Volume Limited"))</f>
        <v/>
      </c>
      <c r="V1095" s="97">
        <f>B1095&amp;"|"&amp;D1095&amp;"|"&amp;F1095</f>
        <v/>
      </c>
    </row>
    <row r="1096" ht="19" customHeight="1">
      <c r="A1096" s="98" t="n">
        <v>1086</v>
      </c>
      <c r="B1096" s="102" t="inlineStr">
        <is>
          <t>Stainless Steel 316</t>
        </is>
      </c>
      <c r="C1096" s="19" t="inlineStr">
        <is>
          <t>ASME B36.19M / B36.10M</t>
        </is>
      </c>
      <c r="D1096" s="18" t="inlineStr">
        <is>
          <t>20''</t>
        </is>
      </c>
      <c r="E1096" s="98" t="n">
        <v>500</v>
      </c>
      <c r="F1096" s="18" t="inlineStr">
        <is>
          <t>80</t>
        </is>
      </c>
      <c r="G1096" s="20" t="n">
        <v>20</v>
      </c>
      <c r="H1096" s="82" t="n">
        <v>508</v>
      </c>
      <c r="I1096" s="20" t="n">
        <v>1.031</v>
      </c>
      <c r="J1096" s="82" t="n">
        <v>26.19</v>
      </c>
      <c r="K1096" s="20">
        <f>ROUND((H1096-J1096)*J1096*IF(B1096="Carbon Steel",$K$7,IF(B1096="Stainless Steel 304",$K$8,$L$8)), 3)</f>
        <v/>
      </c>
      <c r="L1096" s="82">
        <f>ROUND(K1096*$G$5, 2)</f>
        <v/>
      </c>
      <c r="M1096" s="98">
        <f>INT($G$6/H1096)</f>
        <v/>
      </c>
      <c r="N1096" s="98">
        <f>IF(M1096=0, 0, IF(OR($K$6="Square Grid", M1096=1), INT($G$7/H1096), IF($G$7&lt;H1096, 0, 1+INT(($G$7-H1096)/(0.8660254*H1096)))))</f>
        <v/>
      </c>
      <c r="O1096" s="84">
        <f>IF(OR(M1096=0,N1096=0), 0, IF(OR($K$6="Square Grid", M1096=1), M1096*N1096*$K$5, (INT((N1096+1)/2)*M1096 + INT(N1096/2)*IF(($G$6-M1096*H1096)&gt;=0.5*H1096, M1096, M1096-1))*$K$5))</f>
        <v/>
      </c>
      <c r="P1096" s="84">
        <f>IF(L1096&lt;=0, 0, INT($G$8/L1096))</f>
        <v/>
      </c>
      <c r="Q1096" s="95">
        <f>MIN(O1096, P1096)</f>
        <v/>
      </c>
      <c r="R1096" s="96">
        <f>ROUND((Q1096*L1096)/1000, 2)</f>
        <v/>
      </c>
      <c r="S1096" s="85">
        <f>IF($C$8&gt;0, R1096/$C$8, 0)</f>
        <v/>
      </c>
      <c r="T1096" s="85">
        <f>IF(O1096&gt;0, Q1096/O1096, 0)</f>
        <v/>
      </c>
      <c r="U1096" s="18">
        <f>IF(Q1096=0, "Exceeds Limit", IF(P1096&lt;=O1096, "Weight Limited", "Volume Limited"))</f>
        <v/>
      </c>
      <c r="V1096" s="100">
        <f>B1096&amp;"|"&amp;D1096&amp;"|"&amp;F1096</f>
        <v/>
      </c>
    </row>
    <row r="1097" ht="19" customHeight="1">
      <c r="A1097" s="93" t="n">
        <v>1087</v>
      </c>
      <c r="B1097" s="101" t="inlineStr">
        <is>
          <t>Stainless Steel 316</t>
        </is>
      </c>
      <c r="C1097" s="13" t="inlineStr">
        <is>
          <t>ASME B36.19M / B36.10M</t>
        </is>
      </c>
      <c r="D1097" s="12" t="inlineStr">
        <is>
          <t>20''</t>
        </is>
      </c>
      <c r="E1097" s="93" t="n">
        <v>500</v>
      </c>
      <c r="F1097" s="12" t="inlineStr">
        <is>
          <t>100</t>
        </is>
      </c>
      <c r="G1097" s="14" t="n">
        <v>20</v>
      </c>
      <c r="H1097" s="78" t="n">
        <v>508</v>
      </c>
      <c r="I1097" s="14" t="n">
        <v>1.281</v>
      </c>
      <c r="J1097" s="78" t="n">
        <v>32.54</v>
      </c>
      <c r="K1097" s="14">
        <f>ROUND((H1097-J1097)*J1097*IF(B1097="Carbon Steel",$K$7,IF(B1097="Stainless Steel 304",$K$8,$L$8)), 3)</f>
        <v/>
      </c>
      <c r="L1097" s="78">
        <f>ROUND(K1097*$G$5, 2)</f>
        <v/>
      </c>
      <c r="M1097" s="93">
        <f>INT($G$6/H1097)</f>
        <v/>
      </c>
      <c r="N1097" s="93">
        <f>IF(M1097=0, 0, IF(OR($K$6="Square Grid", M1097=1), INT($G$7/H1097), IF($G$7&lt;H1097, 0, 1+INT(($G$7-H1097)/(0.8660254*H1097)))))</f>
        <v/>
      </c>
      <c r="O1097" s="59">
        <f>IF(OR(M1097=0,N1097=0), 0, IF(OR($K$6="Square Grid", M1097=1), M1097*N1097*$K$5, (INT((N1097+1)/2)*M1097 + INT(N1097/2)*IF(($G$6-M1097*H1097)&gt;=0.5*H1097, M1097, M1097-1))*$K$5))</f>
        <v/>
      </c>
      <c r="P1097" s="59">
        <f>IF(L1097&lt;=0, 0, INT($G$8/L1097))</f>
        <v/>
      </c>
      <c r="Q1097" s="95">
        <f>MIN(O1097, P1097)</f>
        <v/>
      </c>
      <c r="R1097" s="96">
        <f>ROUND((Q1097*L1097)/1000, 2)</f>
        <v/>
      </c>
      <c r="S1097" s="79">
        <f>IF($C$8&gt;0, R1097/$C$8, 0)</f>
        <v/>
      </c>
      <c r="T1097" s="79">
        <f>IF(O1097&gt;0, Q1097/O1097, 0)</f>
        <v/>
      </c>
      <c r="U1097" s="12">
        <f>IF(Q1097=0, "Exceeds Limit", IF(P1097&lt;=O1097, "Weight Limited", "Volume Limited"))</f>
        <v/>
      </c>
      <c r="V1097" s="97">
        <f>B1097&amp;"|"&amp;D1097&amp;"|"&amp;F1097</f>
        <v/>
      </c>
    </row>
    <row r="1098" ht="19" customHeight="1">
      <c r="A1098" s="98" t="n">
        <v>1088</v>
      </c>
      <c r="B1098" s="102" t="inlineStr">
        <is>
          <t>Stainless Steel 316</t>
        </is>
      </c>
      <c r="C1098" s="19" t="inlineStr">
        <is>
          <t>ASME B36.19M / B36.10M</t>
        </is>
      </c>
      <c r="D1098" s="18" t="inlineStr">
        <is>
          <t>20''</t>
        </is>
      </c>
      <c r="E1098" s="98" t="n">
        <v>500</v>
      </c>
      <c r="F1098" s="18" t="inlineStr">
        <is>
          <t>120</t>
        </is>
      </c>
      <c r="G1098" s="20" t="n">
        <v>20</v>
      </c>
      <c r="H1098" s="82" t="n">
        <v>508</v>
      </c>
      <c r="I1098" s="20" t="n">
        <v>1.5</v>
      </c>
      <c r="J1098" s="82" t="n">
        <v>38.1</v>
      </c>
      <c r="K1098" s="20">
        <f>ROUND((H1098-J1098)*J1098*IF(B1098="Carbon Steel",$K$7,IF(B1098="Stainless Steel 304",$K$8,$L$8)), 3)</f>
        <v/>
      </c>
      <c r="L1098" s="82">
        <f>ROUND(K1098*$G$5, 2)</f>
        <v/>
      </c>
      <c r="M1098" s="98">
        <f>INT($G$6/H1098)</f>
        <v/>
      </c>
      <c r="N1098" s="98">
        <f>IF(M1098=0, 0, IF(OR($K$6="Square Grid", M1098=1), INT($G$7/H1098), IF($G$7&lt;H1098, 0, 1+INT(($G$7-H1098)/(0.8660254*H1098)))))</f>
        <v/>
      </c>
      <c r="O1098" s="84">
        <f>IF(OR(M1098=0,N1098=0), 0, IF(OR($K$6="Square Grid", M1098=1), M1098*N1098*$K$5, (INT((N1098+1)/2)*M1098 + INT(N1098/2)*IF(($G$6-M1098*H1098)&gt;=0.5*H1098, M1098, M1098-1))*$K$5))</f>
        <v/>
      </c>
      <c r="P1098" s="84">
        <f>IF(L1098&lt;=0, 0, INT($G$8/L1098))</f>
        <v/>
      </c>
      <c r="Q1098" s="95">
        <f>MIN(O1098, P1098)</f>
        <v/>
      </c>
      <c r="R1098" s="96">
        <f>ROUND((Q1098*L1098)/1000, 2)</f>
        <v/>
      </c>
      <c r="S1098" s="85">
        <f>IF($C$8&gt;0, R1098/$C$8, 0)</f>
        <v/>
      </c>
      <c r="T1098" s="85">
        <f>IF(O1098&gt;0, Q1098/O1098, 0)</f>
        <v/>
      </c>
      <c r="U1098" s="18">
        <f>IF(Q1098=0, "Exceeds Limit", IF(P1098&lt;=O1098, "Weight Limited", "Volume Limited"))</f>
        <v/>
      </c>
      <c r="V1098" s="100">
        <f>B1098&amp;"|"&amp;D1098&amp;"|"&amp;F1098</f>
        <v/>
      </c>
    </row>
    <row r="1099" ht="19" customHeight="1">
      <c r="A1099" s="93" t="n">
        <v>1089</v>
      </c>
      <c r="B1099" s="101" t="inlineStr">
        <is>
          <t>Stainless Steel 316</t>
        </is>
      </c>
      <c r="C1099" s="13" t="inlineStr">
        <is>
          <t>ASME B36.19M / B36.10M</t>
        </is>
      </c>
      <c r="D1099" s="12" t="inlineStr">
        <is>
          <t>20''</t>
        </is>
      </c>
      <c r="E1099" s="93" t="n">
        <v>500</v>
      </c>
      <c r="F1099" s="12" t="inlineStr">
        <is>
          <t>140</t>
        </is>
      </c>
      <c r="G1099" s="14" t="n">
        <v>20</v>
      </c>
      <c r="H1099" s="78" t="n">
        <v>508</v>
      </c>
      <c r="I1099" s="14" t="n">
        <v>1.75</v>
      </c>
      <c r="J1099" s="78" t="n">
        <v>44.45</v>
      </c>
      <c r="K1099" s="14">
        <f>ROUND((H1099-J1099)*J1099*IF(B1099="Carbon Steel",$K$7,IF(B1099="Stainless Steel 304",$K$8,$L$8)), 3)</f>
        <v/>
      </c>
      <c r="L1099" s="78">
        <f>ROUND(K1099*$G$5, 2)</f>
        <v/>
      </c>
      <c r="M1099" s="93">
        <f>INT($G$6/H1099)</f>
        <v/>
      </c>
      <c r="N1099" s="93">
        <f>IF(M1099=0, 0, IF(OR($K$6="Square Grid", M1099=1), INT($G$7/H1099), IF($G$7&lt;H1099, 0, 1+INT(($G$7-H1099)/(0.8660254*H1099)))))</f>
        <v/>
      </c>
      <c r="O1099" s="59">
        <f>IF(OR(M1099=0,N1099=0), 0, IF(OR($K$6="Square Grid", M1099=1), M1099*N1099*$K$5, (INT((N1099+1)/2)*M1099 + INT(N1099/2)*IF(($G$6-M1099*H1099)&gt;=0.5*H1099, M1099, M1099-1))*$K$5))</f>
        <v/>
      </c>
      <c r="P1099" s="59">
        <f>IF(L1099&lt;=0, 0, INT($G$8/L1099))</f>
        <v/>
      </c>
      <c r="Q1099" s="95">
        <f>MIN(O1099, P1099)</f>
        <v/>
      </c>
      <c r="R1099" s="96">
        <f>ROUND((Q1099*L1099)/1000, 2)</f>
        <v/>
      </c>
      <c r="S1099" s="79">
        <f>IF($C$8&gt;0, R1099/$C$8, 0)</f>
        <v/>
      </c>
      <c r="T1099" s="79">
        <f>IF(O1099&gt;0, Q1099/O1099, 0)</f>
        <v/>
      </c>
      <c r="U1099" s="12">
        <f>IF(Q1099=0, "Exceeds Limit", IF(P1099&lt;=O1099, "Weight Limited", "Volume Limited"))</f>
        <v/>
      </c>
      <c r="V1099" s="97">
        <f>B1099&amp;"|"&amp;D1099&amp;"|"&amp;F1099</f>
        <v/>
      </c>
    </row>
    <row r="1100" ht="19" customHeight="1">
      <c r="A1100" s="98" t="n">
        <v>1090</v>
      </c>
      <c r="B1100" s="102" t="inlineStr">
        <is>
          <t>Stainless Steel 316</t>
        </is>
      </c>
      <c r="C1100" s="19" t="inlineStr">
        <is>
          <t>ASME B36.19M / B36.10M</t>
        </is>
      </c>
      <c r="D1100" s="18" t="inlineStr">
        <is>
          <t>20''</t>
        </is>
      </c>
      <c r="E1100" s="98" t="n">
        <v>500</v>
      </c>
      <c r="F1100" s="18" t="inlineStr">
        <is>
          <t>160</t>
        </is>
      </c>
      <c r="G1100" s="20" t="n">
        <v>20</v>
      </c>
      <c r="H1100" s="82" t="n">
        <v>508</v>
      </c>
      <c r="I1100" s="20" t="n">
        <v>1.969</v>
      </c>
      <c r="J1100" s="82" t="n">
        <v>50.01</v>
      </c>
      <c r="K1100" s="20">
        <f>ROUND((H1100-J1100)*J1100*IF(B1100="Carbon Steel",$K$7,IF(B1100="Stainless Steel 304",$K$8,$L$8)), 3)</f>
        <v/>
      </c>
      <c r="L1100" s="82">
        <f>ROUND(K1100*$G$5, 2)</f>
        <v/>
      </c>
      <c r="M1100" s="98">
        <f>INT($G$6/H1100)</f>
        <v/>
      </c>
      <c r="N1100" s="98">
        <f>IF(M1100=0, 0, IF(OR($K$6="Square Grid", M1100=1), INT($G$7/H1100), IF($G$7&lt;H1100, 0, 1+INT(($G$7-H1100)/(0.8660254*H1100)))))</f>
        <v/>
      </c>
      <c r="O1100" s="84">
        <f>IF(OR(M1100=0,N1100=0), 0, IF(OR($K$6="Square Grid", M1100=1), M1100*N1100*$K$5, (INT((N1100+1)/2)*M1100 + INT(N1100/2)*IF(($G$6-M1100*H1100)&gt;=0.5*H1100, M1100, M1100-1))*$K$5))</f>
        <v/>
      </c>
      <c r="P1100" s="84">
        <f>IF(L1100&lt;=0, 0, INT($G$8/L1100))</f>
        <v/>
      </c>
      <c r="Q1100" s="95">
        <f>MIN(O1100, P1100)</f>
        <v/>
      </c>
      <c r="R1100" s="96">
        <f>ROUND((Q1100*L1100)/1000, 2)</f>
        <v/>
      </c>
      <c r="S1100" s="85">
        <f>IF($C$8&gt;0, R1100/$C$8, 0)</f>
        <v/>
      </c>
      <c r="T1100" s="85">
        <f>IF(O1100&gt;0, Q1100/O1100, 0)</f>
        <v/>
      </c>
      <c r="U1100" s="18">
        <f>IF(Q1100=0, "Exceeds Limit", IF(P1100&lt;=O1100, "Weight Limited", "Volume Limited"))</f>
        <v/>
      </c>
      <c r="V1100" s="100">
        <f>B1100&amp;"|"&amp;D1100&amp;"|"&amp;F1100</f>
        <v/>
      </c>
    </row>
    <row r="1101" ht="19" customHeight="1">
      <c r="A1101" s="93" t="n">
        <v>1091</v>
      </c>
      <c r="B1101" s="101" t="inlineStr">
        <is>
          <t>Stainless Steel 316</t>
        </is>
      </c>
      <c r="C1101" s="13" t="inlineStr">
        <is>
          <t>ASME B36.19M / B36.10M</t>
        </is>
      </c>
      <c r="D1101" s="12" t="inlineStr">
        <is>
          <t>22''</t>
        </is>
      </c>
      <c r="E1101" s="93" t="n">
        <v>550</v>
      </c>
      <c r="F1101" s="12" t="inlineStr">
        <is>
          <t>5S</t>
        </is>
      </c>
      <c r="G1101" s="14" t="n">
        <v>22</v>
      </c>
      <c r="H1101" s="78" t="n">
        <v>558.8</v>
      </c>
      <c r="I1101" s="14" t="n">
        <v>0.188</v>
      </c>
      <c r="J1101" s="78" t="n">
        <v>4.78</v>
      </c>
      <c r="K1101" s="14">
        <f>ROUND((H1101-J1101)*J1101*IF(B1101="Carbon Steel",$K$7,IF(B1101="Stainless Steel 304",$K$8,$L$8)), 3)</f>
        <v/>
      </c>
      <c r="L1101" s="78">
        <f>ROUND(K1101*$G$5, 2)</f>
        <v/>
      </c>
      <c r="M1101" s="93">
        <f>INT($G$6/H1101)</f>
        <v/>
      </c>
      <c r="N1101" s="93">
        <f>IF(M1101=0, 0, IF(OR($K$6="Square Grid", M1101=1), INT($G$7/H1101), IF($G$7&lt;H1101, 0, 1+INT(($G$7-H1101)/(0.8660254*H1101)))))</f>
        <v/>
      </c>
      <c r="O1101" s="59">
        <f>IF(OR(M1101=0,N1101=0), 0, IF(OR($K$6="Square Grid", M1101=1), M1101*N1101*$K$5, (INT((N1101+1)/2)*M1101 + INT(N1101/2)*IF(($G$6-M1101*H1101)&gt;=0.5*H1101, M1101, M1101-1))*$K$5))</f>
        <v/>
      </c>
      <c r="P1101" s="59">
        <f>IF(L1101&lt;=0, 0, INT($G$8/L1101))</f>
        <v/>
      </c>
      <c r="Q1101" s="95">
        <f>MIN(O1101, P1101)</f>
        <v/>
      </c>
      <c r="R1101" s="96">
        <f>ROUND((Q1101*L1101)/1000, 2)</f>
        <v/>
      </c>
      <c r="S1101" s="79">
        <f>IF($C$8&gt;0, R1101/$C$8, 0)</f>
        <v/>
      </c>
      <c r="T1101" s="79">
        <f>IF(O1101&gt;0, Q1101/O1101, 0)</f>
        <v/>
      </c>
      <c r="U1101" s="12">
        <f>IF(Q1101=0, "Exceeds Limit", IF(P1101&lt;=O1101, "Weight Limited", "Volume Limited"))</f>
        <v/>
      </c>
      <c r="V1101" s="97">
        <f>B1101&amp;"|"&amp;D1101&amp;"|"&amp;F1101</f>
        <v/>
      </c>
    </row>
    <row r="1102" ht="19" customHeight="1">
      <c r="A1102" s="98" t="n">
        <v>1092</v>
      </c>
      <c r="B1102" s="102" t="inlineStr">
        <is>
          <t>Stainless Steel 316</t>
        </is>
      </c>
      <c r="C1102" s="19" t="inlineStr">
        <is>
          <t>ASME B36.19M / B36.10M</t>
        </is>
      </c>
      <c r="D1102" s="18" t="inlineStr">
        <is>
          <t>22''</t>
        </is>
      </c>
      <c r="E1102" s="98" t="n">
        <v>550</v>
      </c>
      <c r="F1102" s="18" t="inlineStr">
        <is>
          <t>5</t>
        </is>
      </c>
      <c r="G1102" s="20" t="n">
        <v>22</v>
      </c>
      <c r="H1102" s="82" t="n">
        <v>558.8</v>
      </c>
      <c r="I1102" s="20" t="n">
        <v>0.188</v>
      </c>
      <c r="J1102" s="82" t="n">
        <v>4.78</v>
      </c>
      <c r="K1102" s="20">
        <f>ROUND((H1102-J1102)*J1102*IF(B1102="Carbon Steel",$K$7,IF(B1102="Stainless Steel 304",$K$8,$L$8)), 3)</f>
        <v/>
      </c>
      <c r="L1102" s="82">
        <f>ROUND(K1102*$G$5, 2)</f>
        <v/>
      </c>
      <c r="M1102" s="98">
        <f>INT($G$6/H1102)</f>
        <v/>
      </c>
      <c r="N1102" s="98">
        <f>IF(M1102=0, 0, IF(OR($K$6="Square Grid", M1102=1), INT($G$7/H1102), IF($G$7&lt;H1102, 0, 1+INT(($G$7-H1102)/(0.8660254*H1102)))))</f>
        <v/>
      </c>
      <c r="O1102" s="84">
        <f>IF(OR(M1102=0,N1102=0), 0, IF(OR($K$6="Square Grid", M1102=1), M1102*N1102*$K$5, (INT((N1102+1)/2)*M1102 + INT(N1102/2)*IF(($G$6-M1102*H1102)&gt;=0.5*H1102, M1102, M1102-1))*$K$5))</f>
        <v/>
      </c>
      <c r="P1102" s="84">
        <f>IF(L1102&lt;=0, 0, INT($G$8/L1102))</f>
        <v/>
      </c>
      <c r="Q1102" s="95">
        <f>MIN(O1102, P1102)</f>
        <v/>
      </c>
      <c r="R1102" s="96">
        <f>ROUND((Q1102*L1102)/1000, 2)</f>
        <v/>
      </c>
      <c r="S1102" s="85">
        <f>IF($C$8&gt;0, R1102/$C$8, 0)</f>
        <v/>
      </c>
      <c r="T1102" s="85">
        <f>IF(O1102&gt;0, Q1102/O1102, 0)</f>
        <v/>
      </c>
      <c r="U1102" s="18">
        <f>IF(Q1102=0, "Exceeds Limit", IF(P1102&lt;=O1102, "Weight Limited", "Volume Limited"))</f>
        <v/>
      </c>
      <c r="V1102" s="100">
        <f>B1102&amp;"|"&amp;D1102&amp;"|"&amp;F1102</f>
        <v/>
      </c>
    </row>
    <row r="1103" ht="19" customHeight="1">
      <c r="A1103" s="93" t="n">
        <v>1093</v>
      </c>
      <c r="B1103" s="101" t="inlineStr">
        <is>
          <t>Stainless Steel 316</t>
        </is>
      </c>
      <c r="C1103" s="13" t="inlineStr">
        <is>
          <t>ASME B36.19M / B36.10M</t>
        </is>
      </c>
      <c r="D1103" s="12" t="inlineStr">
        <is>
          <t>22''</t>
        </is>
      </c>
      <c r="E1103" s="93" t="n">
        <v>550</v>
      </c>
      <c r="F1103" s="12" t="inlineStr">
        <is>
          <t>10S</t>
        </is>
      </c>
      <c r="G1103" s="14" t="n">
        <v>22</v>
      </c>
      <c r="H1103" s="78" t="n">
        <v>558.8</v>
      </c>
      <c r="I1103" s="14" t="n">
        <v>0.218</v>
      </c>
      <c r="J1103" s="78" t="n">
        <v>5.54</v>
      </c>
      <c r="K1103" s="14">
        <f>ROUND((H1103-J1103)*J1103*IF(B1103="Carbon Steel",$K$7,IF(B1103="Stainless Steel 304",$K$8,$L$8)), 3)</f>
        <v/>
      </c>
      <c r="L1103" s="78">
        <f>ROUND(K1103*$G$5, 2)</f>
        <v/>
      </c>
      <c r="M1103" s="93">
        <f>INT($G$6/H1103)</f>
        <v/>
      </c>
      <c r="N1103" s="93">
        <f>IF(M1103=0, 0, IF(OR($K$6="Square Grid", M1103=1), INT($G$7/H1103), IF($G$7&lt;H1103, 0, 1+INT(($G$7-H1103)/(0.8660254*H1103)))))</f>
        <v/>
      </c>
      <c r="O1103" s="59">
        <f>IF(OR(M1103=0,N1103=0), 0, IF(OR($K$6="Square Grid", M1103=1), M1103*N1103*$K$5, (INT((N1103+1)/2)*M1103 + INT(N1103/2)*IF(($G$6-M1103*H1103)&gt;=0.5*H1103, M1103, M1103-1))*$K$5))</f>
        <v/>
      </c>
      <c r="P1103" s="59">
        <f>IF(L1103&lt;=0, 0, INT($G$8/L1103))</f>
        <v/>
      </c>
      <c r="Q1103" s="95">
        <f>MIN(O1103, P1103)</f>
        <v/>
      </c>
      <c r="R1103" s="96">
        <f>ROUND((Q1103*L1103)/1000, 2)</f>
        <v/>
      </c>
      <c r="S1103" s="79">
        <f>IF($C$8&gt;0, R1103/$C$8, 0)</f>
        <v/>
      </c>
      <c r="T1103" s="79">
        <f>IF(O1103&gt;0, Q1103/O1103, 0)</f>
        <v/>
      </c>
      <c r="U1103" s="12">
        <f>IF(Q1103=0, "Exceeds Limit", IF(P1103&lt;=O1103, "Weight Limited", "Volume Limited"))</f>
        <v/>
      </c>
      <c r="V1103" s="97">
        <f>B1103&amp;"|"&amp;D1103&amp;"|"&amp;F1103</f>
        <v/>
      </c>
    </row>
    <row r="1104" ht="19" customHeight="1">
      <c r="A1104" s="98" t="n">
        <v>1094</v>
      </c>
      <c r="B1104" s="102" t="inlineStr">
        <is>
          <t>Stainless Steel 316</t>
        </is>
      </c>
      <c r="C1104" s="19" t="inlineStr">
        <is>
          <t>ASME B36.19M / B36.10M</t>
        </is>
      </c>
      <c r="D1104" s="18" t="inlineStr">
        <is>
          <t>22''</t>
        </is>
      </c>
      <c r="E1104" s="98" t="n">
        <v>550</v>
      </c>
      <c r="F1104" s="18" t="inlineStr">
        <is>
          <t>10</t>
        </is>
      </c>
      <c r="G1104" s="20" t="n">
        <v>22</v>
      </c>
      <c r="H1104" s="82" t="n">
        <v>558.8</v>
      </c>
      <c r="I1104" s="20" t="n">
        <v>0.25</v>
      </c>
      <c r="J1104" s="82" t="n">
        <v>6.35</v>
      </c>
      <c r="K1104" s="20">
        <f>ROUND((H1104-J1104)*J1104*IF(B1104="Carbon Steel",$K$7,IF(B1104="Stainless Steel 304",$K$8,$L$8)), 3)</f>
        <v/>
      </c>
      <c r="L1104" s="82">
        <f>ROUND(K1104*$G$5, 2)</f>
        <v/>
      </c>
      <c r="M1104" s="98">
        <f>INT($G$6/H1104)</f>
        <v/>
      </c>
      <c r="N1104" s="98">
        <f>IF(M1104=0, 0, IF(OR($K$6="Square Grid", M1104=1), INT($G$7/H1104), IF($G$7&lt;H1104, 0, 1+INT(($G$7-H1104)/(0.8660254*H1104)))))</f>
        <v/>
      </c>
      <c r="O1104" s="84">
        <f>IF(OR(M1104=0,N1104=0), 0, IF(OR($K$6="Square Grid", M1104=1), M1104*N1104*$K$5, (INT((N1104+1)/2)*M1104 + INT(N1104/2)*IF(($G$6-M1104*H1104)&gt;=0.5*H1104, M1104, M1104-1))*$K$5))</f>
        <v/>
      </c>
      <c r="P1104" s="84">
        <f>IF(L1104&lt;=0, 0, INT($G$8/L1104))</f>
        <v/>
      </c>
      <c r="Q1104" s="95">
        <f>MIN(O1104, P1104)</f>
        <v/>
      </c>
      <c r="R1104" s="96">
        <f>ROUND((Q1104*L1104)/1000, 2)</f>
        <v/>
      </c>
      <c r="S1104" s="85">
        <f>IF($C$8&gt;0, R1104/$C$8, 0)</f>
        <v/>
      </c>
      <c r="T1104" s="85">
        <f>IF(O1104&gt;0, Q1104/O1104, 0)</f>
        <v/>
      </c>
      <c r="U1104" s="18">
        <f>IF(Q1104=0, "Exceeds Limit", IF(P1104&lt;=O1104, "Weight Limited", "Volume Limited"))</f>
        <v/>
      </c>
      <c r="V1104" s="100">
        <f>B1104&amp;"|"&amp;D1104&amp;"|"&amp;F1104</f>
        <v/>
      </c>
    </row>
    <row r="1105" ht="19" customHeight="1">
      <c r="A1105" s="93" t="n">
        <v>1095</v>
      </c>
      <c r="B1105" s="101" t="inlineStr">
        <is>
          <t>Stainless Steel 316</t>
        </is>
      </c>
      <c r="C1105" s="13" t="inlineStr">
        <is>
          <t>ASME B36.19M / B36.10M</t>
        </is>
      </c>
      <c r="D1105" s="12" t="inlineStr">
        <is>
          <t>22''</t>
        </is>
      </c>
      <c r="E1105" s="93" t="n">
        <v>550</v>
      </c>
      <c r="F1105" s="12" t="inlineStr">
        <is>
          <t>20</t>
        </is>
      </c>
      <c r="G1105" s="14" t="n">
        <v>22</v>
      </c>
      <c r="H1105" s="78" t="n">
        <v>558.8</v>
      </c>
      <c r="I1105" s="14" t="n">
        <v>0.375</v>
      </c>
      <c r="J1105" s="78" t="n">
        <v>9.52</v>
      </c>
      <c r="K1105" s="14">
        <f>ROUND((H1105-J1105)*J1105*IF(B1105="Carbon Steel",$K$7,IF(B1105="Stainless Steel 304",$K$8,$L$8)), 3)</f>
        <v/>
      </c>
      <c r="L1105" s="78">
        <f>ROUND(K1105*$G$5, 2)</f>
        <v/>
      </c>
      <c r="M1105" s="93">
        <f>INT($G$6/H1105)</f>
        <v/>
      </c>
      <c r="N1105" s="93">
        <f>IF(M1105=0, 0, IF(OR($K$6="Square Grid", M1105=1), INT($G$7/H1105), IF($G$7&lt;H1105, 0, 1+INT(($G$7-H1105)/(0.8660254*H1105)))))</f>
        <v/>
      </c>
      <c r="O1105" s="59">
        <f>IF(OR(M1105=0,N1105=0), 0, IF(OR($K$6="Square Grid", M1105=1), M1105*N1105*$K$5, (INT((N1105+1)/2)*M1105 + INT(N1105/2)*IF(($G$6-M1105*H1105)&gt;=0.5*H1105, M1105, M1105-1))*$K$5))</f>
        <v/>
      </c>
      <c r="P1105" s="59">
        <f>IF(L1105&lt;=0, 0, INT($G$8/L1105))</f>
        <v/>
      </c>
      <c r="Q1105" s="95">
        <f>MIN(O1105, P1105)</f>
        <v/>
      </c>
      <c r="R1105" s="96">
        <f>ROUND((Q1105*L1105)/1000, 2)</f>
        <v/>
      </c>
      <c r="S1105" s="79">
        <f>IF($C$8&gt;0, R1105/$C$8, 0)</f>
        <v/>
      </c>
      <c r="T1105" s="79">
        <f>IF(O1105&gt;0, Q1105/O1105, 0)</f>
        <v/>
      </c>
      <c r="U1105" s="12">
        <f>IF(Q1105=0, "Exceeds Limit", IF(P1105&lt;=O1105, "Weight Limited", "Volume Limited"))</f>
        <v/>
      </c>
      <c r="V1105" s="97">
        <f>B1105&amp;"|"&amp;D1105&amp;"|"&amp;F1105</f>
        <v/>
      </c>
    </row>
    <row r="1106" ht="19" customHeight="1">
      <c r="A1106" s="98" t="n">
        <v>1096</v>
      </c>
      <c r="B1106" s="102" t="inlineStr">
        <is>
          <t>Stainless Steel 316</t>
        </is>
      </c>
      <c r="C1106" s="19" t="inlineStr">
        <is>
          <t>ASME B36.19M / B36.10M</t>
        </is>
      </c>
      <c r="D1106" s="18" t="inlineStr">
        <is>
          <t>22''</t>
        </is>
      </c>
      <c r="E1106" s="98" t="n">
        <v>550</v>
      </c>
      <c r="F1106" s="18" t="inlineStr">
        <is>
          <t>30</t>
        </is>
      </c>
      <c r="G1106" s="20" t="n">
        <v>22</v>
      </c>
      <c r="H1106" s="82" t="n">
        <v>558.8</v>
      </c>
      <c r="I1106" s="20" t="n">
        <v>0.5</v>
      </c>
      <c r="J1106" s="82" t="n">
        <v>12.7</v>
      </c>
      <c r="K1106" s="20">
        <f>ROUND((H1106-J1106)*J1106*IF(B1106="Carbon Steel",$K$7,IF(B1106="Stainless Steel 304",$K$8,$L$8)), 3)</f>
        <v/>
      </c>
      <c r="L1106" s="82">
        <f>ROUND(K1106*$G$5, 2)</f>
        <v/>
      </c>
      <c r="M1106" s="98">
        <f>INT($G$6/H1106)</f>
        <v/>
      </c>
      <c r="N1106" s="98">
        <f>IF(M1106=0, 0, IF(OR($K$6="Square Grid", M1106=1), INT($G$7/H1106), IF($G$7&lt;H1106, 0, 1+INT(($G$7-H1106)/(0.8660254*H1106)))))</f>
        <v/>
      </c>
      <c r="O1106" s="84">
        <f>IF(OR(M1106=0,N1106=0), 0, IF(OR($K$6="Square Grid", M1106=1), M1106*N1106*$K$5, (INT((N1106+1)/2)*M1106 + INT(N1106/2)*IF(($G$6-M1106*H1106)&gt;=0.5*H1106, M1106, M1106-1))*$K$5))</f>
        <v/>
      </c>
      <c r="P1106" s="84">
        <f>IF(L1106&lt;=0, 0, INT($G$8/L1106))</f>
        <v/>
      </c>
      <c r="Q1106" s="95">
        <f>MIN(O1106, P1106)</f>
        <v/>
      </c>
      <c r="R1106" s="96">
        <f>ROUND((Q1106*L1106)/1000, 2)</f>
        <v/>
      </c>
      <c r="S1106" s="85">
        <f>IF($C$8&gt;0, R1106/$C$8, 0)</f>
        <v/>
      </c>
      <c r="T1106" s="85">
        <f>IF(O1106&gt;0, Q1106/O1106, 0)</f>
        <v/>
      </c>
      <c r="U1106" s="18">
        <f>IF(Q1106=0, "Exceeds Limit", IF(P1106&lt;=O1106, "Weight Limited", "Volume Limited"))</f>
        <v/>
      </c>
      <c r="V1106" s="100">
        <f>B1106&amp;"|"&amp;D1106&amp;"|"&amp;F1106</f>
        <v/>
      </c>
    </row>
    <row r="1107" ht="19" customHeight="1">
      <c r="A1107" s="93" t="n">
        <v>1097</v>
      </c>
      <c r="B1107" s="101" t="inlineStr">
        <is>
          <t>Stainless Steel 316</t>
        </is>
      </c>
      <c r="C1107" s="13" t="inlineStr">
        <is>
          <t>ASME B36.19M / B36.10M</t>
        </is>
      </c>
      <c r="D1107" s="12" t="inlineStr">
        <is>
          <t>22''</t>
        </is>
      </c>
      <c r="E1107" s="93" t="n">
        <v>550</v>
      </c>
      <c r="F1107" s="12" t="inlineStr">
        <is>
          <t>40S</t>
        </is>
      </c>
      <c r="G1107" s="14" t="n">
        <v>22</v>
      </c>
      <c r="H1107" s="78" t="n">
        <v>558.8</v>
      </c>
      <c r="I1107" s="14" t="n">
        <v>0.375</v>
      </c>
      <c r="J1107" s="78" t="n">
        <v>9.52</v>
      </c>
      <c r="K1107" s="14">
        <f>ROUND((H1107-J1107)*J1107*IF(B1107="Carbon Steel",$K$7,IF(B1107="Stainless Steel 304",$K$8,$L$8)), 3)</f>
        <v/>
      </c>
      <c r="L1107" s="78">
        <f>ROUND(K1107*$G$5, 2)</f>
        <v/>
      </c>
      <c r="M1107" s="93">
        <f>INT($G$6/H1107)</f>
        <v/>
      </c>
      <c r="N1107" s="93">
        <f>IF(M1107=0, 0, IF(OR($K$6="Square Grid", M1107=1), INT($G$7/H1107), IF($G$7&lt;H1107, 0, 1+INT(($G$7-H1107)/(0.8660254*H1107)))))</f>
        <v/>
      </c>
      <c r="O1107" s="59">
        <f>IF(OR(M1107=0,N1107=0), 0, IF(OR($K$6="Square Grid", M1107=1), M1107*N1107*$K$5, (INT((N1107+1)/2)*M1107 + INT(N1107/2)*IF(($G$6-M1107*H1107)&gt;=0.5*H1107, M1107, M1107-1))*$K$5))</f>
        <v/>
      </c>
      <c r="P1107" s="59">
        <f>IF(L1107&lt;=0, 0, INT($G$8/L1107))</f>
        <v/>
      </c>
      <c r="Q1107" s="95">
        <f>MIN(O1107, P1107)</f>
        <v/>
      </c>
      <c r="R1107" s="96">
        <f>ROUND((Q1107*L1107)/1000, 2)</f>
        <v/>
      </c>
      <c r="S1107" s="79">
        <f>IF($C$8&gt;0, R1107/$C$8, 0)</f>
        <v/>
      </c>
      <c r="T1107" s="79">
        <f>IF(O1107&gt;0, Q1107/O1107, 0)</f>
        <v/>
      </c>
      <c r="U1107" s="12">
        <f>IF(Q1107=0, "Exceeds Limit", IF(P1107&lt;=O1107, "Weight Limited", "Volume Limited"))</f>
        <v/>
      </c>
      <c r="V1107" s="97">
        <f>B1107&amp;"|"&amp;D1107&amp;"|"&amp;F1107</f>
        <v/>
      </c>
    </row>
    <row r="1108" ht="19" customHeight="1">
      <c r="A1108" s="98" t="n">
        <v>1098</v>
      </c>
      <c r="B1108" s="102" t="inlineStr">
        <is>
          <t>Stainless Steel 316</t>
        </is>
      </c>
      <c r="C1108" s="19" t="inlineStr">
        <is>
          <t>ASME B36.19M / B36.10M</t>
        </is>
      </c>
      <c r="D1108" s="18" t="inlineStr">
        <is>
          <t>22''</t>
        </is>
      </c>
      <c r="E1108" s="98" t="n">
        <v>550</v>
      </c>
      <c r="F1108" s="18" t="inlineStr">
        <is>
          <t>STD</t>
        </is>
      </c>
      <c r="G1108" s="20" t="n">
        <v>22</v>
      </c>
      <c r="H1108" s="82" t="n">
        <v>558.8</v>
      </c>
      <c r="I1108" s="20" t="n">
        <v>0.375</v>
      </c>
      <c r="J1108" s="82" t="n">
        <v>9.52</v>
      </c>
      <c r="K1108" s="20">
        <f>ROUND((H1108-J1108)*J1108*IF(B1108="Carbon Steel",$K$7,IF(B1108="Stainless Steel 304",$K$8,$L$8)), 3)</f>
        <v/>
      </c>
      <c r="L1108" s="82">
        <f>ROUND(K1108*$G$5, 2)</f>
        <v/>
      </c>
      <c r="M1108" s="98">
        <f>INT($G$6/H1108)</f>
        <v/>
      </c>
      <c r="N1108" s="98">
        <f>IF(M1108=0, 0, IF(OR($K$6="Square Grid", M1108=1), INT($G$7/H1108), IF($G$7&lt;H1108, 0, 1+INT(($G$7-H1108)/(0.8660254*H1108)))))</f>
        <v/>
      </c>
      <c r="O1108" s="84">
        <f>IF(OR(M1108=0,N1108=0), 0, IF(OR($K$6="Square Grid", M1108=1), M1108*N1108*$K$5, (INT((N1108+1)/2)*M1108 + INT(N1108/2)*IF(($G$6-M1108*H1108)&gt;=0.5*H1108, M1108, M1108-1))*$K$5))</f>
        <v/>
      </c>
      <c r="P1108" s="84">
        <f>IF(L1108&lt;=0, 0, INT($G$8/L1108))</f>
        <v/>
      </c>
      <c r="Q1108" s="95">
        <f>MIN(O1108, P1108)</f>
        <v/>
      </c>
      <c r="R1108" s="96">
        <f>ROUND((Q1108*L1108)/1000, 2)</f>
        <v/>
      </c>
      <c r="S1108" s="85">
        <f>IF($C$8&gt;0, R1108/$C$8, 0)</f>
        <v/>
      </c>
      <c r="T1108" s="85">
        <f>IF(O1108&gt;0, Q1108/O1108, 0)</f>
        <v/>
      </c>
      <c r="U1108" s="18">
        <f>IF(Q1108=0, "Exceeds Limit", IF(P1108&lt;=O1108, "Weight Limited", "Volume Limited"))</f>
        <v/>
      </c>
      <c r="V1108" s="100">
        <f>B1108&amp;"|"&amp;D1108&amp;"|"&amp;F1108</f>
        <v/>
      </c>
    </row>
    <row r="1109" ht="19" customHeight="1">
      <c r="A1109" s="93" t="n">
        <v>1099</v>
      </c>
      <c r="B1109" s="101" t="inlineStr">
        <is>
          <t>Stainless Steel 316</t>
        </is>
      </c>
      <c r="C1109" s="13" t="inlineStr">
        <is>
          <t>ASME B36.19M / B36.10M</t>
        </is>
      </c>
      <c r="D1109" s="12" t="inlineStr">
        <is>
          <t>22''</t>
        </is>
      </c>
      <c r="E1109" s="93" t="n">
        <v>550</v>
      </c>
      <c r="F1109" s="12" t="inlineStr">
        <is>
          <t>60</t>
        </is>
      </c>
      <c r="G1109" s="14" t="n">
        <v>22</v>
      </c>
      <c r="H1109" s="78" t="n">
        <v>558.8</v>
      </c>
      <c r="I1109" s="14" t="n">
        <v>0.875</v>
      </c>
      <c r="J1109" s="78" t="n">
        <v>22.22</v>
      </c>
      <c r="K1109" s="14">
        <f>ROUND((H1109-J1109)*J1109*IF(B1109="Carbon Steel",$K$7,IF(B1109="Stainless Steel 304",$K$8,$L$8)), 3)</f>
        <v/>
      </c>
      <c r="L1109" s="78">
        <f>ROUND(K1109*$G$5, 2)</f>
        <v/>
      </c>
      <c r="M1109" s="93">
        <f>INT($G$6/H1109)</f>
        <v/>
      </c>
      <c r="N1109" s="93">
        <f>IF(M1109=0, 0, IF(OR($K$6="Square Grid", M1109=1), INT($G$7/H1109), IF($G$7&lt;H1109, 0, 1+INT(($G$7-H1109)/(0.8660254*H1109)))))</f>
        <v/>
      </c>
      <c r="O1109" s="59">
        <f>IF(OR(M1109=0,N1109=0), 0, IF(OR($K$6="Square Grid", M1109=1), M1109*N1109*$K$5, (INT((N1109+1)/2)*M1109 + INT(N1109/2)*IF(($G$6-M1109*H1109)&gt;=0.5*H1109, M1109, M1109-1))*$K$5))</f>
        <v/>
      </c>
      <c r="P1109" s="59">
        <f>IF(L1109&lt;=0, 0, INT($G$8/L1109))</f>
        <v/>
      </c>
      <c r="Q1109" s="95">
        <f>MIN(O1109, P1109)</f>
        <v/>
      </c>
      <c r="R1109" s="96">
        <f>ROUND((Q1109*L1109)/1000, 2)</f>
        <v/>
      </c>
      <c r="S1109" s="79">
        <f>IF($C$8&gt;0, R1109/$C$8, 0)</f>
        <v/>
      </c>
      <c r="T1109" s="79">
        <f>IF(O1109&gt;0, Q1109/O1109, 0)</f>
        <v/>
      </c>
      <c r="U1109" s="12">
        <f>IF(Q1109=0, "Exceeds Limit", IF(P1109&lt;=O1109, "Weight Limited", "Volume Limited"))</f>
        <v/>
      </c>
      <c r="V1109" s="97">
        <f>B1109&amp;"|"&amp;D1109&amp;"|"&amp;F1109</f>
        <v/>
      </c>
    </row>
    <row r="1110" ht="19" customHeight="1">
      <c r="A1110" s="98" t="n">
        <v>1100</v>
      </c>
      <c r="B1110" s="102" t="inlineStr">
        <is>
          <t>Stainless Steel 316</t>
        </is>
      </c>
      <c r="C1110" s="19" t="inlineStr">
        <is>
          <t>ASME B36.19M / B36.10M</t>
        </is>
      </c>
      <c r="D1110" s="18" t="inlineStr">
        <is>
          <t>22''</t>
        </is>
      </c>
      <c r="E1110" s="98" t="n">
        <v>550</v>
      </c>
      <c r="F1110" s="18" t="inlineStr">
        <is>
          <t>80S</t>
        </is>
      </c>
      <c r="G1110" s="20" t="n">
        <v>22</v>
      </c>
      <c r="H1110" s="82" t="n">
        <v>558.8</v>
      </c>
      <c r="I1110" s="20" t="n">
        <v>0.5</v>
      </c>
      <c r="J1110" s="82" t="n">
        <v>12.7</v>
      </c>
      <c r="K1110" s="20">
        <f>ROUND((H1110-J1110)*J1110*IF(B1110="Carbon Steel",$K$7,IF(B1110="Stainless Steel 304",$K$8,$L$8)), 3)</f>
        <v/>
      </c>
      <c r="L1110" s="82">
        <f>ROUND(K1110*$G$5, 2)</f>
        <v/>
      </c>
      <c r="M1110" s="98">
        <f>INT($G$6/H1110)</f>
        <v/>
      </c>
      <c r="N1110" s="98">
        <f>IF(M1110=0, 0, IF(OR($K$6="Square Grid", M1110=1), INT($G$7/H1110), IF($G$7&lt;H1110, 0, 1+INT(($G$7-H1110)/(0.8660254*H1110)))))</f>
        <v/>
      </c>
      <c r="O1110" s="84">
        <f>IF(OR(M1110=0,N1110=0), 0, IF(OR($K$6="Square Grid", M1110=1), M1110*N1110*$K$5, (INT((N1110+1)/2)*M1110 + INT(N1110/2)*IF(($G$6-M1110*H1110)&gt;=0.5*H1110, M1110, M1110-1))*$K$5))</f>
        <v/>
      </c>
      <c r="P1110" s="84">
        <f>IF(L1110&lt;=0, 0, INT($G$8/L1110))</f>
        <v/>
      </c>
      <c r="Q1110" s="95">
        <f>MIN(O1110, P1110)</f>
        <v/>
      </c>
      <c r="R1110" s="96">
        <f>ROUND((Q1110*L1110)/1000, 2)</f>
        <v/>
      </c>
      <c r="S1110" s="85">
        <f>IF($C$8&gt;0, R1110/$C$8, 0)</f>
        <v/>
      </c>
      <c r="T1110" s="85">
        <f>IF(O1110&gt;0, Q1110/O1110, 0)</f>
        <v/>
      </c>
      <c r="U1110" s="18">
        <f>IF(Q1110=0, "Exceeds Limit", IF(P1110&lt;=O1110, "Weight Limited", "Volume Limited"))</f>
        <v/>
      </c>
      <c r="V1110" s="100">
        <f>B1110&amp;"|"&amp;D1110&amp;"|"&amp;F1110</f>
        <v/>
      </c>
    </row>
    <row r="1111" ht="19" customHeight="1">
      <c r="A1111" s="93" t="n">
        <v>1101</v>
      </c>
      <c r="B1111" s="101" t="inlineStr">
        <is>
          <t>Stainless Steel 316</t>
        </is>
      </c>
      <c r="C1111" s="13" t="inlineStr">
        <is>
          <t>ASME B36.19M / B36.10M</t>
        </is>
      </c>
      <c r="D1111" s="12" t="inlineStr">
        <is>
          <t>22''</t>
        </is>
      </c>
      <c r="E1111" s="93" t="n">
        <v>550</v>
      </c>
      <c r="F1111" s="12" t="inlineStr">
        <is>
          <t>XS</t>
        </is>
      </c>
      <c r="G1111" s="14" t="n">
        <v>22</v>
      </c>
      <c r="H1111" s="78" t="n">
        <v>558.8</v>
      </c>
      <c r="I1111" s="14" t="n">
        <v>0.5</v>
      </c>
      <c r="J1111" s="78" t="n">
        <v>12.7</v>
      </c>
      <c r="K1111" s="14">
        <f>ROUND((H1111-J1111)*J1111*IF(B1111="Carbon Steel",$K$7,IF(B1111="Stainless Steel 304",$K$8,$L$8)), 3)</f>
        <v/>
      </c>
      <c r="L1111" s="78">
        <f>ROUND(K1111*$G$5, 2)</f>
        <v/>
      </c>
      <c r="M1111" s="93">
        <f>INT($G$6/H1111)</f>
        <v/>
      </c>
      <c r="N1111" s="93">
        <f>IF(M1111=0, 0, IF(OR($K$6="Square Grid", M1111=1), INT($G$7/H1111), IF($G$7&lt;H1111, 0, 1+INT(($G$7-H1111)/(0.8660254*H1111)))))</f>
        <v/>
      </c>
      <c r="O1111" s="59">
        <f>IF(OR(M1111=0,N1111=0), 0, IF(OR($K$6="Square Grid", M1111=1), M1111*N1111*$K$5, (INT((N1111+1)/2)*M1111 + INT(N1111/2)*IF(($G$6-M1111*H1111)&gt;=0.5*H1111, M1111, M1111-1))*$K$5))</f>
        <v/>
      </c>
      <c r="P1111" s="59">
        <f>IF(L1111&lt;=0, 0, INT($G$8/L1111))</f>
        <v/>
      </c>
      <c r="Q1111" s="95">
        <f>MIN(O1111, P1111)</f>
        <v/>
      </c>
      <c r="R1111" s="96">
        <f>ROUND((Q1111*L1111)/1000, 2)</f>
        <v/>
      </c>
      <c r="S1111" s="79">
        <f>IF($C$8&gt;0, R1111/$C$8, 0)</f>
        <v/>
      </c>
      <c r="T1111" s="79">
        <f>IF(O1111&gt;0, Q1111/O1111, 0)</f>
        <v/>
      </c>
      <c r="U1111" s="12">
        <f>IF(Q1111=0, "Exceeds Limit", IF(P1111&lt;=O1111, "Weight Limited", "Volume Limited"))</f>
        <v/>
      </c>
      <c r="V1111" s="97">
        <f>B1111&amp;"|"&amp;D1111&amp;"|"&amp;F1111</f>
        <v/>
      </c>
    </row>
    <row r="1112" ht="19" customHeight="1">
      <c r="A1112" s="98" t="n">
        <v>1102</v>
      </c>
      <c r="B1112" s="102" t="inlineStr">
        <is>
          <t>Stainless Steel 316</t>
        </is>
      </c>
      <c r="C1112" s="19" t="inlineStr">
        <is>
          <t>ASME B36.19M / B36.10M</t>
        </is>
      </c>
      <c r="D1112" s="18" t="inlineStr">
        <is>
          <t>22''</t>
        </is>
      </c>
      <c r="E1112" s="98" t="n">
        <v>550</v>
      </c>
      <c r="F1112" s="18" t="inlineStr">
        <is>
          <t>80</t>
        </is>
      </c>
      <c r="G1112" s="20" t="n">
        <v>22</v>
      </c>
      <c r="H1112" s="82" t="n">
        <v>558.8</v>
      </c>
      <c r="I1112" s="20" t="n">
        <v>1.125</v>
      </c>
      <c r="J1112" s="82" t="n">
        <v>28.57</v>
      </c>
      <c r="K1112" s="20">
        <f>ROUND((H1112-J1112)*J1112*IF(B1112="Carbon Steel",$K$7,IF(B1112="Stainless Steel 304",$K$8,$L$8)), 3)</f>
        <v/>
      </c>
      <c r="L1112" s="82">
        <f>ROUND(K1112*$G$5, 2)</f>
        <v/>
      </c>
      <c r="M1112" s="98">
        <f>INT($G$6/H1112)</f>
        <v/>
      </c>
      <c r="N1112" s="98">
        <f>IF(M1112=0, 0, IF(OR($K$6="Square Grid", M1112=1), INT($G$7/H1112), IF($G$7&lt;H1112, 0, 1+INT(($G$7-H1112)/(0.8660254*H1112)))))</f>
        <v/>
      </c>
      <c r="O1112" s="84">
        <f>IF(OR(M1112=0,N1112=0), 0, IF(OR($K$6="Square Grid", M1112=1), M1112*N1112*$K$5, (INT((N1112+1)/2)*M1112 + INT(N1112/2)*IF(($G$6-M1112*H1112)&gt;=0.5*H1112, M1112, M1112-1))*$K$5))</f>
        <v/>
      </c>
      <c r="P1112" s="84">
        <f>IF(L1112&lt;=0, 0, INT($G$8/L1112))</f>
        <v/>
      </c>
      <c r="Q1112" s="95">
        <f>MIN(O1112, P1112)</f>
        <v/>
      </c>
      <c r="R1112" s="96">
        <f>ROUND((Q1112*L1112)/1000, 2)</f>
        <v/>
      </c>
      <c r="S1112" s="85">
        <f>IF($C$8&gt;0, R1112/$C$8, 0)</f>
        <v/>
      </c>
      <c r="T1112" s="85">
        <f>IF(O1112&gt;0, Q1112/O1112, 0)</f>
        <v/>
      </c>
      <c r="U1112" s="18">
        <f>IF(Q1112=0, "Exceeds Limit", IF(P1112&lt;=O1112, "Weight Limited", "Volume Limited"))</f>
        <v/>
      </c>
      <c r="V1112" s="100">
        <f>B1112&amp;"|"&amp;D1112&amp;"|"&amp;F1112</f>
        <v/>
      </c>
    </row>
    <row r="1113" ht="19" customHeight="1">
      <c r="A1113" s="93" t="n">
        <v>1103</v>
      </c>
      <c r="B1113" s="101" t="inlineStr">
        <is>
          <t>Stainless Steel 316</t>
        </is>
      </c>
      <c r="C1113" s="13" t="inlineStr">
        <is>
          <t>ASME B36.19M / B36.10M</t>
        </is>
      </c>
      <c r="D1113" s="12" t="inlineStr">
        <is>
          <t>22''</t>
        </is>
      </c>
      <c r="E1113" s="93" t="n">
        <v>550</v>
      </c>
      <c r="F1113" s="12" t="inlineStr">
        <is>
          <t>100</t>
        </is>
      </c>
      <c r="G1113" s="14" t="n">
        <v>22</v>
      </c>
      <c r="H1113" s="78" t="n">
        <v>558.8</v>
      </c>
      <c r="I1113" s="14" t="n">
        <v>1.375</v>
      </c>
      <c r="J1113" s="78" t="n">
        <v>34.92</v>
      </c>
      <c r="K1113" s="14">
        <f>ROUND((H1113-J1113)*J1113*IF(B1113="Carbon Steel",$K$7,IF(B1113="Stainless Steel 304",$K$8,$L$8)), 3)</f>
        <v/>
      </c>
      <c r="L1113" s="78">
        <f>ROUND(K1113*$G$5, 2)</f>
        <v/>
      </c>
      <c r="M1113" s="93">
        <f>INT($G$6/H1113)</f>
        <v/>
      </c>
      <c r="N1113" s="93">
        <f>IF(M1113=0, 0, IF(OR($K$6="Square Grid", M1113=1), INT($G$7/H1113), IF($G$7&lt;H1113, 0, 1+INT(($G$7-H1113)/(0.8660254*H1113)))))</f>
        <v/>
      </c>
      <c r="O1113" s="59">
        <f>IF(OR(M1113=0,N1113=0), 0, IF(OR($K$6="Square Grid", M1113=1), M1113*N1113*$K$5, (INT((N1113+1)/2)*M1113 + INT(N1113/2)*IF(($G$6-M1113*H1113)&gt;=0.5*H1113, M1113, M1113-1))*$K$5))</f>
        <v/>
      </c>
      <c r="P1113" s="59">
        <f>IF(L1113&lt;=0, 0, INT($G$8/L1113))</f>
        <v/>
      </c>
      <c r="Q1113" s="95">
        <f>MIN(O1113, P1113)</f>
        <v/>
      </c>
      <c r="R1113" s="96">
        <f>ROUND((Q1113*L1113)/1000, 2)</f>
        <v/>
      </c>
      <c r="S1113" s="79">
        <f>IF($C$8&gt;0, R1113/$C$8, 0)</f>
        <v/>
      </c>
      <c r="T1113" s="79">
        <f>IF(O1113&gt;0, Q1113/O1113, 0)</f>
        <v/>
      </c>
      <c r="U1113" s="12">
        <f>IF(Q1113=0, "Exceeds Limit", IF(P1113&lt;=O1113, "Weight Limited", "Volume Limited"))</f>
        <v/>
      </c>
      <c r="V1113" s="97">
        <f>B1113&amp;"|"&amp;D1113&amp;"|"&amp;F1113</f>
        <v/>
      </c>
    </row>
    <row r="1114" ht="19" customHeight="1">
      <c r="A1114" s="98" t="n">
        <v>1104</v>
      </c>
      <c r="B1114" s="102" t="inlineStr">
        <is>
          <t>Stainless Steel 316</t>
        </is>
      </c>
      <c r="C1114" s="19" t="inlineStr">
        <is>
          <t>ASME B36.19M / B36.10M</t>
        </is>
      </c>
      <c r="D1114" s="18" t="inlineStr">
        <is>
          <t>22''</t>
        </is>
      </c>
      <c r="E1114" s="98" t="n">
        <v>550</v>
      </c>
      <c r="F1114" s="18" t="inlineStr">
        <is>
          <t>120</t>
        </is>
      </c>
      <c r="G1114" s="20" t="n">
        <v>22</v>
      </c>
      <c r="H1114" s="82" t="n">
        <v>558.8</v>
      </c>
      <c r="I1114" s="20" t="n">
        <v>1.625</v>
      </c>
      <c r="J1114" s="82" t="n">
        <v>41.27</v>
      </c>
      <c r="K1114" s="20">
        <f>ROUND((H1114-J1114)*J1114*IF(B1114="Carbon Steel",$K$7,IF(B1114="Stainless Steel 304",$K$8,$L$8)), 3)</f>
        <v/>
      </c>
      <c r="L1114" s="82">
        <f>ROUND(K1114*$G$5, 2)</f>
        <v/>
      </c>
      <c r="M1114" s="98">
        <f>INT($G$6/H1114)</f>
        <v/>
      </c>
      <c r="N1114" s="98">
        <f>IF(M1114=0, 0, IF(OR($K$6="Square Grid", M1114=1), INT($G$7/H1114), IF($G$7&lt;H1114, 0, 1+INT(($G$7-H1114)/(0.8660254*H1114)))))</f>
        <v/>
      </c>
      <c r="O1114" s="84">
        <f>IF(OR(M1114=0,N1114=0), 0, IF(OR($K$6="Square Grid", M1114=1), M1114*N1114*$K$5, (INT((N1114+1)/2)*M1114 + INT(N1114/2)*IF(($G$6-M1114*H1114)&gt;=0.5*H1114, M1114, M1114-1))*$K$5))</f>
        <v/>
      </c>
      <c r="P1114" s="84">
        <f>IF(L1114&lt;=0, 0, INT($G$8/L1114))</f>
        <v/>
      </c>
      <c r="Q1114" s="95">
        <f>MIN(O1114, P1114)</f>
        <v/>
      </c>
      <c r="R1114" s="96">
        <f>ROUND((Q1114*L1114)/1000, 2)</f>
        <v/>
      </c>
      <c r="S1114" s="85">
        <f>IF($C$8&gt;0, R1114/$C$8, 0)</f>
        <v/>
      </c>
      <c r="T1114" s="85">
        <f>IF(O1114&gt;0, Q1114/O1114, 0)</f>
        <v/>
      </c>
      <c r="U1114" s="18">
        <f>IF(Q1114=0, "Exceeds Limit", IF(P1114&lt;=O1114, "Weight Limited", "Volume Limited"))</f>
        <v/>
      </c>
      <c r="V1114" s="100">
        <f>B1114&amp;"|"&amp;D1114&amp;"|"&amp;F1114</f>
        <v/>
      </c>
    </row>
    <row r="1115" ht="19" customHeight="1">
      <c r="A1115" s="93" t="n">
        <v>1105</v>
      </c>
      <c r="B1115" s="101" t="inlineStr">
        <is>
          <t>Stainless Steel 316</t>
        </is>
      </c>
      <c r="C1115" s="13" t="inlineStr">
        <is>
          <t>ASME B36.19M / B36.10M</t>
        </is>
      </c>
      <c r="D1115" s="12" t="inlineStr">
        <is>
          <t>22''</t>
        </is>
      </c>
      <c r="E1115" s="93" t="n">
        <v>550</v>
      </c>
      <c r="F1115" s="12" t="inlineStr">
        <is>
          <t>140</t>
        </is>
      </c>
      <c r="G1115" s="14" t="n">
        <v>22</v>
      </c>
      <c r="H1115" s="78" t="n">
        <v>558.8</v>
      </c>
      <c r="I1115" s="14" t="n">
        <v>1.875</v>
      </c>
      <c r="J1115" s="78" t="n">
        <v>47.62</v>
      </c>
      <c r="K1115" s="14">
        <f>ROUND((H1115-J1115)*J1115*IF(B1115="Carbon Steel",$K$7,IF(B1115="Stainless Steel 304",$K$8,$L$8)), 3)</f>
        <v/>
      </c>
      <c r="L1115" s="78">
        <f>ROUND(K1115*$G$5, 2)</f>
        <v/>
      </c>
      <c r="M1115" s="93">
        <f>INT($G$6/H1115)</f>
        <v/>
      </c>
      <c r="N1115" s="93">
        <f>IF(M1115=0, 0, IF(OR($K$6="Square Grid", M1115=1), INT($G$7/H1115), IF($G$7&lt;H1115, 0, 1+INT(($G$7-H1115)/(0.8660254*H1115)))))</f>
        <v/>
      </c>
      <c r="O1115" s="59">
        <f>IF(OR(M1115=0,N1115=0), 0, IF(OR($K$6="Square Grid", M1115=1), M1115*N1115*$K$5, (INT((N1115+1)/2)*M1115 + INT(N1115/2)*IF(($G$6-M1115*H1115)&gt;=0.5*H1115, M1115, M1115-1))*$K$5))</f>
        <v/>
      </c>
      <c r="P1115" s="59">
        <f>IF(L1115&lt;=0, 0, INT($G$8/L1115))</f>
        <v/>
      </c>
      <c r="Q1115" s="95">
        <f>MIN(O1115, P1115)</f>
        <v/>
      </c>
      <c r="R1115" s="96">
        <f>ROUND((Q1115*L1115)/1000, 2)</f>
        <v/>
      </c>
      <c r="S1115" s="79">
        <f>IF($C$8&gt;0, R1115/$C$8, 0)</f>
        <v/>
      </c>
      <c r="T1115" s="79">
        <f>IF(O1115&gt;0, Q1115/O1115, 0)</f>
        <v/>
      </c>
      <c r="U1115" s="12">
        <f>IF(Q1115=0, "Exceeds Limit", IF(P1115&lt;=O1115, "Weight Limited", "Volume Limited"))</f>
        <v/>
      </c>
      <c r="V1115" s="97">
        <f>B1115&amp;"|"&amp;D1115&amp;"|"&amp;F1115</f>
        <v/>
      </c>
    </row>
    <row r="1116" ht="19" customHeight="1">
      <c r="A1116" s="98" t="n">
        <v>1106</v>
      </c>
      <c r="B1116" s="102" t="inlineStr">
        <is>
          <t>Stainless Steel 316</t>
        </is>
      </c>
      <c r="C1116" s="19" t="inlineStr">
        <is>
          <t>ASME B36.19M / B36.10M</t>
        </is>
      </c>
      <c r="D1116" s="18" t="inlineStr">
        <is>
          <t>22''</t>
        </is>
      </c>
      <c r="E1116" s="98" t="n">
        <v>550</v>
      </c>
      <c r="F1116" s="18" t="inlineStr">
        <is>
          <t>160</t>
        </is>
      </c>
      <c r="G1116" s="20" t="n">
        <v>22</v>
      </c>
      <c r="H1116" s="82" t="n">
        <v>558.8</v>
      </c>
      <c r="I1116" s="20" t="n">
        <v>2.125</v>
      </c>
      <c r="J1116" s="82" t="n">
        <v>53.97</v>
      </c>
      <c r="K1116" s="20">
        <f>ROUND((H1116-J1116)*J1116*IF(B1116="Carbon Steel",$K$7,IF(B1116="Stainless Steel 304",$K$8,$L$8)), 3)</f>
        <v/>
      </c>
      <c r="L1116" s="82">
        <f>ROUND(K1116*$G$5, 2)</f>
        <v/>
      </c>
      <c r="M1116" s="98">
        <f>INT($G$6/H1116)</f>
        <v/>
      </c>
      <c r="N1116" s="98">
        <f>IF(M1116=0, 0, IF(OR($K$6="Square Grid", M1116=1), INT($G$7/H1116), IF($G$7&lt;H1116, 0, 1+INT(($G$7-H1116)/(0.8660254*H1116)))))</f>
        <v/>
      </c>
      <c r="O1116" s="84">
        <f>IF(OR(M1116=0,N1116=0), 0, IF(OR($K$6="Square Grid", M1116=1), M1116*N1116*$K$5, (INT((N1116+1)/2)*M1116 + INT(N1116/2)*IF(($G$6-M1116*H1116)&gt;=0.5*H1116, M1116, M1116-1))*$K$5))</f>
        <v/>
      </c>
      <c r="P1116" s="84">
        <f>IF(L1116&lt;=0, 0, INT($G$8/L1116))</f>
        <v/>
      </c>
      <c r="Q1116" s="95">
        <f>MIN(O1116, P1116)</f>
        <v/>
      </c>
      <c r="R1116" s="96">
        <f>ROUND((Q1116*L1116)/1000, 2)</f>
        <v/>
      </c>
      <c r="S1116" s="85">
        <f>IF($C$8&gt;0, R1116/$C$8, 0)</f>
        <v/>
      </c>
      <c r="T1116" s="85">
        <f>IF(O1116&gt;0, Q1116/O1116, 0)</f>
        <v/>
      </c>
      <c r="U1116" s="18">
        <f>IF(Q1116=0, "Exceeds Limit", IF(P1116&lt;=O1116, "Weight Limited", "Volume Limited"))</f>
        <v/>
      </c>
      <c r="V1116" s="100">
        <f>B1116&amp;"|"&amp;D1116&amp;"|"&amp;F1116</f>
        <v/>
      </c>
    </row>
    <row r="1117" ht="19" customHeight="1">
      <c r="A1117" s="93" t="n">
        <v>1107</v>
      </c>
      <c r="B1117" s="101" t="inlineStr">
        <is>
          <t>Stainless Steel 316</t>
        </is>
      </c>
      <c r="C1117" s="13" t="inlineStr">
        <is>
          <t>ASME B36.19M / B36.10M</t>
        </is>
      </c>
      <c r="D1117" s="12" t="inlineStr">
        <is>
          <t>24''</t>
        </is>
      </c>
      <c r="E1117" s="93" t="n">
        <v>600</v>
      </c>
      <c r="F1117" s="12" t="inlineStr">
        <is>
          <t>5S</t>
        </is>
      </c>
      <c r="G1117" s="14" t="n">
        <v>24</v>
      </c>
      <c r="H1117" s="78" t="n">
        <v>609.6</v>
      </c>
      <c r="I1117" s="14" t="n">
        <v>0.218</v>
      </c>
      <c r="J1117" s="78" t="n">
        <v>5.54</v>
      </c>
      <c r="K1117" s="14">
        <f>ROUND((H1117-J1117)*J1117*IF(B1117="Carbon Steel",$K$7,IF(B1117="Stainless Steel 304",$K$8,$L$8)), 3)</f>
        <v/>
      </c>
      <c r="L1117" s="78">
        <f>ROUND(K1117*$G$5, 2)</f>
        <v/>
      </c>
      <c r="M1117" s="93">
        <f>INT($G$6/H1117)</f>
        <v/>
      </c>
      <c r="N1117" s="93">
        <f>IF(M1117=0, 0, IF(OR($K$6="Square Grid", M1117=1), INT($G$7/H1117), IF($G$7&lt;H1117, 0, 1+INT(($G$7-H1117)/(0.8660254*H1117)))))</f>
        <v/>
      </c>
      <c r="O1117" s="59">
        <f>IF(OR(M1117=0,N1117=0), 0, IF(OR($K$6="Square Grid", M1117=1), M1117*N1117*$K$5, (INT((N1117+1)/2)*M1117 + INT(N1117/2)*IF(($G$6-M1117*H1117)&gt;=0.5*H1117, M1117, M1117-1))*$K$5))</f>
        <v/>
      </c>
      <c r="P1117" s="59">
        <f>IF(L1117&lt;=0, 0, INT($G$8/L1117))</f>
        <v/>
      </c>
      <c r="Q1117" s="95">
        <f>MIN(O1117, P1117)</f>
        <v/>
      </c>
      <c r="R1117" s="96">
        <f>ROUND((Q1117*L1117)/1000, 2)</f>
        <v/>
      </c>
      <c r="S1117" s="79">
        <f>IF($C$8&gt;0, R1117/$C$8, 0)</f>
        <v/>
      </c>
      <c r="T1117" s="79">
        <f>IF(O1117&gt;0, Q1117/O1117, 0)</f>
        <v/>
      </c>
      <c r="U1117" s="12">
        <f>IF(Q1117=0, "Exceeds Limit", IF(P1117&lt;=O1117, "Weight Limited", "Volume Limited"))</f>
        <v/>
      </c>
      <c r="V1117" s="97">
        <f>B1117&amp;"|"&amp;D1117&amp;"|"&amp;F1117</f>
        <v/>
      </c>
    </row>
    <row r="1118" ht="19" customHeight="1">
      <c r="A1118" s="98" t="n">
        <v>1108</v>
      </c>
      <c r="B1118" s="102" t="inlineStr">
        <is>
          <t>Stainless Steel 316</t>
        </is>
      </c>
      <c r="C1118" s="19" t="inlineStr">
        <is>
          <t>ASME B36.19M / B36.10M</t>
        </is>
      </c>
      <c r="D1118" s="18" t="inlineStr">
        <is>
          <t>24''</t>
        </is>
      </c>
      <c r="E1118" s="98" t="n">
        <v>600</v>
      </c>
      <c r="F1118" s="18" t="inlineStr">
        <is>
          <t>5</t>
        </is>
      </c>
      <c r="G1118" s="20" t="n">
        <v>24</v>
      </c>
      <c r="H1118" s="82" t="n">
        <v>609.6</v>
      </c>
      <c r="I1118" s="20" t="n">
        <v>0.218</v>
      </c>
      <c r="J1118" s="82" t="n">
        <v>5.54</v>
      </c>
      <c r="K1118" s="20">
        <f>ROUND((H1118-J1118)*J1118*IF(B1118="Carbon Steel",$K$7,IF(B1118="Stainless Steel 304",$K$8,$L$8)), 3)</f>
        <v/>
      </c>
      <c r="L1118" s="82">
        <f>ROUND(K1118*$G$5, 2)</f>
        <v/>
      </c>
      <c r="M1118" s="98">
        <f>INT($G$6/H1118)</f>
        <v/>
      </c>
      <c r="N1118" s="98">
        <f>IF(M1118=0, 0, IF(OR($K$6="Square Grid", M1118=1), INT($G$7/H1118), IF($G$7&lt;H1118, 0, 1+INT(($G$7-H1118)/(0.8660254*H1118)))))</f>
        <v/>
      </c>
      <c r="O1118" s="84">
        <f>IF(OR(M1118=0,N1118=0), 0, IF(OR($K$6="Square Grid", M1118=1), M1118*N1118*$K$5, (INT((N1118+1)/2)*M1118 + INT(N1118/2)*IF(($G$6-M1118*H1118)&gt;=0.5*H1118, M1118, M1118-1))*$K$5))</f>
        <v/>
      </c>
      <c r="P1118" s="84">
        <f>IF(L1118&lt;=0, 0, INT($G$8/L1118))</f>
        <v/>
      </c>
      <c r="Q1118" s="95">
        <f>MIN(O1118, P1118)</f>
        <v/>
      </c>
      <c r="R1118" s="96">
        <f>ROUND((Q1118*L1118)/1000, 2)</f>
        <v/>
      </c>
      <c r="S1118" s="85">
        <f>IF($C$8&gt;0, R1118/$C$8, 0)</f>
        <v/>
      </c>
      <c r="T1118" s="85">
        <f>IF(O1118&gt;0, Q1118/O1118, 0)</f>
        <v/>
      </c>
      <c r="U1118" s="18">
        <f>IF(Q1118=0, "Exceeds Limit", IF(P1118&lt;=O1118, "Weight Limited", "Volume Limited"))</f>
        <v/>
      </c>
      <c r="V1118" s="100">
        <f>B1118&amp;"|"&amp;D1118&amp;"|"&amp;F1118</f>
        <v/>
      </c>
    </row>
    <row r="1119" ht="19" customHeight="1">
      <c r="A1119" s="93" t="n">
        <v>1109</v>
      </c>
      <c r="B1119" s="101" t="inlineStr">
        <is>
          <t>Stainless Steel 316</t>
        </is>
      </c>
      <c r="C1119" s="13" t="inlineStr">
        <is>
          <t>ASME B36.19M / B36.10M</t>
        </is>
      </c>
      <c r="D1119" s="12" t="inlineStr">
        <is>
          <t>24''</t>
        </is>
      </c>
      <c r="E1119" s="93" t="n">
        <v>600</v>
      </c>
      <c r="F1119" s="12" t="inlineStr">
        <is>
          <t>10S</t>
        </is>
      </c>
      <c r="G1119" s="14" t="n">
        <v>24</v>
      </c>
      <c r="H1119" s="78" t="n">
        <v>609.6</v>
      </c>
      <c r="I1119" s="14" t="n">
        <v>0.25</v>
      </c>
      <c r="J1119" s="78" t="n">
        <v>6.35</v>
      </c>
      <c r="K1119" s="14">
        <f>ROUND((H1119-J1119)*J1119*IF(B1119="Carbon Steel",$K$7,IF(B1119="Stainless Steel 304",$K$8,$L$8)), 3)</f>
        <v/>
      </c>
      <c r="L1119" s="78">
        <f>ROUND(K1119*$G$5, 2)</f>
        <v/>
      </c>
      <c r="M1119" s="93">
        <f>INT($G$6/H1119)</f>
        <v/>
      </c>
      <c r="N1119" s="93">
        <f>IF(M1119=0, 0, IF(OR($K$6="Square Grid", M1119=1), INT($G$7/H1119), IF($G$7&lt;H1119, 0, 1+INT(($G$7-H1119)/(0.8660254*H1119)))))</f>
        <v/>
      </c>
      <c r="O1119" s="59">
        <f>IF(OR(M1119=0,N1119=0), 0, IF(OR($K$6="Square Grid", M1119=1), M1119*N1119*$K$5, (INT((N1119+1)/2)*M1119 + INT(N1119/2)*IF(($G$6-M1119*H1119)&gt;=0.5*H1119, M1119, M1119-1))*$K$5))</f>
        <v/>
      </c>
      <c r="P1119" s="59">
        <f>IF(L1119&lt;=0, 0, INT($G$8/L1119))</f>
        <v/>
      </c>
      <c r="Q1119" s="95">
        <f>MIN(O1119, P1119)</f>
        <v/>
      </c>
      <c r="R1119" s="96">
        <f>ROUND((Q1119*L1119)/1000, 2)</f>
        <v/>
      </c>
      <c r="S1119" s="79">
        <f>IF($C$8&gt;0, R1119/$C$8, 0)</f>
        <v/>
      </c>
      <c r="T1119" s="79">
        <f>IF(O1119&gt;0, Q1119/O1119, 0)</f>
        <v/>
      </c>
      <c r="U1119" s="12">
        <f>IF(Q1119=0, "Exceeds Limit", IF(P1119&lt;=O1119, "Weight Limited", "Volume Limited"))</f>
        <v/>
      </c>
      <c r="V1119" s="97">
        <f>B1119&amp;"|"&amp;D1119&amp;"|"&amp;F1119</f>
        <v/>
      </c>
    </row>
    <row r="1120" ht="19" customHeight="1">
      <c r="A1120" s="98" t="n">
        <v>1110</v>
      </c>
      <c r="B1120" s="102" t="inlineStr">
        <is>
          <t>Stainless Steel 316</t>
        </is>
      </c>
      <c r="C1120" s="19" t="inlineStr">
        <is>
          <t>ASME B36.19M / B36.10M</t>
        </is>
      </c>
      <c r="D1120" s="18" t="inlineStr">
        <is>
          <t>24''</t>
        </is>
      </c>
      <c r="E1120" s="98" t="n">
        <v>600</v>
      </c>
      <c r="F1120" s="18" t="inlineStr">
        <is>
          <t>10</t>
        </is>
      </c>
      <c r="G1120" s="20" t="n">
        <v>24</v>
      </c>
      <c r="H1120" s="82" t="n">
        <v>609.6</v>
      </c>
      <c r="I1120" s="20" t="n">
        <v>0.25</v>
      </c>
      <c r="J1120" s="82" t="n">
        <v>6.35</v>
      </c>
      <c r="K1120" s="20">
        <f>ROUND((H1120-J1120)*J1120*IF(B1120="Carbon Steel",$K$7,IF(B1120="Stainless Steel 304",$K$8,$L$8)), 3)</f>
        <v/>
      </c>
      <c r="L1120" s="82">
        <f>ROUND(K1120*$G$5, 2)</f>
        <v/>
      </c>
      <c r="M1120" s="98">
        <f>INT($G$6/H1120)</f>
        <v/>
      </c>
      <c r="N1120" s="98">
        <f>IF(M1120=0, 0, IF(OR($K$6="Square Grid", M1120=1), INT($G$7/H1120), IF($G$7&lt;H1120, 0, 1+INT(($G$7-H1120)/(0.8660254*H1120)))))</f>
        <v/>
      </c>
      <c r="O1120" s="84">
        <f>IF(OR(M1120=0,N1120=0), 0, IF(OR($K$6="Square Grid", M1120=1), M1120*N1120*$K$5, (INT((N1120+1)/2)*M1120 + INT(N1120/2)*IF(($G$6-M1120*H1120)&gt;=0.5*H1120, M1120, M1120-1))*$K$5))</f>
        <v/>
      </c>
      <c r="P1120" s="84">
        <f>IF(L1120&lt;=0, 0, INT($G$8/L1120))</f>
        <v/>
      </c>
      <c r="Q1120" s="95">
        <f>MIN(O1120, P1120)</f>
        <v/>
      </c>
      <c r="R1120" s="96">
        <f>ROUND((Q1120*L1120)/1000, 2)</f>
        <v/>
      </c>
      <c r="S1120" s="85">
        <f>IF($C$8&gt;0, R1120/$C$8, 0)</f>
        <v/>
      </c>
      <c r="T1120" s="85">
        <f>IF(O1120&gt;0, Q1120/O1120, 0)</f>
        <v/>
      </c>
      <c r="U1120" s="18">
        <f>IF(Q1120=0, "Exceeds Limit", IF(P1120&lt;=O1120, "Weight Limited", "Volume Limited"))</f>
        <v/>
      </c>
      <c r="V1120" s="100">
        <f>B1120&amp;"|"&amp;D1120&amp;"|"&amp;F1120</f>
        <v/>
      </c>
    </row>
    <row r="1121" ht="19" customHeight="1">
      <c r="A1121" s="93" t="n">
        <v>1111</v>
      </c>
      <c r="B1121" s="101" t="inlineStr">
        <is>
          <t>Stainless Steel 316</t>
        </is>
      </c>
      <c r="C1121" s="13" t="inlineStr">
        <is>
          <t>ASME B36.19M / B36.10M</t>
        </is>
      </c>
      <c r="D1121" s="12" t="inlineStr">
        <is>
          <t>24''</t>
        </is>
      </c>
      <c r="E1121" s="93" t="n">
        <v>600</v>
      </c>
      <c r="F1121" s="12" t="inlineStr">
        <is>
          <t>20</t>
        </is>
      </c>
      <c r="G1121" s="14" t="n">
        <v>24</v>
      </c>
      <c r="H1121" s="78" t="n">
        <v>609.6</v>
      </c>
      <c r="I1121" s="14" t="n">
        <v>0.375</v>
      </c>
      <c r="J1121" s="78" t="n">
        <v>9.52</v>
      </c>
      <c r="K1121" s="14">
        <f>ROUND((H1121-J1121)*J1121*IF(B1121="Carbon Steel",$K$7,IF(B1121="Stainless Steel 304",$K$8,$L$8)), 3)</f>
        <v/>
      </c>
      <c r="L1121" s="78">
        <f>ROUND(K1121*$G$5, 2)</f>
        <v/>
      </c>
      <c r="M1121" s="93">
        <f>INT($G$6/H1121)</f>
        <v/>
      </c>
      <c r="N1121" s="93">
        <f>IF(M1121=0, 0, IF(OR($K$6="Square Grid", M1121=1), INT($G$7/H1121), IF($G$7&lt;H1121, 0, 1+INT(($G$7-H1121)/(0.8660254*H1121)))))</f>
        <v/>
      </c>
      <c r="O1121" s="59">
        <f>IF(OR(M1121=0,N1121=0), 0, IF(OR($K$6="Square Grid", M1121=1), M1121*N1121*$K$5, (INT((N1121+1)/2)*M1121 + INT(N1121/2)*IF(($G$6-M1121*H1121)&gt;=0.5*H1121, M1121, M1121-1))*$K$5))</f>
        <v/>
      </c>
      <c r="P1121" s="59">
        <f>IF(L1121&lt;=0, 0, INT($G$8/L1121))</f>
        <v/>
      </c>
      <c r="Q1121" s="95">
        <f>MIN(O1121, P1121)</f>
        <v/>
      </c>
      <c r="R1121" s="96">
        <f>ROUND((Q1121*L1121)/1000, 2)</f>
        <v/>
      </c>
      <c r="S1121" s="79">
        <f>IF($C$8&gt;0, R1121/$C$8, 0)</f>
        <v/>
      </c>
      <c r="T1121" s="79">
        <f>IF(O1121&gt;0, Q1121/O1121, 0)</f>
        <v/>
      </c>
      <c r="U1121" s="12">
        <f>IF(Q1121=0, "Exceeds Limit", IF(P1121&lt;=O1121, "Weight Limited", "Volume Limited"))</f>
        <v/>
      </c>
      <c r="V1121" s="97">
        <f>B1121&amp;"|"&amp;D1121&amp;"|"&amp;F1121</f>
        <v/>
      </c>
    </row>
    <row r="1122" ht="19" customHeight="1">
      <c r="A1122" s="98" t="n">
        <v>1112</v>
      </c>
      <c r="B1122" s="102" t="inlineStr">
        <is>
          <t>Stainless Steel 316</t>
        </is>
      </c>
      <c r="C1122" s="19" t="inlineStr">
        <is>
          <t>ASME B36.19M / B36.10M</t>
        </is>
      </c>
      <c r="D1122" s="18" t="inlineStr">
        <is>
          <t>24''</t>
        </is>
      </c>
      <c r="E1122" s="98" t="n">
        <v>600</v>
      </c>
      <c r="F1122" s="18" t="inlineStr">
        <is>
          <t>30</t>
        </is>
      </c>
      <c r="G1122" s="20" t="n">
        <v>24</v>
      </c>
      <c r="H1122" s="82" t="n">
        <v>609.6</v>
      </c>
      <c r="I1122" s="20" t="n">
        <v>0.5620000000000001</v>
      </c>
      <c r="J1122" s="82" t="n">
        <v>14.27</v>
      </c>
      <c r="K1122" s="20">
        <f>ROUND((H1122-J1122)*J1122*IF(B1122="Carbon Steel",$K$7,IF(B1122="Stainless Steel 304",$K$8,$L$8)), 3)</f>
        <v/>
      </c>
      <c r="L1122" s="82">
        <f>ROUND(K1122*$G$5, 2)</f>
        <v/>
      </c>
      <c r="M1122" s="98">
        <f>INT($G$6/H1122)</f>
        <v/>
      </c>
      <c r="N1122" s="98">
        <f>IF(M1122=0, 0, IF(OR($K$6="Square Grid", M1122=1), INT($G$7/H1122), IF($G$7&lt;H1122, 0, 1+INT(($G$7-H1122)/(0.8660254*H1122)))))</f>
        <v/>
      </c>
      <c r="O1122" s="84">
        <f>IF(OR(M1122=0,N1122=0), 0, IF(OR($K$6="Square Grid", M1122=1), M1122*N1122*$K$5, (INT((N1122+1)/2)*M1122 + INT(N1122/2)*IF(($G$6-M1122*H1122)&gt;=0.5*H1122, M1122, M1122-1))*$K$5))</f>
        <v/>
      </c>
      <c r="P1122" s="84">
        <f>IF(L1122&lt;=0, 0, INT($G$8/L1122))</f>
        <v/>
      </c>
      <c r="Q1122" s="95">
        <f>MIN(O1122, P1122)</f>
        <v/>
      </c>
      <c r="R1122" s="96">
        <f>ROUND((Q1122*L1122)/1000, 2)</f>
        <v/>
      </c>
      <c r="S1122" s="85">
        <f>IF($C$8&gt;0, R1122/$C$8, 0)</f>
        <v/>
      </c>
      <c r="T1122" s="85">
        <f>IF(O1122&gt;0, Q1122/O1122, 0)</f>
        <v/>
      </c>
      <c r="U1122" s="18">
        <f>IF(Q1122=0, "Exceeds Limit", IF(P1122&lt;=O1122, "Weight Limited", "Volume Limited"))</f>
        <v/>
      </c>
      <c r="V1122" s="100">
        <f>B1122&amp;"|"&amp;D1122&amp;"|"&amp;F1122</f>
        <v/>
      </c>
    </row>
    <row r="1123" ht="19" customHeight="1">
      <c r="A1123" s="93" t="n">
        <v>1113</v>
      </c>
      <c r="B1123" s="101" t="inlineStr">
        <is>
          <t>Stainless Steel 316</t>
        </is>
      </c>
      <c r="C1123" s="13" t="inlineStr">
        <is>
          <t>ASME B36.19M / B36.10M</t>
        </is>
      </c>
      <c r="D1123" s="12" t="inlineStr">
        <is>
          <t>24''</t>
        </is>
      </c>
      <c r="E1123" s="93" t="n">
        <v>600</v>
      </c>
      <c r="F1123" s="12" t="inlineStr">
        <is>
          <t>40S</t>
        </is>
      </c>
      <c r="G1123" s="14" t="n">
        <v>24</v>
      </c>
      <c r="H1123" s="78" t="n">
        <v>609.6</v>
      </c>
      <c r="I1123" s="14" t="n">
        <v>0.375</v>
      </c>
      <c r="J1123" s="78" t="n">
        <v>9.52</v>
      </c>
      <c r="K1123" s="14">
        <f>ROUND((H1123-J1123)*J1123*IF(B1123="Carbon Steel",$K$7,IF(B1123="Stainless Steel 304",$K$8,$L$8)), 3)</f>
        <v/>
      </c>
      <c r="L1123" s="78">
        <f>ROUND(K1123*$G$5, 2)</f>
        <v/>
      </c>
      <c r="M1123" s="93">
        <f>INT($G$6/H1123)</f>
        <v/>
      </c>
      <c r="N1123" s="93">
        <f>IF(M1123=0, 0, IF(OR($K$6="Square Grid", M1123=1), INT($G$7/H1123), IF($G$7&lt;H1123, 0, 1+INT(($G$7-H1123)/(0.8660254*H1123)))))</f>
        <v/>
      </c>
      <c r="O1123" s="59">
        <f>IF(OR(M1123=0,N1123=0), 0, IF(OR($K$6="Square Grid", M1123=1), M1123*N1123*$K$5, (INT((N1123+1)/2)*M1123 + INT(N1123/2)*IF(($G$6-M1123*H1123)&gt;=0.5*H1123, M1123, M1123-1))*$K$5))</f>
        <v/>
      </c>
      <c r="P1123" s="59">
        <f>IF(L1123&lt;=0, 0, INT($G$8/L1123))</f>
        <v/>
      </c>
      <c r="Q1123" s="95">
        <f>MIN(O1123, P1123)</f>
        <v/>
      </c>
      <c r="R1123" s="96">
        <f>ROUND((Q1123*L1123)/1000, 2)</f>
        <v/>
      </c>
      <c r="S1123" s="79">
        <f>IF($C$8&gt;0, R1123/$C$8, 0)</f>
        <v/>
      </c>
      <c r="T1123" s="79">
        <f>IF(O1123&gt;0, Q1123/O1123, 0)</f>
        <v/>
      </c>
      <c r="U1123" s="12">
        <f>IF(Q1123=0, "Exceeds Limit", IF(P1123&lt;=O1123, "Weight Limited", "Volume Limited"))</f>
        <v/>
      </c>
      <c r="V1123" s="97">
        <f>B1123&amp;"|"&amp;D1123&amp;"|"&amp;F1123</f>
        <v/>
      </c>
    </row>
    <row r="1124" ht="19" customHeight="1">
      <c r="A1124" s="98" t="n">
        <v>1114</v>
      </c>
      <c r="B1124" s="102" t="inlineStr">
        <is>
          <t>Stainless Steel 316</t>
        </is>
      </c>
      <c r="C1124" s="19" t="inlineStr">
        <is>
          <t>ASME B36.19M / B36.10M</t>
        </is>
      </c>
      <c r="D1124" s="18" t="inlineStr">
        <is>
          <t>24''</t>
        </is>
      </c>
      <c r="E1124" s="98" t="n">
        <v>600</v>
      </c>
      <c r="F1124" s="18" t="inlineStr">
        <is>
          <t>STD</t>
        </is>
      </c>
      <c r="G1124" s="20" t="n">
        <v>24</v>
      </c>
      <c r="H1124" s="82" t="n">
        <v>609.6</v>
      </c>
      <c r="I1124" s="20" t="n">
        <v>0.375</v>
      </c>
      <c r="J1124" s="82" t="n">
        <v>9.52</v>
      </c>
      <c r="K1124" s="20">
        <f>ROUND((H1124-J1124)*J1124*IF(B1124="Carbon Steel",$K$7,IF(B1124="Stainless Steel 304",$K$8,$L$8)), 3)</f>
        <v/>
      </c>
      <c r="L1124" s="82">
        <f>ROUND(K1124*$G$5, 2)</f>
        <v/>
      </c>
      <c r="M1124" s="98">
        <f>INT($G$6/H1124)</f>
        <v/>
      </c>
      <c r="N1124" s="98">
        <f>IF(M1124=0, 0, IF(OR($K$6="Square Grid", M1124=1), INT($G$7/H1124), IF($G$7&lt;H1124, 0, 1+INT(($G$7-H1124)/(0.8660254*H1124)))))</f>
        <v/>
      </c>
      <c r="O1124" s="84">
        <f>IF(OR(M1124=0,N1124=0), 0, IF(OR($K$6="Square Grid", M1124=1), M1124*N1124*$K$5, (INT((N1124+1)/2)*M1124 + INT(N1124/2)*IF(($G$6-M1124*H1124)&gt;=0.5*H1124, M1124, M1124-1))*$K$5))</f>
        <v/>
      </c>
      <c r="P1124" s="84">
        <f>IF(L1124&lt;=0, 0, INT($G$8/L1124))</f>
        <v/>
      </c>
      <c r="Q1124" s="95">
        <f>MIN(O1124, P1124)</f>
        <v/>
      </c>
      <c r="R1124" s="96">
        <f>ROUND((Q1124*L1124)/1000, 2)</f>
        <v/>
      </c>
      <c r="S1124" s="85">
        <f>IF($C$8&gt;0, R1124/$C$8, 0)</f>
        <v/>
      </c>
      <c r="T1124" s="85">
        <f>IF(O1124&gt;0, Q1124/O1124, 0)</f>
        <v/>
      </c>
      <c r="U1124" s="18">
        <f>IF(Q1124=0, "Exceeds Limit", IF(P1124&lt;=O1124, "Weight Limited", "Volume Limited"))</f>
        <v/>
      </c>
      <c r="V1124" s="100">
        <f>B1124&amp;"|"&amp;D1124&amp;"|"&amp;F1124</f>
        <v/>
      </c>
    </row>
    <row r="1125" ht="19" customHeight="1">
      <c r="A1125" s="93" t="n">
        <v>1115</v>
      </c>
      <c r="B1125" s="101" t="inlineStr">
        <is>
          <t>Stainless Steel 316</t>
        </is>
      </c>
      <c r="C1125" s="13" t="inlineStr">
        <is>
          <t>ASME B36.19M / B36.10M</t>
        </is>
      </c>
      <c r="D1125" s="12" t="inlineStr">
        <is>
          <t>24''</t>
        </is>
      </c>
      <c r="E1125" s="93" t="n">
        <v>600</v>
      </c>
      <c r="F1125" s="12" t="inlineStr">
        <is>
          <t>40</t>
        </is>
      </c>
      <c r="G1125" s="14" t="n">
        <v>24</v>
      </c>
      <c r="H1125" s="78" t="n">
        <v>609.6</v>
      </c>
      <c r="I1125" s="14" t="n">
        <v>0.6879999999999999</v>
      </c>
      <c r="J1125" s="78" t="n">
        <v>17.48</v>
      </c>
      <c r="K1125" s="14">
        <f>ROUND((H1125-J1125)*J1125*IF(B1125="Carbon Steel",$K$7,IF(B1125="Stainless Steel 304",$K$8,$L$8)), 3)</f>
        <v/>
      </c>
      <c r="L1125" s="78">
        <f>ROUND(K1125*$G$5, 2)</f>
        <v/>
      </c>
      <c r="M1125" s="93">
        <f>INT($G$6/H1125)</f>
        <v/>
      </c>
      <c r="N1125" s="93">
        <f>IF(M1125=0, 0, IF(OR($K$6="Square Grid", M1125=1), INT($G$7/H1125), IF($G$7&lt;H1125, 0, 1+INT(($G$7-H1125)/(0.8660254*H1125)))))</f>
        <v/>
      </c>
      <c r="O1125" s="59">
        <f>IF(OR(M1125=0,N1125=0), 0, IF(OR($K$6="Square Grid", M1125=1), M1125*N1125*$K$5, (INT((N1125+1)/2)*M1125 + INT(N1125/2)*IF(($G$6-M1125*H1125)&gt;=0.5*H1125, M1125, M1125-1))*$K$5))</f>
        <v/>
      </c>
      <c r="P1125" s="59">
        <f>IF(L1125&lt;=0, 0, INT($G$8/L1125))</f>
        <v/>
      </c>
      <c r="Q1125" s="95">
        <f>MIN(O1125, P1125)</f>
        <v/>
      </c>
      <c r="R1125" s="96">
        <f>ROUND((Q1125*L1125)/1000, 2)</f>
        <v/>
      </c>
      <c r="S1125" s="79">
        <f>IF($C$8&gt;0, R1125/$C$8, 0)</f>
        <v/>
      </c>
      <c r="T1125" s="79">
        <f>IF(O1125&gt;0, Q1125/O1125, 0)</f>
        <v/>
      </c>
      <c r="U1125" s="12">
        <f>IF(Q1125=0, "Exceeds Limit", IF(P1125&lt;=O1125, "Weight Limited", "Volume Limited"))</f>
        <v/>
      </c>
      <c r="V1125" s="97">
        <f>B1125&amp;"|"&amp;D1125&amp;"|"&amp;F1125</f>
        <v/>
      </c>
    </row>
    <row r="1126" ht="19" customHeight="1">
      <c r="A1126" s="98" t="n">
        <v>1116</v>
      </c>
      <c r="B1126" s="102" t="inlineStr">
        <is>
          <t>Stainless Steel 316</t>
        </is>
      </c>
      <c r="C1126" s="19" t="inlineStr">
        <is>
          <t>ASME B36.19M / B36.10M</t>
        </is>
      </c>
      <c r="D1126" s="18" t="inlineStr">
        <is>
          <t>24''</t>
        </is>
      </c>
      <c r="E1126" s="98" t="n">
        <v>600</v>
      </c>
      <c r="F1126" s="18" t="inlineStr">
        <is>
          <t>60</t>
        </is>
      </c>
      <c r="G1126" s="20" t="n">
        <v>24</v>
      </c>
      <c r="H1126" s="82" t="n">
        <v>609.6</v>
      </c>
      <c r="I1126" s="20" t="n">
        <v>0.969</v>
      </c>
      <c r="J1126" s="82" t="n">
        <v>24.61</v>
      </c>
      <c r="K1126" s="20">
        <f>ROUND((H1126-J1126)*J1126*IF(B1126="Carbon Steel",$K$7,IF(B1126="Stainless Steel 304",$K$8,$L$8)), 3)</f>
        <v/>
      </c>
      <c r="L1126" s="82">
        <f>ROUND(K1126*$G$5, 2)</f>
        <v/>
      </c>
      <c r="M1126" s="98">
        <f>INT($G$6/H1126)</f>
        <v/>
      </c>
      <c r="N1126" s="98">
        <f>IF(M1126=0, 0, IF(OR($K$6="Square Grid", M1126=1), INT($G$7/H1126), IF($G$7&lt;H1126, 0, 1+INT(($G$7-H1126)/(0.8660254*H1126)))))</f>
        <v/>
      </c>
      <c r="O1126" s="84">
        <f>IF(OR(M1126=0,N1126=0), 0, IF(OR($K$6="Square Grid", M1126=1), M1126*N1126*$K$5, (INT((N1126+1)/2)*M1126 + INT(N1126/2)*IF(($G$6-M1126*H1126)&gt;=0.5*H1126, M1126, M1126-1))*$K$5))</f>
        <v/>
      </c>
      <c r="P1126" s="84">
        <f>IF(L1126&lt;=0, 0, INT($G$8/L1126))</f>
        <v/>
      </c>
      <c r="Q1126" s="95">
        <f>MIN(O1126, P1126)</f>
        <v/>
      </c>
      <c r="R1126" s="96">
        <f>ROUND((Q1126*L1126)/1000, 2)</f>
        <v/>
      </c>
      <c r="S1126" s="85">
        <f>IF($C$8&gt;0, R1126/$C$8, 0)</f>
        <v/>
      </c>
      <c r="T1126" s="85">
        <f>IF(O1126&gt;0, Q1126/O1126, 0)</f>
        <v/>
      </c>
      <c r="U1126" s="18">
        <f>IF(Q1126=0, "Exceeds Limit", IF(P1126&lt;=O1126, "Weight Limited", "Volume Limited"))</f>
        <v/>
      </c>
      <c r="V1126" s="100">
        <f>B1126&amp;"|"&amp;D1126&amp;"|"&amp;F1126</f>
        <v/>
      </c>
    </row>
    <row r="1127" ht="19" customHeight="1">
      <c r="A1127" s="93" t="n">
        <v>1117</v>
      </c>
      <c r="B1127" s="101" t="inlineStr">
        <is>
          <t>Stainless Steel 316</t>
        </is>
      </c>
      <c r="C1127" s="13" t="inlineStr">
        <is>
          <t>ASME B36.19M / B36.10M</t>
        </is>
      </c>
      <c r="D1127" s="12" t="inlineStr">
        <is>
          <t>24''</t>
        </is>
      </c>
      <c r="E1127" s="93" t="n">
        <v>600</v>
      </c>
      <c r="F1127" s="12" t="inlineStr">
        <is>
          <t>80S</t>
        </is>
      </c>
      <c r="G1127" s="14" t="n">
        <v>24</v>
      </c>
      <c r="H1127" s="78" t="n">
        <v>609.6</v>
      </c>
      <c r="I1127" s="14" t="n">
        <v>0.5</v>
      </c>
      <c r="J1127" s="78" t="n">
        <v>12.7</v>
      </c>
      <c r="K1127" s="14">
        <f>ROUND((H1127-J1127)*J1127*IF(B1127="Carbon Steel",$K$7,IF(B1127="Stainless Steel 304",$K$8,$L$8)), 3)</f>
        <v/>
      </c>
      <c r="L1127" s="78">
        <f>ROUND(K1127*$G$5, 2)</f>
        <v/>
      </c>
      <c r="M1127" s="93">
        <f>INT($G$6/H1127)</f>
        <v/>
      </c>
      <c r="N1127" s="93">
        <f>IF(M1127=0, 0, IF(OR($K$6="Square Grid", M1127=1), INT($G$7/H1127), IF($G$7&lt;H1127, 0, 1+INT(($G$7-H1127)/(0.8660254*H1127)))))</f>
        <v/>
      </c>
      <c r="O1127" s="59">
        <f>IF(OR(M1127=0,N1127=0), 0, IF(OR($K$6="Square Grid", M1127=1), M1127*N1127*$K$5, (INT((N1127+1)/2)*M1127 + INT(N1127/2)*IF(($G$6-M1127*H1127)&gt;=0.5*H1127, M1127, M1127-1))*$K$5))</f>
        <v/>
      </c>
      <c r="P1127" s="59">
        <f>IF(L1127&lt;=0, 0, INT($G$8/L1127))</f>
        <v/>
      </c>
      <c r="Q1127" s="95">
        <f>MIN(O1127, P1127)</f>
        <v/>
      </c>
      <c r="R1127" s="96">
        <f>ROUND((Q1127*L1127)/1000, 2)</f>
        <v/>
      </c>
      <c r="S1127" s="79">
        <f>IF($C$8&gt;0, R1127/$C$8, 0)</f>
        <v/>
      </c>
      <c r="T1127" s="79">
        <f>IF(O1127&gt;0, Q1127/O1127, 0)</f>
        <v/>
      </c>
      <c r="U1127" s="12">
        <f>IF(Q1127=0, "Exceeds Limit", IF(P1127&lt;=O1127, "Weight Limited", "Volume Limited"))</f>
        <v/>
      </c>
      <c r="V1127" s="97">
        <f>B1127&amp;"|"&amp;D1127&amp;"|"&amp;F1127</f>
        <v/>
      </c>
    </row>
    <row r="1128" ht="19" customHeight="1">
      <c r="A1128" s="98" t="n">
        <v>1118</v>
      </c>
      <c r="B1128" s="102" t="inlineStr">
        <is>
          <t>Stainless Steel 316</t>
        </is>
      </c>
      <c r="C1128" s="19" t="inlineStr">
        <is>
          <t>ASME B36.19M / B36.10M</t>
        </is>
      </c>
      <c r="D1128" s="18" t="inlineStr">
        <is>
          <t>24''</t>
        </is>
      </c>
      <c r="E1128" s="98" t="n">
        <v>600</v>
      </c>
      <c r="F1128" s="18" t="inlineStr">
        <is>
          <t>XS</t>
        </is>
      </c>
      <c r="G1128" s="20" t="n">
        <v>24</v>
      </c>
      <c r="H1128" s="82" t="n">
        <v>609.6</v>
      </c>
      <c r="I1128" s="20" t="n">
        <v>0.5</v>
      </c>
      <c r="J1128" s="82" t="n">
        <v>12.7</v>
      </c>
      <c r="K1128" s="20">
        <f>ROUND((H1128-J1128)*J1128*IF(B1128="Carbon Steel",$K$7,IF(B1128="Stainless Steel 304",$K$8,$L$8)), 3)</f>
        <v/>
      </c>
      <c r="L1128" s="82">
        <f>ROUND(K1128*$G$5, 2)</f>
        <v/>
      </c>
      <c r="M1128" s="98">
        <f>INT($G$6/H1128)</f>
        <v/>
      </c>
      <c r="N1128" s="98">
        <f>IF(M1128=0, 0, IF(OR($K$6="Square Grid", M1128=1), INT($G$7/H1128), IF($G$7&lt;H1128, 0, 1+INT(($G$7-H1128)/(0.8660254*H1128)))))</f>
        <v/>
      </c>
      <c r="O1128" s="84">
        <f>IF(OR(M1128=0,N1128=0), 0, IF(OR($K$6="Square Grid", M1128=1), M1128*N1128*$K$5, (INT((N1128+1)/2)*M1128 + INT(N1128/2)*IF(($G$6-M1128*H1128)&gt;=0.5*H1128, M1128, M1128-1))*$K$5))</f>
        <v/>
      </c>
      <c r="P1128" s="84">
        <f>IF(L1128&lt;=0, 0, INT($G$8/L1128))</f>
        <v/>
      </c>
      <c r="Q1128" s="95">
        <f>MIN(O1128, P1128)</f>
        <v/>
      </c>
      <c r="R1128" s="96">
        <f>ROUND((Q1128*L1128)/1000, 2)</f>
        <v/>
      </c>
      <c r="S1128" s="85">
        <f>IF($C$8&gt;0, R1128/$C$8, 0)</f>
        <v/>
      </c>
      <c r="T1128" s="85">
        <f>IF(O1128&gt;0, Q1128/O1128, 0)</f>
        <v/>
      </c>
      <c r="U1128" s="18">
        <f>IF(Q1128=0, "Exceeds Limit", IF(P1128&lt;=O1128, "Weight Limited", "Volume Limited"))</f>
        <v/>
      </c>
      <c r="V1128" s="100">
        <f>B1128&amp;"|"&amp;D1128&amp;"|"&amp;F1128</f>
        <v/>
      </c>
    </row>
    <row r="1129" ht="19" customHeight="1">
      <c r="A1129" s="93" t="n">
        <v>1119</v>
      </c>
      <c r="B1129" s="101" t="inlineStr">
        <is>
          <t>Stainless Steel 316</t>
        </is>
      </c>
      <c r="C1129" s="13" t="inlineStr">
        <is>
          <t>ASME B36.19M / B36.10M</t>
        </is>
      </c>
      <c r="D1129" s="12" t="inlineStr">
        <is>
          <t>24''</t>
        </is>
      </c>
      <c r="E1129" s="93" t="n">
        <v>600</v>
      </c>
      <c r="F1129" s="12" t="inlineStr">
        <is>
          <t>80</t>
        </is>
      </c>
      <c r="G1129" s="14" t="n">
        <v>24</v>
      </c>
      <c r="H1129" s="78" t="n">
        <v>609.6</v>
      </c>
      <c r="I1129" s="14" t="n">
        <v>1.219</v>
      </c>
      <c r="J1129" s="78" t="n">
        <v>30.96</v>
      </c>
      <c r="K1129" s="14">
        <f>ROUND((H1129-J1129)*J1129*IF(B1129="Carbon Steel",$K$7,IF(B1129="Stainless Steel 304",$K$8,$L$8)), 3)</f>
        <v/>
      </c>
      <c r="L1129" s="78">
        <f>ROUND(K1129*$G$5, 2)</f>
        <v/>
      </c>
      <c r="M1129" s="93">
        <f>INT($G$6/H1129)</f>
        <v/>
      </c>
      <c r="N1129" s="93">
        <f>IF(M1129=0, 0, IF(OR($K$6="Square Grid", M1129=1), INT($G$7/H1129), IF($G$7&lt;H1129, 0, 1+INT(($G$7-H1129)/(0.8660254*H1129)))))</f>
        <v/>
      </c>
      <c r="O1129" s="59">
        <f>IF(OR(M1129=0,N1129=0), 0, IF(OR($K$6="Square Grid", M1129=1), M1129*N1129*$K$5, (INT((N1129+1)/2)*M1129 + INT(N1129/2)*IF(($G$6-M1129*H1129)&gt;=0.5*H1129, M1129, M1129-1))*$K$5))</f>
        <v/>
      </c>
      <c r="P1129" s="59">
        <f>IF(L1129&lt;=0, 0, INT($G$8/L1129))</f>
        <v/>
      </c>
      <c r="Q1129" s="95">
        <f>MIN(O1129, P1129)</f>
        <v/>
      </c>
      <c r="R1129" s="96">
        <f>ROUND((Q1129*L1129)/1000, 2)</f>
        <v/>
      </c>
      <c r="S1129" s="79">
        <f>IF($C$8&gt;0, R1129/$C$8, 0)</f>
        <v/>
      </c>
      <c r="T1129" s="79">
        <f>IF(O1129&gt;0, Q1129/O1129, 0)</f>
        <v/>
      </c>
      <c r="U1129" s="12">
        <f>IF(Q1129=0, "Exceeds Limit", IF(P1129&lt;=O1129, "Weight Limited", "Volume Limited"))</f>
        <v/>
      </c>
      <c r="V1129" s="97">
        <f>B1129&amp;"|"&amp;D1129&amp;"|"&amp;F1129</f>
        <v/>
      </c>
    </row>
    <row r="1130" ht="19" customHeight="1">
      <c r="A1130" s="98" t="n">
        <v>1120</v>
      </c>
      <c r="B1130" s="102" t="inlineStr">
        <is>
          <t>Stainless Steel 316</t>
        </is>
      </c>
      <c r="C1130" s="19" t="inlineStr">
        <is>
          <t>ASME B36.19M / B36.10M</t>
        </is>
      </c>
      <c r="D1130" s="18" t="inlineStr">
        <is>
          <t>24''</t>
        </is>
      </c>
      <c r="E1130" s="98" t="n">
        <v>600</v>
      </c>
      <c r="F1130" s="18" t="inlineStr">
        <is>
          <t>100</t>
        </is>
      </c>
      <c r="G1130" s="20" t="n">
        <v>24</v>
      </c>
      <c r="H1130" s="82" t="n">
        <v>609.6</v>
      </c>
      <c r="I1130" s="20" t="n">
        <v>1.531</v>
      </c>
      <c r="J1130" s="82" t="n">
        <v>38.89</v>
      </c>
      <c r="K1130" s="20">
        <f>ROUND((H1130-J1130)*J1130*IF(B1130="Carbon Steel",$K$7,IF(B1130="Stainless Steel 304",$K$8,$L$8)), 3)</f>
        <v/>
      </c>
      <c r="L1130" s="82">
        <f>ROUND(K1130*$G$5, 2)</f>
        <v/>
      </c>
      <c r="M1130" s="98">
        <f>INT($G$6/H1130)</f>
        <v/>
      </c>
      <c r="N1130" s="98">
        <f>IF(M1130=0, 0, IF(OR($K$6="Square Grid", M1130=1), INT($G$7/H1130), IF($G$7&lt;H1130, 0, 1+INT(($G$7-H1130)/(0.8660254*H1130)))))</f>
        <v/>
      </c>
      <c r="O1130" s="84">
        <f>IF(OR(M1130=0,N1130=0), 0, IF(OR($K$6="Square Grid", M1130=1), M1130*N1130*$K$5, (INT((N1130+1)/2)*M1130 + INT(N1130/2)*IF(($G$6-M1130*H1130)&gt;=0.5*H1130, M1130, M1130-1))*$K$5))</f>
        <v/>
      </c>
      <c r="P1130" s="84">
        <f>IF(L1130&lt;=0, 0, INT($G$8/L1130))</f>
        <v/>
      </c>
      <c r="Q1130" s="95">
        <f>MIN(O1130, P1130)</f>
        <v/>
      </c>
      <c r="R1130" s="96">
        <f>ROUND((Q1130*L1130)/1000, 2)</f>
        <v/>
      </c>
      <c r="S1130" s="85">
        <f>IF($C$8&gt;0, R1130/$C$8, 0)</f>
        <v/>
      </c>
      <c r="T1130" s="85">
        <f>IF(O1130&gt;0, Q1130/O1130, 0)</f>
        <v/>
      </c>
      <c r="U1130" s="18">
        <f>IF(Q1130=0, "Exceeds Limit", IF(P1130&lt;=O1130, "Weight Limited", "Volume Limited"))</f>
        <v/>
      </c>
      <c r="V1130" s="100">
        <f>B1130&amp;"|"&amp;D1130&amp;"|"&amp;F1130</f>
        <v/>
      </c>
    </row>
    <row r="1131" ht="19" customHeight="1">
      <c r="A1131" s="93" t="n">
        <v>1121</v>
      </c>
      <c r="B1131" s="101" t="inlineStr">
        <is>
          <t>Stainless Steel 316</t>
        </is>
      </c>
      <c r="C1131" s="13" t="inlineStr">
        <is>
          <t>ASME B36.19M / B36.10M</t>
        </is>
      </c>
      <c r="D1131" s="12" t="inlineStr">
        <is>
          <t>24''</t>
        </is>
      </c>
      <c r="E1131" s="93" t="n">
        <v>600</v>
      </c>
      <c r="F1131" s="12" t="inlineStr">
        <is>
          <t>120</t>
        </is>
      </c>
      <c r="G1131" s="14" t="n">
        <v>24</v>
      </c>
      <c r="H1131" s="78" t="n">
        <v>609.6</v>
      </c>
      <c r="I1131" s="14" t="n">
        <v>1.812</v>
      </c>
      <c r="J1131" s="78" t="n">
        <v>46.02</v>
      </c>
      <c r="K1131" s="14">
        <f>ROUND((H1131-J1131)*J1131*IF(B1131="Carbon Steel",$K$7,IF(B1131="Stainless Steel 304",$K$8,$L$8)), 3)</f>
        <v/>
      </c>
      <c r="L1131" s="78">
        <f>ROUND(K1131*$G$5, 2)</f>
        <v/>
      </c>
      <c r="M1131" s="93">
        <f>INT($G$6/H1131)</f>
        <v/>
      </c>
      <c r="N1131" s="93">
        <f>IF(M1131=0, 0, IF(OR($K$6="Square Grid", M1131=1), INT($G$7/H1131), IF($G$7&lt;H1131, 0, 1+INT(($G$7-H1131)/(0.8660254*H1131)))))</f>
        <v/>
      </c>
      <c r="O1131" s="59">
        <f>IF(OR(M1131=0,N1131=0), 0, IF(OR($K$6="Square Grid", M1131=1), M1131*N1131*$K$5, (INT((N1131+1)/2)*M1131 + INT(N1131/2)*IF(($G$6-M1131*H1131)&gt;=0.5*H1131, M1131, M1131-1))*$K$5))</f>
        <v/>
      </c>
      <c r="P1131" s="59">
        <f>IF(L1131&lt;=0, 0, INT($G$8/L1131))</f>
        <v/>
      </c>
      <c r="Q1131" s="95">
        <f>MIN(O1131, P1131)</f>
        <v/>
      </c>
      <c r="R1131" s="96">
        <f>ROUND((Q1131*L1131)/1000, 2)</f>
        <v/>
      </c>
      <c r="S1131" s="79">
        <f>IF($C$8&gt;0, R1131/$C$8, 0)</f>
        <v/>
      </c>
      <c r="T1131" s="79">
        <f>IF(O1131&gt;0, Q1131/O1131, 0)</f>
        <v/>
      </c>
      <c r="U1131" s="12">
        <f>IF(Q1131=0, "Exceeds Limit", IF(P1131&lt;=O1131, "Weight Limited", "Volume Limited"))</f>
        <v/>
      </c>
      <c r="V1131" s="97">
        <f>B1131&amp;"|"&amp;D1131&amp;"|"&amp;F1131</f>
        <v/>
      </c>
    </row>
    <row r="1132" ht="19" customHeight="1">
      <c r="A1132" s="98" t="n">
        <v>1122</v>
      </c>
      <c r="B1132" s="102" t="inlineStr">
        <is>
          <t>Stainless Steel 316</t>
        </is>
      </c>
      <c r="C1132" s="19" t="inlineStr">
        <is>
          <t>ASME B36.19M / B36.10M</t>
        </is>
      </c>
      <c r="D1132" s="18" t="inlineStr">
        <is>
          <t>24''</t>
        </is>
      </c>
      <c r="E1132" s="98" t="n">
        <v>600</v>
      </c>
      <c r="F1132" s="18" t="inlineStr">
        <is>
          <t>140</t>
        </is>
      </c>
      <c r="G1132" s="20" t="n">
        <v>24</v>
      </c>
      <c r="H1132" s="82" t="n">
        <v>609.6</v>
      </c>
      <c r="I1132" s="20" t="n">
        <v>2.062</v>
      </c>
      <c r="J1132" s="82" t="n">
        <v>52.37</v>
      </c>
      <c r="K1132" s="20">
        <f>ROUND((H1132-J1132)*J1132*IF(B1132="Carbon Steel",$K$7,IF(B1132="Stainless Steel 304",$K$8,$L$8)), 3)</f>
        <v/>
      </c>
      <c r="L1132" s="82">
        <f>ROUND(K1132*$G$5, 2)</f>
        <v/>
      </c>
      <c r="M1132" s="98">
        <f>INT($G$6/H1132)</f>
        <v/>
      </c>
      <c r="N1132" s="98">
        <f>IF(M1132=0, 0, IF(OR($K$6="Square Grid", M1132=1), INT($G$7/H1132), IF($G$7&lt;H1132, 0, 1+INT(($G$7-H1132)/(0.8660254*H1132)))))</f>
        <v/>
      </c>
      <c r="O1132" s="84">
        <f>IF(OR(M1132=0,N1132=0), 0, IF(OR($K$6="Square Grid", M1132=1), M1132*N1132*$K$5, (INT((N1132+1)/2)*M1132 + INT(N1132/2)*IF(($G$6-M1132*H1132)&gt;=0.5*H1132, M1132, M1132-1))*$K$5))</f>
        <v/>
      </c>
      <c r="P1132" s="84">
        <f>IF(L1132&lt;=0, 0, INT($G$8/L1132))</f>
        <v/>
      </c>
      <c r="Q1132" s="95">
        <f>MIN(O1132, P1132)</f>
        <v/>
      </c>
      <c r="R1132" s="96">
        <f>ROUND((Q1132*L1132)/1000, 2)</f>
        <v/>
      </c>
      <c r="S1132" s="85">
        <f>IF($C$8&gt;0, R1132/$C$8, 0)</f>
        <v/>
      </c>
      <c r="T1132" s="85">
        <f>IF(O1132&gt;0, Q1132/O1132, 0)</f>
        <v/>
      </c>
      <c r="U1132" s="18">
        <f>IF(Q1132=0, "Exceeds Limit", IF(P1132&lt;=O1132, "Weight Limited", "Volume Limited"))</f>
        <v/>
      </c>
      <c r="V1132" s="100">
        <f>B1132&amp;"|"&amp;D1132&amp;"|"&amp;F1132</f>
        <v/>
      </c>
    </row>
    <row r="1133" ht="19" customHeight="1">
      <c r="A1133" s="93" t="n">
        <v>1123</v>
      </c>
      <c r="B1133" s="101" t="inlineStr">
        <is>
          <t>Stainless Steel 316</t>
        </is>
      </c>
      <c r="C1133" s="13" t="inlineStr">
        <is>
          <t>ASME B36.19M / B36.10M</t>
        </is>
      </c>
      <c r="D1133" s="12" t="inlineStr">
        <is>
          <t>24''</t>
        </is>
      </c>
      <c r="E1133" s="93" t="n">
        <v>600</v>
      </c>
      <c r="F1133" s="12" t="inlineStr">
        <is>
          <t>160</t>
        </is>
      </c>
      <c r="G1133" s="14" t="n">
        <v>24</v>
      </c>
      <c r="H1133" s="78" t="n">
        <v>609.6</v>
      </c>
      <c r="I1133" s="14" t="n">
        <v>2.344</v>
      </c>
      <c r="J1133" s="78" t="n">
        <v>59.54</v>
      </c>
      <c r="K1133" s="14">
        <f>ROUND((H1133-J1133)*J1133*IF(B1133="Carbon Steel",$K$7,IF(B1133="Stainless Steel 304",$K$8,$L$8)), 3)</f>
        <v/>
      </c>
      <c r="L1133" s="78">
        <f>ROUND(K1133*$G$5, 2)</f>
        <v/>
      </c>
      <c r="M1133" s="93">
        <f>INT($G$6/H1133)</f>
        <v/>
      </c>
      <c r="N1133" s="93">
        <f>IF(M1133=0, 0, IF(OR($K$6="Square Grid", M1133=1), INT($G$7/H1133), IF($G$7&lt;H1133, 0, 1+INT(($G$7-H1133)/(0.8660254*H1133)))))</f>
        <v/>
      </c>
      <c r="O1133" s="59">
        <f>IF(OR(M1133=0,N1133=0), 0, IF(OR($K$6="Square Grid", M1133=1), M1133*N1133*$K$5, (INT((N1133+1)/2)*M1133 + INT(N1133/2)*IF(($G$6-M1133*H1133)&gt;=0.5*H1133, M1133, M1133-1))*$K$5))</f>
        <v/>
      </c>
      <c r="P1133" s="59">
        <f>IF(L1133&lt;=0, 0, INT($G$8/L1133))</f>
        <v/>
      </c>
      <c r="Q1133" s="95">
        <f>MIN(O1133, P1133)</f>
        <v/>
      </c>
      <c r="R1133" s="96">
        <f>ROUND((Q1133*L1133)/1000, 2)</f>
        <v/>
      </c>
      <c r="S1133" s="79">
        <f>IF($C$8&gt;0, R1133/$C$8, 0)</f>
        <v/>
      </c>
      <c r="T1133" s="79">
        <f>IF(O1133&gt;0, Q1133/O1133, 0)</f>
        <v/>
      </c>
      <c r="U1133" s="12">
        <f>IF(Q1133=0, "Exceeds Limit", IF(P1133&lt;=O1133, "Weight Limited", "Volume Limited"))</f>
        <v/>
      </c>
      <c r="V1133" s="97">
        <f>B1133&amp;"|"&amp;D1133&amp;"|"&amp;F1133</f>
        <v/>
      </c>
    </row>
    <row r="1134" ht="19" customHeight="1">
      <c r="A1134" s="98" t="n">
        <v>1124</v>
      </c>
      <c r="B1134" s="102" t="inlineStr">
        <is>
          <t>Stainless Steel 316</t>
        </is>
      </c>
      <c r="C1134" s="19" t="inlineStr">
        <is>
          <t>ASME B36.19M / B36.10M</t>
        </is>
      </c>
      <c r="D1134" s="18" t="inlineStr">
        <is>
          <t>26''</t>
        </is>
      </c>
      <c r="E1134" s="98" t="n">
        <v>650</v>
      </c>
      <c r="F1134" s="18" t="inlineStr">
        <is>
          <t>10</t>
        </is>
      </c>
      <c r="G1134" s="20" t="n">
        <v>26</v>
      </c>
      <c r="H1134" s="82" t="n">
        <v>660.4</v>
      </c>
      <c r="I1134" s="20" t="n">
        <v>0.312</v>
      </c>
      <c r="J1134" s="82" t="n">
        <v>7.92</v>
      </c>
      <c r="K1134" s="20">
        <f>ROUND((H1134-J1134)*J1134*IF(B1134="Carbon Steel",$K$7,IF(B1134="Stainless Steel 304",$K$8,$L$8)), 3)</f>
        <v/>
      </c>
      <c r="L1134" s="82">
        <f>ROUND(K1134*$G$5, 2)</f>
        <v/>
      </c>
      <c r="M1134" s="98">
        <f>INT($G$6/H1134)</f>
        <v/>
      </c>
      <c r="N1134" s="98">
        <f>IF(M1134=0, 0, IF(OR($K$6="Square Grid", M1134=1), INT($G$7/H1134), IF($G$7&lt;H1134, 0, 1+INT(($G$7-H1134)/(0.8660254*H1134)))))</f>
        <v/>
      </c>
      <c r="O1134" s="84">
        <f>IF(OR(M1134=0,N1134=0), 0, IF(OR($K$6="Square Grid", M1134=1), M1134*N1134*$K$5, (INT((N1134+1)/2)*M1134 + INT(N1134/2)*IF(($G$6-M1134*H1134)&gt;=0.5*H1134, M1134, M1134-1))*$K$5))</f>
        <v/>
      </c>
      <c r="P1134" s="84">
        <f>IF(L1134&lt;=0, 0, INT($G$8/L1134))</f>
        <v/>
      </c>
      <c r="Q1134" s="95">
        <f>MIN(O1134, P1134)</f>
        <v/>
      </c>
      <c r="R1134" s="96">
        <f>ROUND((Q1134*L1134)/1000, 2)</f>
        <v/>
      </c>
      <c r="S1134" s="85">
        <f>IF($C$8&gt;0, R1134/$C$8, 0)</f>
        <v/>
      </c>
      <c r="T1134" s="85">
        <f>IF(O1134&gt;0, Q1134/O1134, 0)</f>
        <v/>
      </c>
      <c r="U1134" s="18">
        <f>IF(Q1134=0, "Exceeds Limit", IF(P1134&lt;=O1134, "Weight Limited", "Volume Limited"))</f>
        <v/>
      </c>
      <c r="V1134" s="100">
        <f>B1134&amp;"|"&amp;D1134&amp;"|"&amp;F1134</f>
        <v/>
      </c>
    </row>
    <row r="1135" ht="19" customHeight="1">
      <c r="A1135" s="93" t="n">
        <v>1125</v>
      </c>
      <c r="B1135" s="101" t="inlineStr">
        <is>
          <t>Stainless Steel 316</t>
        </is>
      </c>
      <c r="C1135" s="13" t="inlineStr">
        <is>
          <t>ASME B36.19M / B36.10M</t>
        </is>
      </c>
      <c r="D1135" s="12" t="inlineStr">
        <is>
          <t>26''</t>
        </is>
      </c>
      <c r="E1135" s="93" t="n">
        <v>650</v>
      </c>
      <c r="F1135" s="12" t="inlineStr">
        <is>
          <t>20</t>
        </is>
      </c>
      <c r="G1135" s="14" t="n">
        <v>26</v>
      </c>
      <c r="H1135" s="78" t="n">
        <v>660.4</v>
      </c>
      <c r="I1135" s="14" t="n">
        <v>0.5</v>
      </c>
      <c r="J1135" s="78" t="n">
        <v>12.7</v>
      </c>
      <c r="K1135" s="14">
        <f>ROUND((H1135-J1135)*J1135*IF(B1135="Carbon Steel",$K$7,IF(B1135="Stainless Steel 304",$K$8,$L$8)), 3)</f>
        <v/>
      </c>
      <c r="L1135" s="78">
        <f>ROUND(K1135*$G$5, 2)</f>
        <v/>
      </c>
      <c r="M1135" s="93">
        <f>INT($G$6/H1135)</f>
        <v/>
      </c>
      <c r="N1135" s="93">
        <f>IF(M1135=0, 0, IF(OR($K$6="Square Grid", M1135=1), INT($G$7/H1135), IF($G$7&lt;H1135, 0, 1+INT(($G$7-H1135)/(0.8660254*H1135)))))</f>
        <v/>
      </c>
      <c r="O1135" s="59">
        <f>IF(OR(M1135=0,N1135=0), 0, IF(OR($K$6="Square Grid", M1135=1), M1135*N1135*$K$5, (INT((N1135+1)/2)*M1135 + INT(N1135/2)*IF(($G$6-M1135*H1135)&gt;=0.5*H1135, M1135, M1135-1))*$K$5))</f>
        <v/>
      </c>
      <c r="P1135" s="59">
        <f>IF(L1135&lt;=0, 0, INT($G$8/L1135))</f>
        <v/>
      </c>
      <c r="Q1135" s="95">
        <f>MIN(O1135, P1135)</f>
        <v/>
      </c>
      <c r="R1135" s="96">
        <f>ROUND((Q1135*L1135)/1000, 2)</f>
        <v/>
      </c>
      <c r="S1135" s="79">
        <f>IF($C$8&gt;0, R1135/$C$8, 0)</f>
        <v/>
      </c>
      <c r="T1135" s="79">
        <f>IF(O1135&gt;0, Q1135/O1135, 0)</f>
        <v/>
      </c>
      <c r="U1135" s="12">
        <f>IF(Q1135=0, "Exceeds Limit", IF(P1135&lt;=O1135, "Weight Limited", "Volume Limited"))</f>
        <v/>
      </c>
      <c r="V1135" s="97">
        <f>B1135&amp;"|"&amp;D1135&amp;"|"&amp;F1135</f>
        <v/>
      </c>
    </row>
    <row r="1136" ht="19" customHeight="1">
      <c r="A1136" s="98" t="n">
        <v>1126</v>
      </c>
      <c r="B1136" s="102" t="inlineStr">
        <is>
          <t>Stainless Steel 316</t>
        </is>
      </c>
      <c r="C1136" s="19" t="inlineStr">
        <is>
          <t>ASME B36.19M / B36.10M</t>
        </is>
      </c>
      <c r="D1136" s="18" t="inlineStr">
        <is>
          <t>26''</t>
        </is>
      </c>
      <c r="E1136" s="98" t="n">
        <v>650</v>
      </c>
      <c r="F1136" s="18" t="inlineStr">
        <is>
          <t>STD</t>
        </is>
      </c>
      <c r="G1136" s="20" t="n">
        <v>26</v>
      </c>
      <c r="H1136" s="82" t="n">
        <v>660.4</v>
      </c>
      <c r="I1136" s="20" t="n">
        <v>0.375</v>
      </c>
      <c r="J1136" s="82" t="n">
        <v>9.52</v>
      </c>
      <c r="K1136" s="20">
        <f>ROUND((H1136-J1136)*J1136*IF(B1136="Carbon Steel",$K$7,IF(B1136="Stainless Steel 304",$K$8,$L$8)), 3)</f>
        <v/>
      </c>
      <c r="L1136" s="82">
        <f>ROUND(K1136*$G$5, 2)</f>
        <v/>
      </c>
      <c r="M1136" s="98">
        <f>INT($G$6/H1136)</f>
        <v/>
      </c>
      <c r="N1136" s="98">
        <f>IF(M1136=0, 0, IF(OR($K$6="Square Grid", M1136=1), INT($G$7/H1136), IF($G$7&lt;H1136, 0, 1+INT(($G$7-H1136)/(0.8660254*H1136)))))</f>
        <v/>
      </c>
      <c r="O1136" s="84">
        <f>IF(OR(M1136=0,N1136=0), 0, IF(OR($K$6="Square Grid", M1136=1), M1136*N1136*$K$5, (INT((N1136+1)/2)*M1136 + INT(N1136/2)*IF(($G$6-M1136*H1136)&gt;=0.5*H1136, M1136, M1136-1))*$K$5))</f>
        <v/>
      </c>
      <c r="P1136" s="84">
        <f>IF(L1136&lt;=0, 0, INT($G$8/L1136))</f>
        <v/>
      </c>
      <c r="Q1136" s="95">
        <f>MIN(O1136, P1136)</f>
        <v/>
      </c>
      <c r="R1136" s="96">
        <f>ROUND((Q1136*L1136)/1000, 2)</f>
        <v/>
      </c>
      <c r="S1136" s="85">
        <f>IF($C$8&gt;0, R1136/$C$8, 0)</f>
        <v/>
      </c>
      <c r="T1136" s="85">
        <f>IF(O1136&gt;0, Q1136/O1136, 0)</f>
        <v/>
      </c>
      <c r="U1136" s="18">
        <f>IF(Q1136=0, "Exceeds Limit", IF(P1136&lt;=O1136, "Weight Limited", "Volume Limited"))</f>
        <v/>
      </c>
      <c r="V1136" s="100">
        <f>B1136&amp;"|"&amp;D1136&amp;"|"&amp;F1136</f>
        <v/>
      </c>
    </row>
    <row r="1137" ht="19" customHeight="1">
      <c r="A1137" s="93" t="n">
        <v>1127</v>
      </c>
      <c r="B1137" s="101" t="inlineStr">
        <is>
          <t>Stainless Steel 316</t>
        </is>
      </c>
      <c r="C1137" s="13" t="inlineStr">
        <is>
          <t>ASME B36.19M / B36.10M</t>
        </is>
      </c>
      <c r="D1137" s="12" t="inlineStr">
        <is>
          <t>26''</t>
        </is>
      </c>
      <c r="E1137" s="93" t="n">
        <v>650</v>
      </c>
      <c r="F1137" s="12" t="inlineStr">
        <is>
          <t>XS</t>
        </is>
      </c>
      <c r="G1137" s="14" t="n">
        <v>26</v>
      </c>
      <c r="H1137" s="78" t="n">
        <v>660.4</v>
      </c>
      <c r="I1137" s="14" t="n">
        <v>0.5</v>
      </c>
      <c r="J1137" s="78" t="n">
        <v>12.7</v>
      </c>
      <c r="K1137" s="14">
        <f>ROUND((H1137-J1137)*J1137*IF(B1137="Carbon Steel",$K$7,IF(B1137="Stainless Steel 304",$K$8,$L$8)), 3)</f>
        <v/>
      </c>
      <c r="L1137" s="78">
        <f>ROUND(K1137*$G$5, 2)</f>
        <v/>
      </c>
      <c r="M1137" s="93">
        <f>INT($G$6/H1137)</f>
        <v/>
      </c>
      <c r="N1137" s="93">
        <f>IF(M1137=0, 0, IF(OR($K$6="Square Grid", M1137=1), INT($G$7/H1137), IF($G$7&lt;H1137, 0, 1+INT(($G$7-H1137)/(0.8660254*H1137)))))</f>
        <v/>
      </c>
      <c r="O1137" s="59">
        <f>IF(OR(M1137=0,N1137=0), 0, IF(OR($K$6="Square Grid", M1137=1), M1137*N1137*$K$5, (INT((N1137+1)/2)*M1137 + INT(N1137/2)*IF(($G$6-M1137*H1137)&gt;=0.5*H1137, M1137, M1137-1))*$K$5))</f>
        <v/>
      </c>
      <c r="P1137" s="59">
        <f>IF(L1137&lt;=0, 0, INT($G$8/L1137))</f>
        <v/>
      </c>
      <c r="Q1137" s="95">
        <f>MIN(O1137, P1137)</f>
        <v/>
      </c>
      <c r="R1137" s="96">
        <f>ROUND((Q1137*L1137)/1000, 2)</f>
        <v/>
      </c>
      <c r="S1137" s="79">
        <f>IF($C$8&gt;0, R1137/$C$8, 0)</f>
        <v/>
      </c>
      <c r="T1137" s="79">
        <f>IF(O1137&gt;0, Q1137/O1137, 0)</f>
        <v/>
      </c>
      <c r="U1137" s="12">
        <f>IF(Q1137=0, "Exceeds Limit", IF(P1137&lt;=O1137, "Weight Limited", "Volume Limited"))</f>
        <v/>
      </c>
      <c r="V1137" s="97">
        <f>B1137&amp;"|"&amp;D1137&amp;"|"&amp;F1137</f>
        <v/>
      </c>
    </row>
    <row r="1138" ht="19" customHeight="1">
      <c r="A1138" s="98" t="n">
        <v>1128</v>
      </c>
      <c r="B1138" s="102" t="inlineStr">
        <is>
          <t>Stainless Steel 316</t>
        </is>
      </c>
      <c r="C1138" s="19" t="inlineStr">
        <is>
          <t>ASME B36.19M / B36.10M</t>
        </is>
      </c>
      <c r="D1138" s="18" t="inlineStr">
        <is>
          <t>28''</t>
        </is>
      </c>
      <c r="E1138" s="98" t="n">
        <v>700</v>
      </c>
      <c r="F1138" s="18" t="inlineStr">
        <is>
          <t>10</t>
        </is>
      </c>
      <c r="G1138" s="20" t="n">
        <v>28</v>
      </c>
      <c r="H1138" s="82" t="n">
        <v>711.2</v>
      </c>
      <c r="I1138" s="20" t="n">
        <v>0.312</v>
      </c>
      <c r="J1138" s="82" t="n">
        <v>7.92</v>
      </c>
      <c r="K1138" s="20">
        <f>ROUND((H1138-J1138)*J1138*IF(B1138="Carbon Steel",$K$7,IF(B1138="Stainless Steel 304",$K$8,$L$8)), 3)</f>
        <v/>
      </c>
      <c r="L1138" s="82">
        <f>ROUND(K1138*$G$5, 2)</f>
        <v/>
      </c>
      <c r="M1138" s="98">
        <f>INT($G$6/H1138)</f>
        <v/>
      </c>
      <c r="N1138" s="98">
        <f>IF(M1138=0, 0, IF(OR($K$6="Square Grid", M1138=1), INT($G$7/H1138), IF($G$7&lt;H1138, 0, 1+INT(($G$7-H1138)/(0.8660254*H1138)))))</f>
        <v/>
      </c>
      <c r="O1138" s="84">
        <f>IF(OR(M1138=0,N1138=0), 0, IF(OR($K$6="Square Grid", M1138=1), M1138*N1138*$K$5, (INT((N1138+1)/2)*M1138 + INT(N1138/2)*IF(($G$6-M1138*H1138)&gt;=0.5*H1138, M1138, M1138-1))*$K$5))</f>
        <v/>
      </c>
      <c r="P1138" s="84">
        <f>IF(L1138&lt;=0, 0, INT($G$8/L1138))</f>
        <v/>
      </c>
      <c r="Q1138" s="95">
        <f>MIN(O1138, P1138)</f>
        <v/>
      </c>
      <c r="R1138" s="96">
        <f>ROUND((Q1138*L1138)/1000, 2)</f>
        <v/>
      </c>
      <c r="S1138" s="85">
        <f>IF($C$8&gt;0, R1138/$C$8, 0)</f>
        <v/>
      </c>
      <c r="T1138" s="85">
        <f>IF(O1138&gt;0, Q1138/O1138, 0)</f>
        <v/>
      </c>
      <c r="U1138" s="18">
        <f>IF(Q1138=0, "Exceeds Limit", IF(P1138&lt;=O1138, "Weight Limited", "Volume Limited"))</f>
        <v/>
      </c>
      <c r="V1138" s="100">
        <f>B1138&amp;"|"&amp;D1138&amp;"|"&amp;F1138</f>
        <v/>
      </c>
    </row>
    <row r="1139" ht="19" customHeight="1">
      <c r="A1139" s="93" t="n">
        <v>1129</v>
      </c>
      <c r="B1139" s="101" t="inlineStr">
        <is>
          <t>Stainless Steel 316</t>
        </is>
      </c>
      <c r="C1139" s="13" t="inlineStr">
        <is>
          <t>ASME B36.19M / B36.10M</t>
        </is>
      </c>
      <c r="D1139" s="12" t="inlineStr">
        <is>
          <t>28''</t>
        </is>
      </c>
      <c r="E1139" s="93" t="n">
        <v>700</v>
      </c>
      <c r="F1139" s="12" t="inlineStr">
        <is>
          <t>20</t>
        </is>
      </c>
      <c r="G1139" s="14" t="n">
        <v>28</v>
      </c>
      <c r="H1139" s="78" t="n">
        <v>711.2</v>
      </c>
      <c r="I1139" s="14" t="n">
        <v>0.5</v>
      </c>
      <c r="J1139" s="78" t="n">
        <v>12.7</v>
      </c>
      <c r="K1139" s="14">
        <f>ROUND((H1139-J1139)*J1139*IF(B1139="Carbon Steel",$K$7,IF(B1139="Stainless Steel 304",$K$8,$L$8)), 3)</f>
        <v/>
      </c>
      <c r="L1139" s="78">
        <f>ROUND(K1139*$G$5, 2)</f>
        <v/>
      </c>
      <c r="M1139" s="93">
        <f>INT($G$6/H1139)</f>
        <v/>
      </c>
      <c r="N1139" s="93">
        <f>IF(M1139=0, 0, IF(OR($K$6="Square Grid", M1139=1), INT($G$7/H1139), IF($G$7&lt;H1139, 0, 1+INT(($G$7-H1139)/(0.8660254*H1139)))))</f>
        <v/>
      </c>
      <c r="O1139" s="59">
        <f>IF(OR(M1139=0,N1139=0), 0, IF(OR($K$6="Square Grid", M1139=1), M1139*N1139*$K$5, (INT((N1139+1)/2)*M1139 + INT(N1139/2)*IF(($G$6-M1139*H1139)&gt;=0.5*H1139, M1139, M1139-1))*$K$5))</f>
        <v/>
      </c>
      <c r="P1139" s="59">
        <f>IF(L1139&lt;=0, 0, INT($G$8/L1139))</f>
        <v/>
      </c>
      <c r="Q1139" s="95">
        <f>MIN(O1139, P1139)</f>
        <v/>
      </c>
      <c r="R1139" s="96">
        <f>ROUND((Q1139*L1139)/1000, 2)</f>
        <v/>
      </c>
      <c r="S1139" s="79">
        <f>IF($C$8&gt;0, R1139/$C$8, 0)</f>
        <v/>
      </c>
      <c r="T1139" s="79">
        <f>IF(O1139&gt;0, Q1139/O1139, 0)</f>
        <v/>
      </c>
      <c r="U1139" s="12">
        <f>IF(Q1139=0, "Exceeds Limit", IF(P1139&lt;=O1139, "Weight Limited", "Volume Limited"))</f>
        <v/>
      </c>
      <c r="V1139" s="97">
        <f>B1139&amp;"|"&amp;D1139&amp;"|"&amp;F1139</f>
        <v/>
      </c>
    </row>
    <row r="1140" ht="19" customHeight="1">
      <c r="A1140" s="98" t="n">
        <v>1130</v>
      </c>
      <c r="B1140" s="102" t="inlineStr">
        <is>
          <t>Stainless Steel 316</t>
        </is>
      </c>
      <c r="C1140" s="19" t="inlineStr">
        <is>
          <t>ASME B36.19M / B36.10M</t>
        </is>
      </c>
      <c r="D1140" s="18" t="inlineStr">
        <is>
          <t>28''</t>
        </is>
      </c>
      <c r="E1140" s="98" t="n">
        <v>700</v>
      </c>
      <c r="F1140" s="18" t="inlineStr">
        <is>
          <t>30</t>
        </is>
      </c>
      <c r="G1140" s="20" t="n">
        <v>28</v>
      </c>
      <c r="H1140" s="82" t="n">
        <v>711.2</v>
      </c>
      <c r="I1140" s="20" t="n">
        <v>0.625</v>
      </c>
      <c r="J1140" s="82" t="n">
        <v>15.88</v>
      </c>
      <c r="K1140" s="20">
        <f>ROUND((H1140-J1140)*J1140*IF(B1140="Carbon Steel",$K$7,IF(B1140="Stainless Steel 304",$K$8,$L$8)), 3)</f>
        <v/>
      </c>
      <c r="L1140" s="82">
        <f>ROUND(K1140*$G$5, 2)</f>
        <v/>
      </c>
      <c r="M1140" s="98">
        <f>INT($G$6/H1140)</f>
        <v/>
      </c>
      <c r="N1140" s="98">
        <f>IF(M1140=0, 0, IF(OR($K$6="Square Grid", M1140=1), INT($G$7/H1140), IF($G$7&lt;H1140, 0, 1+INT(($G$7-H1140)/(0.8660254*H1140)))))</f>
        <v/>
      </c>
      <c r="O1140" s="84">
        <f>IF(OR(M1140=0,N1140=0), 0, IF(OR($K$6="Square Grid", M1140=1), M1140*N1140*$K$5, (INT((N1140+1)/2)*M1140 + INT(N1140/2)*IF(($G$6-M1140*H1140)&gt;=0.5*H1140, M1140, M1140-1))*$K$5))</f>
        <v/>
      </c>
      <c r="P1140" s="84">
        <f>IF(L1140&lt;=0, 0, INT($G$8/L1140))</f>
        <v/>
      </c>
      <c r="Q1140" s="95">
        <f>MIN(O1140, P1140)</f>
        <v/>
      </c>
      <c r="R1140" s="96">
        <f>ROUND((Q1140*L1140)/1000, 2)</f>
        <v/>
      </c>
      <c r="S1140" s="85">
        <f>IF($C$8&gt;0, R1140/$C$8, 0)</f>
        <v/>
      </c>
      <c r="T1140" s="85">
        <f>IF(O1140&gt;0, Q1140/O1140, 0)</f>
        <v/>
      </c>
      <c r="U1140" s="18">
        <f>IF(Q1140=0, "Exceeds Limit", IF(P1140&lt;=O1140, "Weight Limited", "Volume Limited"))</f>
        <v/>
      </c>
      <c r="V1140" s="100">
        <f>B1140&amp;"|"&amp;D1140&amp;"|"&amp;F1140</f>
        <v/>
      </c>
    </row>
    <row r="1141" ht="19" customHeight="1">
      <c r="A1141" s="93" t="n">
        <v>1131</v>
      </c>
      <c r="B1141" s="101" t="inlineStr">
        <is>
          <t>Stainless Steel 316</t>
        </is>
      </c>
      <c r="C1141" s="13" t="inlineStr">
        <is>
          <t>ASME B36.19M / B36.10M</t>
        </is>
      </c>
      <c r="D1141" s="12" t="inlineStr">
        <is>
          <t>28''</t>
        </is>
      </c>
      <c r="E1141" s="93" t="n">
        <v>700</v>
      </c>
      <c r="F1141" s="12" t="inlineStr">
        <is>
          <t>STD</t>
        </is>
      </c>
      <c r="G1141" s="14" t="n">
        <v>28</v>
      </c>
      <c r="H1141" s="78" t="n">
        <v>711.2</v>
      </c>
      <c r="I1141" s="14" t="n">
        <v>0.375</v>
      </c>
      <c r="J1141" s="78" t="n">
        <v>9.52</v>
      </c>
      <c r="K1141" s="14">
        <f>ROUND((H1141-J1141)*J1141*IF(B1141="Carbon Steel",$K$7,IF(B1141="Stainless Steel 304",$K$8,$L$8)), 3)</f>
        <v/>
      </c>
      <c r="L1141" s="78">
        <f>ROUND(K1141*$G$5, 2)</f>
        <v/>
      </c>
      <c r="M1141" s="93">
        <f>INT($G$6/H1141)</f>
        <v/>
      </c>
      <c r="N1141" s="93">
        <f>IF(M1141=0, 0, IF(OR($K$6="Square Grid", M1141=1), INT($G$7/H1141), IF($G$7&lt;H1141, 0, 1+INT(($G$7-H1141)/(0.8660254*H1141)))))</f>
        <v/>
      </c>
      <c r="O1141" s="59">
        <f>IF(OR(M1141=0,N1141=0), 0, IF(OR($K$6="Square Grid", M1141=1), M1141*N1141*$K$5, (INT((N1141+1)/2)*M1141 + INT(N1141/2)*IF(($G$6-M1141*H1141)&gt;=0.5*H1141, M1141, M1141-1))*$K$5))</f>
        <v/>
      </c>
      <c r="P1141" s="59">
        <f>IF(L1141&lt;=0, 0, INT($G$8/L1141))</f>
        <v/>
      </c>
      <c r="Q1141" s="95">
        <f>MIN(O1141, P1141)</f>
        <v/>
      </c>
      <c r="R1141" s="96">
        <f>ROUND((Q1141*L1141)/1000, 2)</f>
        <v/>
      </c>
      <c r="S1141" s="79">
        <f>IF($C$8&gt;0, R1141/$C$8, 0)</f>
        <v/>
      </c>
      <c r="T1141" s="79">
        <f>IF(O1141&gt;0, Q1141/O1141, 0)</f>
        <v/>
      </c>
      <c r="U1141" s="12">
        <f>IF(Q1141=0, "Exceeds Limit", IF(P1141&lt;=O1141, "Weight Limited", "Volume Limited"))</f>
        <v/>
      </c>
      <c r="V1141" s="97">
        <f>B1141&amp;"|"&amp;D1141&amp;"|"&amp;F1141</f>
        <v/>
      </c>
    </row>
    <row r="1142" ht="19" customHeight="1">
      <c r="A1142" s="98" t="n">
        <v>1132</v>
      </c>
      <c r="B1142" s="102" t="inlineStr">
        <is>
          <t>Stainless Steel 316</t>
        </is>
      </c>
      <c r="C1142" s="19" t="inlineStr">
        <is>
          <t>ASME B36.19M / B36.10M</t>
        </is>
      </c>
      <c r="D1142" s="18" t="inlineStr">
        <is>
          <t>28''</t>
        </is>
      </c>
      <c r="E1142" s="98" t="n">
        <v>700</v>
      </c>
      <c r="F1142" s="18" t="inlineStr">
        <is>
          <t>XS</t>
        </is>
      </c>
      <c r="G1142" s="20" t="n">
        <v>28</v>
      </c>
      <c r="H1142" s="82" t="n">
        <v>711.2</v>
      </c>
      <c r="I1142" s="20" t="n">
        <v>0.5</v>
      </c>
      <c r="J1142" s="82" t="n">
        <v>12.7</v>
      </c>
      <c r="K1142" s="20">
        <f>ROUND((H1142-J1142)*J1142*IF(B1142="Carbon Steel",$K$7,IF(B1142="Stainless Steel 304",$K$8,$L$8)), 3)</f>
        <v/>
      </c>
      <c r="L1142" s="82">
        <f>ROUND(K1142*$G$5, 2)</f>
        <v/>
      </c>
      <c r="M1142" s="98">
        <f>INT($G$6/H1142)</f>
        <v/>
      </c>
      <c r="N1142" s="98">
        <f>IF(M1142=0, 0, IF(OR($K$6="Square Grid", M1142=1), INT($G$7/H1142), IF($G$7&lt;H1142, 0, 1+INT(($G$7-H1142)/(0.8660254*H1142)))))</f>
        <v/>
      </c>
      <c r="O1142" s="84">
        <f>IF(OR(M1142=0,N1142=0), 0, IF(OR($K$6="Square Grid", M1142=1), M1142*N1142*$K$5, (INT((N1142+1)/2)*M1142 + INT(N1142/2)*IF(($G$6-M1142*H1142)&gt;=0.5*H1142, M1142, M1142-1))*$K$5))</f>
        <v/>
      </c>
      <c r="P1142" s="84">
        <f>IF(L1142&lt;=0, 0, INT($G$8/L1142))</f>
        <v/>
      </c>
      <c r="Q1142" s="95">
        <f>MIN(O1142, P1142)</f>
        <v/>
      </c>
      <c r="R1142" s="96">
        <f>ROUND((Q1142*L1142)/1000, 2)</f>
        <v/>
      </c>
      <c r="S1142" s="85">
        <f>IF($C$8&gt;0, R1142/$C$8, 0)</f>
        <v/>
      </c>
      <c r="T1142" s="85">
        <f>IF(O1142&gt;0, Q1142/O1142, 0)</f>
        <v/>
      </c>
      <c r="U1142" s="18">
        <f>IF(Q1142=0, "Exceeds Limit", IF(P1142&lt;=O1142, "Weight Limited", "Volume Limited"))</f>
        <v/>
      </c>
      <c r="V1142" s="100">
        <f>B1142&amp;"|"&amp;D1142&amp;"|"&amp;F1142</f>
        <v/>
      </c>
    </row>
    <row r="1143" ht="19" customHeight="1">
      <c r="A1143" s="93" t="n">
        <v>1133</v>
      </c>
      <c r="B1143" s="101" t="inlineStr">
        <is>
          <t>Stainless Steel 316</t>
        </is>
      </c>
      <c r="C1143" s="13" t="inlineStr">
        <is>
          <t>ASME B36.19M / B36.10M</t>
        </is>
      </c>
      <c r="D1143" s="12" t="inlineStr">
        <is>
          <t>30''</t>
        </is>
      </c>
      <c r="E1143" s="93" t="n">
        <v>750</v>
      </c>
      <c r="F1143" s="12" t="inlineStr">
        <is>
          <t>5S</t>
        </is>
      </c>
      <c r="G1143" s="14" t="n">
        <v>30</v>
      </c>
      <c r="H1143" s="78" t="n">
        <v>762</v>
      </c>
      <c r="I1143" s="14" t="n">
        <v>0.25</v>
      </c>
      <c r="J1143" s="78" t="n">
        <v>6.35</v>
      </c>
      <c r="K1143" s="14">
        <f>ROUND((H1143-J1143)*J1143*IF(B1143="Carbon Steel",$K$7,IF(B1143="Stainless Steel 304",$K$8,$L$8)), 3)</f>
        <v/>
      </c>
      <c r="L1143" s="78">
        <f>ROUND(K1143*$G$5, 2)</f>
        <v/>
      </c>
      <c r="M1143" s="93">
        <f>INT($G$6/H1143)</f>
        <v/>
      </c>
      <c r="N1143" s="93">
        <f>IF(M1143=0, 0, IF(OR($K$6="Square Grid", M1143=1), INT($G$7/H1143), IF($G$7&lt;H1143, 0, 1+INT(($G$7-H1143)/(0.8660254*H1143)))))</f>
        <v/>
      </c>
      <c r="O1143" s="59">
        <f>IF(OR(M1143=0,N1143=0), 0, IF(OR($K$6="Square Grid", M1143=1), M1143*N1143*$K$5, (INT((N1143+1)/2)*M1143 + INT(N1143/2)*IF(($G$6-M1143*H1143)&gt;=0.5*H1143, M1143, M1143-1))*$K$5))</f>
        <v/>
      </c>
      <c r="P1143" s="59">
        <f>IF(L1143&lt;=0, 0, INT($G$8/L1143))</f>
        <v/>
      </c>
      <c r="Q1143" s="95">
        <f>MIN(O1143, P1143)</f>
        <v/>
      </c>
      <c r="R1143" s="96">
        <f>ROUND((Q1143*L1143)/1000, 2)</f>
        <v/>
      </c>
      <c r="S1143" s="79">
        <f>IF($C$8&gt;0, R1143/$C$8, 0)</f>
        <v/>
      </c>
      <c r="T1143" s="79">
        <f>IF(O1143&gt;0, Q1143/O1143, 0)</f>
        <v/>
      </c>
      <c r="U1143" s="12">
        <f>IF(Q1143=0, "Exceeds Limit", IF(P1143&lt;=O1143, "Weight Limited", "Volume Limited"))</f>
        <v/>
      </c>
      <c r="V1143" s="97">
        <f>B1143&amp;"|"&amp;D1143&amp;"|"&amp;F1143</f>
        <v/>
      </c>
    </row>
    <row r="1144" ht="19" customHeight="1">
      <c r="A1144" s="98" t="n">
        <v>1134</v>
      </c>
      <c r="B1144" s="102" t="inlineStr">
        <is>
          <t>Stainless Steel 316</t>
        </is>
      </c>
      <c r="C1144" s="19" t="inlineStr">
        <is>
          <t>ASME B36.19M / B36.10M</t>
        </is>
      </c>
      <c r="D1144" s="18" t="inlineStr">
        <is>
          <t>30''</t>
        </is>
      </c>
      <c r="E1144" s="98" t="n">
        <v>750</v>
      </c>
      <c r="F1144" s="18" t="inlineStr">
        <is>
          <t>5</t>
        </is>
      </c>
      <c r="G1144" s="20" t="n">
        <v>30</v>
      </c>
      <c r="H1144" s="82" t="n">
        <v>762</v>
      </c>
      <c r="I1144" s="20" t="n">
        <v>0.25</v>
      </c>
      <c r="J1144" s="82" t="n">
        <v>6.35</v>
      </c>
      <c r="K1144" s="20">
        <f>ROUND((H1144-J1144)*J1144*IF(B1144="Carbon Steel",$K$7,IF(B1144="Stainless Steel 304",$K$8,$L$8)), 3)</f>
        <v/>
      </c>
      <c r="L1144" s="82">
        <f>ROUND(K1144*$G$5, 2)</f>
        <v/>
      </c>
      <c r="M1144" s="98">
        <f>INT($G$6/H1144)</f>
        <v/>
      </c>
      <c r="N1144" s="98">
        <f>IF(M1144=0, 0, IF(OR($K$6="Square Grid", M1144=1), INT($G$7/H1144), IF($G$7&lt;H1144, 0, 1+INT(($G$7-H1144)/(0.8660254*H1144)))))</f>
        <v/>
      </c>
      <c r="O1144" s="84">
        <f>IF(OR(M1144=0,N1144=0), 0, IF(OR($K$6="Square Grid", M1144=1), M1144*N1144*$K$5, (INT((N1144+1)/2)*M1144 + INT(N1144/2)*IF(($G$6-M1144*H1144)&gt;=0.5*H1144, M1144, M1144-1))*$K$5))</f>
        <v/>
      </c>
      <c r="P1144" s="84">
        <f>IF(L1144&lt;=0, 0, INT($G$8/L1144))</f>
        <v/>
      </c>
      <c r="Q1144" s="95">
        <f>MIN(O1144, P1144)</f>
        <v/>
      </c>
      <c r="R1144" s="96">
        <f>ROUND((Q1144*L1144)/1000, 2)</f>
        <v/>
      </c>
      <c r="S1144" s="85">
        <f>IF($C$8&gt;0, R1144/$C$8, 0)</f>
        <v/>
      </c>
      <c r="T1144" s="85">
        <f>IF(O1144&gt;0, Q1144/O1144, 0)</f>
        <v/>
      </c>
      <c r="U1144" s="18">
        <f>IF(Q1144=0, "Exceeds Limit", IF(P1144&lt;=O1144, "Weight Limited", "Volume Limited"))</f>
        <v/>
      </c>
      <c r="V1144" s="100">
        <f>B1144&amp;"|"&amp;D1144&amp;"|"&amp;F1144</f>
        <v/>
      </c>
    </row>
    <row r="1145" ht="19" customHeight="1">
      <c r="A1145" s="93" t="n">
        <v>1135</v>
      </c>
      <c r="B1145" s="101" t="inlineStr">
        <is>
          <t>Stainless Steel 316</t>
        </is>
      </c>
      <c r="C1145" s="13" t="inlineStr">
        <is>
          <t>ASME B36.19M / B36.10M</t>
        </is>
      </c>
      <c r="D1145" s="12" t="inlineStr">
        <is>
          <t>30''</t>
        </is>
      </c>
      <c r="E1145" s="93" t="n">
        <v>750</v>
      </c>
      <c r="F1145" s="12" t="inlineStr">
        <is>
          <t>10S</t>
        </is>
      </c>
      <c r="G1145" s="14" t="n">
        <v>30</v>
      </c>
      <c r="H1145" s="78" t="n">
        <v>762</v>
      </c>
      <c r="I1145" s="14" t="n">
        <v>0.312</v>
      </c>
      <c r="J1145" s="78" t="n">
        <v>7.92</v>
      </c>
      <c r="K1145" s="14">
        <f>ROUND((H1145-J1145)*J1145*IF(B1145="Carbon Steel",$K$7,IF(B1145="Stainless Steel 304",$K$8,$L$8)), 3)</f>
        <v/>
      </c>
      <c r="L1145" s="78">
        <f>ROUND(K1145*$G$5, 2)</f>
        <v/>
      </c>
      <c r="M1145" s="93">
        <f>INT($G$6/H1145)</f>
        <v/>
      </c>
      <c r="N1145" s="93">
        <f>IF(M1145=0, 0, IF(OR($K$6="Square Grid", M1145=1), INT($G$7/H1145), IF($G$7&lt;H1145, 0, 1+INT(($G$7-H1145)/(0.8660254*H1145)))))</f>
        <v/>
      </c>
      <c r="O1145" s="59">
        <f>IF(OR(M1145=0,N1145=0), 0, IF(OR($K$6="Square Grid", M1145=1), M1145*N1145*$K$5, (INT((N1145+1)/2)*M1145 + INT(N1145/2)*IF(($G$6-M1145*H1145)&gt;=0.5*H1145, M1145, M1145-1))*$K$5))</f>
        <v/>
      </c>
      <c r="P1145" s="59">
        <f>IF(L1145&lt;=0, 0, INT($G$8/L1145))</f>
        <v/>
      </c>
      <c r="Q1145" s="95">
        <f>MIN(O1145, P1145)</f>
        <v/>
      </c>
      <c r="R1145" s="96">
        <f>ROUND((Q1145*L1145)/1000, 2)</f>
        <v/>
      </c>
      <c r="S1145" s="79">
        <f>IF($C$8&gt;0, R1145/$C$8, 0)</f>
        <v/>
      </c>
      <c r="T1145" s="79">
        <f>IF(O1145&gt;0, Q1145/O1145, 0)</f>
        <v/>
      </c>
      <c r="U1145" s="12">
        <f>IF(Q1145=0, "Exceeds Limit", IF(P1145&lt;=O1145, "Weight Limited", "Volume Limited"))</f>
        <v/>
      </c>
      <c r="V1145" s="97">
        <f>B1145&amp;"|"&amp;D1145&amp;"|"&amp;F1145</f>
        <v/>
      </c>
    </row>
    <row r="1146" ht="19" customHeight="1">
      <c r="A1146" s="98" t="n">
        <v>1136</v>
      </c>
      <c r="B1146" s="102" t="inlineStr">
        <is>
          <t>Stainless Steel 316</t>
        </is>
      </c>
      <c r="C1146" s="19" t="inlineStr">
        <is>
          <t>ASME B36.19M / B36.10M</t>
        </is>
      </c>
      <c r="D1146" s="18" t="inlineStr">
        <is>
          <t>30''</t>
        </is>
      </c>
      <c r="E1146" s="98" t="n">
        <v>750</v>
      </c>
      <c r="F1146" s="18" t="inlineStr">
        <is>
          <t>10</t>
        </is>
      </c>
      <c r="G1146" s="20" t="n">
        <v>30</v>
      </c>
      <c r="H1146" s="82" t="n">
        <v>762</v>
      </c>
      <c r="I1146" s="20" t="n">
        <v>0.312</v>
      </c>
      <c r="J1146" s="82" t="n">
        <v>7.92</v>
      </c>
      <c r="K1146" s="20">
        <f>ROUND((H1146-J1146)*J1146*IF(B1146="Carbon Steel",$K$7,IF(B1146="Stainless Steel 304",$K$8,$L$8)), 3)</f>
        <v/>
      </c>
      <c r="L1146" s="82">
        <f>ROUND(K1146*$G$5, 2)</f>
        <v/>
      </c>
      <c r="M1146" s="98">
        <f>INT($G$6/H1146)</f>
        <v/>
      </c>
      <c r="N1146" s="98">
        <f>IF(M1146=0, 0, IF(OR($K$6="Square Grid", M1146=1), INT($G$7/H1146), IF($G$7&lt;H1146, 0, 1+INT(($G$7-H1146)/(0.8660254*H1146)))))</f>
        <v/>
      </c>
      <c r="O1146" s="84">
        <f>IF(OR(M1146=0,N1146=0), 0, IF(OR($K$6="Square Grid", M1146=1), M1146*N1146*$K$5, (INT((N1146+1)/2)*M1146 + INT(N1146/2)*IF(($G$6-M1146*H1146)&gt;=0.5*H1146, M1146, M1146-1))*$K$5))</f>
        <v/>
      </c>
      <c r="P1146" s="84">
        <f>IF(L1146&lt;=0, 0, INT($G$8/L1146))</f>
        <v/>
      </c>
      <c r="Q1146" s="95">
        <f>MIN(O1146, P1146)</f>
        <v/>
      </c>
      <c r="R1146" s="96">
        <f>ROUND((Q1146*L1146)/1000, 2)</f>
        <v/>
      </c>
      <c r="S1146" s="85">
        <f>IF($C$8&gt;0, R1146/$C$8, 0)</f>
        <v/>
      </c>
      <c r="T1146" s="85">
        <f>IF(O1146&gt;0, Q1146/O1146, 0)</f>
        <v/>
      </c>
      <c r="U1146" s="18">
        <f>IF(Q1146=0, "Exceeds Limit", IF(P1146&lt;=O1146, "Weight Limited", "Volume Limited"))</f>
        <v/>
      </c>
      <c r="V1146" s="100">
        <f>B1146&amp;"|"&amp;D1146&amp;"|"&amp;F1146</f>
        <v/>
      </c>
    </row>
    <row r="1147" ht="19" customHeight="1">
      <c r="A1147" s="93" t="n">
        <v>1137</v>
      </c>
      <c r="B1147" s="101" t="inlineStr">
        <is>
          <t>Stainless Steel 316</t>
        </is>
      </c>
      <c r="C1147" s="13" t="inlineStr">
        <is>
          <t>ASME B36.19M / B36.10M</t>
        </is>
      </c>
      <c r="D1147" s="12" t="inlineStr">
        <is>
          <t>30''</t>
        </is>
      </c>
      <c r="E1147" s="93" t="n">
        <v>750</v>
      </c>
      <c r="F1147" s="12" t="inlineStr">
        <is>
          <t>20</t>
        </is>
      </c>
      <c r="G1147" s="14" t="n">
        <v>30</v>
      </c>
      <c r="H1147" s="78" t="n">
        <v>762</v>
      </c>
      <c r="I1147" s="14" t="n">
        <v>0.5</v>
      </c>
      <c r="J1147" s="78" t="n">
        <v>12.7</v>
      </c>
      <c r="K1147" s="14">
        <f>ROUND((H1147-J1147)*J1147*IF(B1147="Carbon Steel",$K$7,IF(B1147="Stainless Steel 304",$K$8,$L$8)), 3)</f>
        <v/>
      </c>
      <c r="L1147" s="78">
        <f>ROUND(K1147*$G$5, 2)</f>
        <v/>
      </c>
      <c r="M1147" s="93">
        <f>INT($G$6/H1147)</f>
        <v/>
      </c>
      <c r="N1147" s="93">
        <f>IF(M1147=0, 0, IF(OR($K$6="Square Grid", M1147=1), INT($G$7/H1147), IF($G$7&lt;H1147, 0, 1+INT(($G$7-H1147)/(0.8660254*H1147)))))</f>
        <v/>
      </c>
      <c r="O1147" s="59">
        <f>IF(OR(M1147=0,N1147=0), 0, IF(OR($K$6="Square Grid", M1147=1), M1147*N1147*$K$5, (INT((N1147+1)/2)*M1147 + INT(N1147/2)*IF(($G$6-M1147*H1147)&gt;=0.5*H1147, M1147, M1147-1))*$K$5))</f>
        <v/>
      </c>
      <c r="P1147" s="59">
        <f>IF(L1147&lt;=0, 0, INT($G$8/L1147))</f>
        <v/>
      </c>
      <c r="Q1147" s="95">
        <f>MIN(O1147, P1147)</f>
        <v/>
      </c>
      <c r="R1147" s="96">
        <f>ROUND((Q1147*L1147)/1000, 2)</f>
        <v/>
      </c>
      <c r="S1147" s="79">
        <f>IF($C$8&gt;0, R1147/$C$8, 0)</f>
        <v/>
      </c>
      <c r="T1147" s="79">
        <f>IF(O1147&gt;0, Q1147/O1147, 0)</f>
        <v/>
      </c>
      <c r="U1147" s="12">
        <f>IF(Q1147=0, "Exceeds Limit", IF(P1147&lt;=O1147, "Weight Limited", "Volume Limited"))</f>
        <v/>
      </c>
      <c r="V1147" s="97">
        <f>B1147&amp;"|"&amp;D1147&amp;"|"&amp;F1147</f>
        <v/>
      </c>
    </row>
    <row r="1148" ht="19" customHeight="1">
      <c r="A1148" s="98" t="n">
        <v>1138</v>
      </c>
      <c r="B1148" s="102" t="inlineStr">
        <is>
          <t>Stainless Steel 316</t>
        </is>
      </c>
      <c r="C1148" s="19" t="inlineStr">
        <is>
          <t>ASME B36.19M / B36.10M</t>
        </is>
      </c>
      <c r="D1148" s="18" t="inlineStr">
        <is>
          <t>30''</t>
        </is>
      </c>
      <c r="E1148" s="98" t="n">
        <v>750</v>
      </c>
      <c r="F1148" s="18" t="inlineStr">
        <is>
          <t>30</t>
        </is>
      </c>
      <c r="G1148" s="20" t="n">
        <v>30</v>
      </c>
      <c r="H1148" s="82" t="n">
        <v>762</v>
      </c>
      <c r="I1148" s="20" t="n">
        <v>0.625</v>
      </c>
      <c r="J1148" s="82" t="n">
        <v>15.88</v>
      </c>
      <c r="K1148" s="20">
        <f>ROUND((H1148-J1148)*J1148*IF(B1148="Carbon Steel",$K$7,IF(B1148="Stainless Steel 304",$K$8,$L$8)), 3)</f>
        <v/>
      </c>
      <c r="L1148" s="82">
        <f>ROUND(K1148*$G$5, 2)</f>
        <v/>
      </c>
      <c r="M1148" s="98">
        <f>INT($G$6/H1148)</f>
        <v/>
      </c>
      <c r="N1148" s="98">
        <f>IF(M1148=0, 0, IF(OR($K$6="Square Grid", M1148=1), INT($G$7/H1148), IF($G$7&lt;H1148, 0, 1+INT(($G$7-H1148)/(0.8660254*H1148)))))</f>
        <v/>
      </c>
      <c r="O1148" s="84">
        <f>IF(OR(M1148=0,N1148=0), 0, IF(OR($K$6="Square Grid", M1148=1), M1148*N1148*$K$5, (INT((N1148+1)/2)*M1148 + INT(N1148/2)*IF(($G$6-M1148*H1148)&gt;=0.5*H1148, M1148, M1148-1))*$K$5))</f>
        <v/>
      </c>
      <c r="P1148" s="84">
        <f>IF(L1148&lt;=0, 0, INT($G$8/L1148))</f>
        <v/>
      </c>
      <c r="Q1148" s="95">
        <f>MIN(O1148, P1148)</f>
        <v/>
      </c>
      <c r="R1148" s="96">
        <f>ROUND((Q1148*L1148)/1000, 2)</f>
        <v/>
      </c>
      <c r="S1148" s="85">
        <f>IF($C$8&gt;0, R1148/$C$8, 0)</f>
        <v/>
      </c>
      <c r="T1148" s="85">
        <f>IF(O1148&gt;0, Q1148/O1148, 0)</f>
        <v/>
      </c>
      <c r="U1148" s="18">
        <f>IF(Q1148=0, "Exceeds Limit", IF(P1148&lt;=O1148, "Weight Limited", "Volume Limited"))</f>
        <v/>
      </c>
      <c r="V1148" s="100">
        <f>B1148&amp;"|"&amp;D1148&amp;"|"&amp;F1148</f>
        <v/>
      </c>
    </row>
    <row r="1149" ht="19" customHeight="1">
      <c r="A1149" s="93" t="n">
        <v>1139</v>
      </c>
      <c r="B1149" s="101" t="inlineStr">
        <is>
          <t>Stainless Steel 316</t>
        </is>
      </c>
      <c r="C1149" s="13" t="inlineStr">
        <is>
          <t>ASME B36.19M / B36.10M</t>
        </is>
      </c>
      <c r="D1149" s="12" t="inlineStr">
        <is>
          <t>30''</t>
        </is>
      </c>
      <c r="E1149" s="93" t="n">
        <v>750</v>
      </c>
      <c r="F1149" s="12" t="inlineStr">
        <is>
          <t>40S</t>
        </is>
      </c>
      <c r="G1149" s="14" t="n">
        <v>30</v>
      </c>
      <c r="H1149" s="78" t="n">
        <v>762</v>
      </c>
      <c r="I1149" s="14" t="n">
        <v>0.375</v>
      </c>
      <c r="J1149" s="78" t="n">
        <v>9.52</v>
      </c>
      <c r="K1149" s="14">
        <f>ROUND((H1149-J1149)*J1149*IF(B1149="Carbon Steel",$K$7,IF(B1149="Stainless Steel 304",$K$8,$L$8)), 3)</f>
        <v/>
      </c>
      <c r="L1149" s="78">
        <f>ROUND(K1149*$G$5, 2)</f>
        <v/>
      </c>
      <c r="M1149" s="93">
        <f>INT($G$6/H1149)</f>
        <v/>
      </c>
      <c r="N1149" s="93">
        <f>IF(M1149=0, 0, IF(OR($K$6="Square Grid", M1149=1), INT($G$7/H1149), IF($G$7&lt;H1149, 0, 1+INT(($G$7-H1149)/(0.8660254*H1149)))))</f>
        <v/>
      </c>
      <c r="O1149" s="59">
        <f>IF(OR(M1149=0,N1149=0), 0, IF(OR($K$6="Square Grid", M1149=1), M1149*N1149*$K$5, (INT((N1149+1)/2)*M1149 + INT(N1149/2)*IF(($G$6-M1149*H1149)&gt;=0.5*H1149, M1149, M1149-1))*$K$5))</f>
        <v/>
      </c>
      <c r="P1149" s="59">
        <f>IF(L1149&lt;=0, 0, INT($G$8/L1149))</f>
        <v/>
      </c>
      <c r="Q1149" s="95">
        <f>MIN(O1149, P1149)</f>
        <v/>
      </c>
      <c r="R1149" s="96">
        <f>ROUND((Q1149*L1149)/1000, 2)</f>
        <v/>
      </c>
      <c r="S1149" s="79">
        <f>IF($C$8&gt;0, R1149/$C$8, 0)</f>
        <v/>
      </c>
      <c r="T1149" s="79">
        <f>IF(O1149&gt;0, Q1149/O1149, 0)</f>
        <v/>
      </c>
      <c r="U1149" s="12">
        <f>IF(Q1149=0, "Exceeds Limit", IF(P1149&lt;=O1149, "Weight Limited", "Volume Limited"))</f>
        <v/>
      </c>
      <c r="V1149" s="97">
        <f>B1149&amp;"|"&amp;D1149&amp;"|"&amp;F1149</f>
        <v/>
      </c>
    </row>
    <row r="1150" ht="19" customHeight="1">
      <c r="A1150" s="98" t="n">
        <v>1140</v>
      </c>
      <c r="B1150" s="102" t="inlineStr">
        <is>
          <t>Stainless Steel 316</t>
        </is>
      </c>
      <c r="C1150" s="19" t="inlineStr">
        <is>
          <t>ASME B36.19M / B36.10M</t>
        </is>
      </c>
      <c r="D1150" s="18" t="inlineStr">
        <is>
          <t>30''</t>
        </is>
      </c>
      <c r="E1150" s="98" t="n">
        <v>750</v>
      </c>
      <c r="F1150" s="18" t="inlineStr">
        <is>
          <t>STD</t>
        </is>
      </c>
      <c r="G1150" s="20" t="n">
        <v>30</v>
      </c>
      <c r="H1150" s="82" t="n">
        <v>762</v>
      </c>
      <c r="I1150" s="20" t="n">
        <v>0.375</v>
      </c>
      <c r="J1150" s="82" t="n">
        <v>9.52</v>
      </c>
      <c r="K1150" s="20">
        <f>ROUND((H1150-J1150)*J1150*IF(B1150="Carbon Steel",$K$7,IF(B1150="Stainless Steel 304",$K$8,$L$8)), 3)</f>
        <v/>
      </c>
      <c r="L1150" s="82">
        <f>ROUND(K1150*$G$5, 2)</f>
        <v/>
      </c>
      <c r="M1150" s="98">
        <f>INT($G$6/H1150)</f>
        <v/>
      </c>
      <c r="N1150" s="98">
        <f>IF(M1150=0, 0, IF(OR($K$6="Square Grid", M1150=1), INT($G$7/H1150), IF($G$7&lt;H1150, 0, 1+INT(($G$7-H1150)/(0.8660254*H1150)))))</f>
        <v/>
      </c>
      <c r="O1150" s="84">
        <f>IF(OR(M1150=0,N1150=0), 0, IF(OR($K$6="Square Grid", M1150=1), M1150*N1150*$K$5, (INT((N1150+1)/2)*M1150 + INT(N1150/2)*IF(($G$6-M1150*H1150)&gt;=0.5*H1150, M1150, M1150-1))*$K$5))</f>
        <v/>
      </c>
      <c r="P1150" s="84">
        <f>IF(L1150&lt;=0, 0, INT($G$8/L1150))</f>
        <v/>
      </c>
      <c r="Q1150" s="95">
        <f>MIN(O1150, P1150)</f>
        <v/>
      </c>
      <c r="R1150" s="96">
        <f>ROUND((Q1150*L1150)/1000, 2)</f>
        <v/>
      </c>
      <c r="S1150" s="85">
        <f>IF($C$8&gt;0, R1150/$C$8, 0)</f>
        <v/>
      </c>
      <c r="T1150" s="85">
        <f>IF(O1150&gt;0, Q1150/O1150, 0)</f>
        <v/>
      </c>
      <c r="U1150" s="18">
        <f>IF(Q1150=0, "Exceeds Limit", IF(P1150&lt;=O1150, "Weight Limited", "Volume Limited"))</f>
        <v/>
      </c>
      <c r="V1150" s="100">
        <f>B1150&amp;"|"&amp;D1150&amp;"|"&amp;F1150</f>
        <v/>
      </c>
    </row>
    <row r="1151" ht="19" customHeight="1">
      <c r="A1151" s="93" t="n">
        <v>1141</v>
      </c>
      <c r="B1151" s="101" t="inlineStr">
        <is>
          <t>Stainless Steel 316</t>
        </is>
      </c>
      <c r="C1151" s="13" t="inlineStr">
        <is>
          <t>ASME B36.19M / B36.10M</t>
        </is>
      </c>
      <c r="D1151" s="12" t="inlineStr">
        <is>
          <t>30''</t>
        </is>
      </c>
      <c r="E1151" s="93" t="n">
        <v>750</v>
      </c>
      <c r="F1151" s="12" t="inlineStr">
        <is>
          <t>80S</t>
        </is>
      </c>
      <c r="G1151" s="14" t="n">
        <v>30</v>
      </c>
      <c r="H1151" s="78" t="n">
        <v>762</v>
      </c>
      <c r="I1151" s="14" t="n">
        <v>0.5</v>
      </c>
      <c r="J1151" s="78" t="n">
        <v>12.7</v>
      </c>
      <c r="K1151" s="14">
        <f>ROUND((H1151-J1151)*J1151*IF(B1151="Carbon Steel",$K$7,IF(B1151="Stainless Steel 304",$K$8,$L$8)), 3)</f>
        <v/>
      </c>
      <c r="L1151" s="78">
        <f>ROUND(K1151*$G$5, 2)</f>
        <v/>
      </c>
      <c r="M1151" s="93">
        <f>INT($G$6/H1151)</f>
        <v/>
      </c>
      <c r="N1151" s="93">
        <f>IF(M1151=0, 0, IF(OR($K$6="Square Grid", M1151=1), INT($G$7/H1151), IF($G$7&lt;H1151, 0, 1+INT(($G$7-H1151)/(0.8660254*H1151)))))</f>
        <v/>
      </c>
      <c r="O1151" s="59">
        <f>IF(OR(M1151=0,N1151=0), 0, IF(OR($K$6="Square Grid", M1151=1), M1151*N1151*$K$5, (INT((N1151+1)/2)*M1151 + INT(N1151/2)*IF(($G$6-M1151*H1151)&gt;=0.5*H1151, M1151, M1151-1))*$K$5))</f>
        <v/>
      </c>
      <c r="P1151" s="59">
        <f>IF(L1151&lt;=0, 0, INT($G$8/L1151))</f>
        <v/>
      </c>
      <c r="Q1151" s="95">
        <f>MIN(O1151, P1151)</f>
        <v/>
      </c>
      <c r="R1151" s="96">
        <f>ROUND((Q1151*L1151)/1000, 2)</f>
        <v/>
      </c>
      <c r="S1151" s="79">
        <f>IF($C$8&gt;0, R1151/$C$8, 0)</f>
        <v/>
      </c>
      <c r="T1151" s="79">
        <f>IF(O1151&gt;0, Q1151/O1151, 0)</f>
        <v/>
      </c>
      <c r="U1151" s="12">
        <f>IF(Q1151=0, "Exceeds Limit", IF(P1151&lt;=O1151, "Weight Limited", "Volume Limited"))</f>
        <v/>
      </c>
      <c r="V1151" s="97">
        <f>B1151&amp;"|"&amp;D1151&amp;"|"&amp;F1151</f>
        <v/>
      </c>
    </row>
    <row r="1152" ht="19" customHeight="1">
      <c r="A1152" s="98" t="n">
        <v>1142</v>
      </c>
      <c r="B1152" s="102" t="inlineStr">
        <is>
          <t>Stainless Steel 316</t>
        </is>
      </c>
      <c r="C1152" s="19" t="inlineStr">
        <is>
          <t>ASME B36.19M / B36.10M</t>
        </is>
      </c>
      <c r="D1152" s="18" t="inlineStr">
        <is>
          <t>30''</t>
        </is>
      </c>
      <c r="E1152" s="98" t="n">
        <v>750</v>
      </c>
      <c r="F1152" s="18" t="inlineStr">
        <is>
          <t>XS</t>
        </is>
      </c>
      <c r="G1152" s="20" t="n">
        <v>30</v>
      </c>
      <c r="H1152" s="82" t="n">
        <v>762</v>
      </c>
      <c r="I1152" s="20" t="n">
        <v>0.5</v>
      </c>
      <c r="J1152" s="82" t="n">
        <v>12.7</v>
      </c>
      <c r="K1152" s="20">
        <f>ROUND((H1152-J1152)*J1152*IF(B1152="Carbon Steel",$K$7,IF(B1152="Stainless Steel 304",$K$8,$L$8)), 3)</f>
        <v/>
      </c>
      <c r="L1152" s="82">
        <f>ROUND(K1152*$G$5, 2)</f>
        <v/>
      </c>
      <c r="M1152" s="98">
        <f>INT($G$6/H1152)</f>
        <v/>
      </c>
      <c r="N1152" s="98">
        <f>IF(M1152=0, 0, IF(OR($K$6="Square Grid", M1152=1), INT($G$7/H1152), IF($G$7&lt;H1152, 0, 1+INT(($G$7-H1152)/(0.8660254*H1152)))))</f>
        <v/>
      </c>
      <c r="O1152" s="84">
        <f>IF(OR(M1152=0,N1152=0), 0, IF(OR($K$6="Square Grid", M1152=1), M1152*N1152*$K$5, (INT((N1152+1)/2)*M1152 + INT(N1152/2)*IF(($G$6-M1152*H1152)&gt;=0.5*H1152, M1152, M1152-1))*$K$5))</f>
        <v/>
      </c>
      <c r="P1152" s="84">
        <f>IF(L1152&lt;=0, 0, INT($G$8/L1152))</f>
        <v/>
      </c>
      <c r="Q1152" s="95">
        <f>MIN(O1152, P1152)</f>
        <v/>
      </c>
      <c r="R1152" s="96">
        <f>ROUND((Q1152*L1152)/1000, 2)</f>
        <v/>
      </c>
      <c r="S1152" s="85">
        <f>IF($C$8&gt;0, R1152/$C$8, 0)</f>
        <v/>
      </c>
      <c r="T1152" s="85">
        <f>IF(O1152&gt;0, Q1152/O1152, 0)</f>
        <v/>
      </c>
      <c r="U1152" s="18">
        <f>IF(Q1152=0, "Exceeds Limit", IF(P1152&lt;=O1152, "Weight Limited", "Volume Limited"))</f>
        <v/>
      </c>
      <c r="V1152" s="100">
        <f>B1152&amp;"|"&amp;D1152&amp;"|"&amp;F1152</f>
        <v/>
      </c>
    </row>
    <row r="1153" ht="19" customHeight="1">
      <c r="A1153" s="93" t="n">
        <v>1143</v>
      </c>
      <c r="B1153" s="101" t="inlineStr">
        <is>
          <t>Stainless Steel 316</t>
        </is>
      </c>
      <c r="C1153" s="13" t="inlineStr">
        <is>
          <t>ASME B36.19M / B36.10M</t>
        </is>
      </c>
      <c r="D1153" s="12" t="inlineStr">
        <is>
          <t>32''</t>
        </is>
      </c>
      <c r="E1153" s="93" t="n">
        <v>800</v>
      </c>
      <c r="F1153" s="12" t="inlineStr">
        <is>
          <t>10</t>
        </is>
      </c>
      <c r="G1153" s="14" t="n">
        <v>32</v>
      </c>
      <c r="H1153" s="78" t="n">
        <v>812.8</v>
      </c>
      <c r="I1153" s="14" t="n">
        <v>0.312</v>
      </c>
      <c r="J1153" s="78" t="n">
        <v>7.92</v>
      </c>
      <c r="K1153" s="14">
        <f>ROUND((H1153-J1153)*J1153*IF(B1153="Carbon Steel",$K$7,IF(B1153="Stainless Steel 304",$K$8,$L$8)), 3)</f>
        <v/>
      </c>
      <c r="L1153" s="78">
        <f>ROUND(K1153*$G$5, 2)</f>
        <v/>
      </c>
      <c r="M1153" s="93">
        <f>INT($G$6/H1153)</f>
        <v/>
      </c>
      <c r="N1153" s="93">
        <f>IF(M1153=0, 0, IF(OR($K$6="Square Grid", M1153=1), INT($G$7/H1153), IF($G$7&lt;H1153, 0, 1+INT(($G$7-H1153)/(0.8660254*H1153)))))</f>
        <v/>
      </c>
      <c r="O1153" s="59">
        <f>IF(OR(M1153=0,N1153=0), 0, IF(OR($K$6="Square Grid", M1153=1), M1153*N1153*$K$5, (INT((N1153+1)/2)*M1153 + INT(N1153/2)*IF(($G$6-M1153*H1153)&gt;=0.5*H1153, M1153, M1153-1))*$K$5))</f>
        <v/>
      </c>
      <c r="P1153" s="59">
        <f>IF(L1153&lt;=0, 0, INT($G$8/L1153))</f>
        <v/>
      </c>
      <c r="Q1153" s="95">
        <f>MIN(O1153, P1153)</f>
        <v/>
      </c>
      <c r="R1153" s="96">
        <f>ROUND((Q1153*L1153)/1000, 2)</f>
        <v/>
      </c>
      <c r="S1153" s="79">
        <f>IF($C$8&gt;0, R1153/$C$8, 0)</f>
        <v/>
      </c>
      <c r="T1153" s="79">
        <f>IF(O1153&gt;0, Q1153/O1153, 0)</f>
        <v/>
      </c>
      <c r="U1153" s="12">
        <f>IF(Q1153=0, "Exceeds Limit", IF(P1153&lt;=O1153, "Weight Limited", "Volume Limited"))</f>
        <v/>
      </c>
      <c r="V1153" s="97">
        <f>B1153&amp;"|"&amp;D1153&amp;"|"&amp;F1153</f>
        <v/>
      </c>
    </row>
    <row r="1154" ht="19" customHeight="1">
      <c r="A1154" s="98" t="n">
        <v>1144</v>
      </c>
      <c r="B1154" s="102" t="inlineStr">
        <is>
          <t>Stainless Steel 316</t>
        </is>
      </c>
      <c r="C1154" s="19" t="inlineStr">
        <is>
          <t>ASME B36.19M / B36.10M</t>
        </is>
      </c>
      <c r="D1154" s="18" t="inlineStr">
        <is>
          <t>32''</t>
        </is>
      </c>
      <c r="E1154" s="98" t="n">
        <v>800</v>
      </c>
      <c r="F1154" s="18" t="inlineStr">
        <is>
          <t>20</t>
        </is>
      </c>
      <c r="G1154" s="20" t="n">
        <v>32</v>
      </c>
      <c r="H1154" s="82" t="n">
        <v>812.8</v>
      </c>
      <c r="I1154" s="20" t="n">
        <v>0.5</v>
      </c>
      <c r="J1154" s="82" t="n">
        <v>12.7</v>
      </c>
      <c r="K1154" s="20">
        <f>ROUND((H1154-J1154)*J1154*IF(B1154="Carbon Steel",$K$7,IF(B1154="Stainless Steel 304",$K$8,$L$8)), 3)</f>
        <v/>
      </c>
      <c r="L1154" s="82">
        <f>ROUND(K1154*$G$5, 2)</f>
        <v/>
      </c>
      <c r="M1154" s="98">
        <f>INT($G$6/H1154)</f>
        <v/>
      </c>
      <c r="N1154" s="98">
        <f>IF(M1154=0, 0, IF(OR($K$6="Square Grid", M1154=1), INT($G$7/H1154), IF($G$7&lt;H1154, 0, 1+INT(($G$7-H1154)/(0.8660254*H1154)))))</f>
        <v/>
      </c>
      <c r="O1154" s="84">
        <f>IF(OR(M1154=0,N1154=0), 0, IF(OR($K$6="Square Grid", M1154=1), M1154*N1154*$K$5, (INT((N1154+1)/2)*M1154 + INT(N1154/2)*IF(($G$6-M1154*H1154)&gt;=0.5*H1154, M1154, M1154-1))*$K$5))</f>
        <v/>
      </c>
      <c r="P1154" s="84">
        <f>IF(L1154&lt;=0, 0, INT($G$8/L1154))</f>
        <v/>
      </c>
      <c r="Q1154" s="95">
        <f>MIN(O1154, P1154)</f>
        <v/>
      </c>
      <c r="R1154" s="96">
        <f>ROUND((Q1154*L1154)/1000, 2)</f>
        <v/>
      </c>
      <c r="S1154" s="85">
        <f>IF($C$8&gt;0, R1154/$C$8, 0)</f>
        <v/>
      </c>
      <c r="T1154" s="85">
        <f>IF(O1154&gt;0, Q1154/O1154, 0)</f>
        <v/>
      </c>
      <c r="U1154" s="18">
        <f>IF(Q1154=0, "Exceeds Limit", IF(P1154&lt;=O1154, "Weight Limited", "Volume Limited"))</f>
        <v/>
      </c>
      <c r="V1154" s="100">
        <f>B1154&amp;"|"&amp;D1154&amp;"|"&amp;F1154</f>
        <v/>
      </c>
    </row>
    <row r="1155" ht="19" customHeight="1">
      <c r="A1155" s="93" t="n">
        <v>1145</v>
      </c>
      <c r="B1155" s="101" t="inlineStr">
        <is>
          <t>Stainless Steel 316</t>
        </is>
      </c>
      <c r="C1155" s="13" t="inlineStr">
        <is>
          <t>ASME B36.19M / B36.10M</t>
        </is>
      </c>
      <c r="D1155" s="12" t="inlineStr">
        <is>
          <t>32''</t>
        </is>
      </c>
      <c r="E1155" s="93" t="n">
        <v>800</v>
      </c>
      <c r="F1155" s="12" t="inlineStr">
        <is>
          <t>30</t>
        </is>
      </c>
      <c r="G1155" s="14" t="n">
        <v>32</v>
      </c>
      <c r="H1155" s="78" t="n">
        <v>812.8</v>
      </c>
      <c r="I1155" s="14" t="n">
        <v>0.625</v>
      </c>
      <c r="J1155" s="78" t="n">
        <v>15.88</v>
      </c>
      <c r="K1155" s="14">
        <f>ROUND((H1155-J1155)*J1155*IF(B1155="Carbon Steel",$K$7,IF(B1155="Stainless Steel 304",$K$8,$L$8)), 3)</f>
        <v/>
      </c>
      <c r="L1155" s="78">
        <f>ROUND(K1155*$G$5, 2)</f>
        <v/>
      </c>
      <c r="M1155" s="93">
        <f>INT($G$6/H1155)</f>
        <v/>
      </c>
      <c r="N1155" s="93">
        <f>IF(M1155=0, 0, IF(OR($K$6="Square Grid", M1155=1), INT($G$7/H1155), IF($G$7&lt;H1155, 0, 1+INT(($G$7-H1155)/(0.8660254*H1155)))))</f>
        <v/>
      </c>
      <c r="O1155" s="59">
        <f>IF(OR(M1155=0,N1155=0), 0, IF(OR($K$6="Square Grid", M1155=1), M1155*N1155*$K$5, (INT((N1155+1)/2)*M1155 + INT(N1155/2)*IF(($G$6-M1155*H1155)&gt;=0.5*H1155, M1155, M1155-1))*$K$5))</f>
        <v/>
      </c>
      <c r="P1155" s="59">
        <f>IF(L1155&lt;=0, 0, INT($G$8/L1155))</f>
        <v/>
      </c>
      <c r="Q1155" s="95">
        <f>MIN(O1155, P1155)</f>
        <v/>
      </c>
      <c r="R1155" s="96">
        <f>ROUND((Q1155*L1155)/1000, 2)</f>
        <v/>
      </c>
      <c r="S1155" s="79">
        <f>IF($C$8&gt;0, R1155/$C$8, 0)</f>
        <v/>
      </c>
      <c r="T1155" s="79">
        <f>IF(O1155&gt;0, Q1155/O1155, 0)</f>
        <v/>
      </c>
      <c r="U1155" s="12">
        <f>IF(Q1155=0, "Exceeds Limit", IF(P1155&lt;=O1155, "Weight Limited", "Volume Limited"))</f>
        <v/>
      </c>
      <c r="V1155" s="97">
        <f>B1155&amp;"|"&amp;D1155&amp;"|"&amp;F1155</f>
        <v/>
      </c>
    </row>
    <row r="1156" ht="19" customHeight="1">
      <c r="A1156" s="98" t="n">
        <v>1146</v>
      </c>
      <c r="B1156" s="102" t="inlineStr">
        <is>
          <t>Stainless Steel 316</t>
        </is>
      </c>
      <c r="C1156" s="19" t="inlineStr">
        <is>
          <t>ASME B36.19M / B36.10M</t>
        </is>
      </c>
      <c r="D1156" s="18" t="inlineStr">
        <is>
          <t>32''</t>
        </is>
      </c>
      <c r="E1156" s="98" t="n">
        <v>800</v>
      </c>
      <c r="F1156" s="18" t="inlineStr">
        <is>
          <t>STD</t>
        </is>
      </c>
      <c r="G1156" s="20" t="n">
        <v>32</v>
      </c>
      <c r="H1156" s="82" t="n">
        <v>812.8</v>
      </c>
      <c r="I1156" s="20" t="n">
        <v>0.375</v>
      </c>
      <c r="J1156" s="82" t="n">
        <v>9.52</v>
      </c>
      <c r="K1156" s="20">
        <f>ROUND((H1156-J1156)*J1156*IF(B1156="Carbon Steel",$K$7,IF(B1156="Stainless Steel 304",$K$8,$L$8)), 3)</f>
        <v/>
      </c>
      <c r="L1156" s="82">
        <f>ROUND(K1156*$G$5, 2)</f>
        <v/>
      </c>
      <c r="M1156" s="98">
        <f>INT($G$6/H1156)</f>
        <v/>
      </c>
      <c r="N1156" s="98">
        <f>IF(M1156=0, 0, IF(OR($K$6="Square Grid", M1156=1), INT($G$7/H1156), IF($G$7&lt;H1156, 0, 1+INT(($G$7-H1156)/(0.8660254*H1156)))))</f>
        <v/>
      </c>
      <c r="O1156" s="84">
        <f>IF(OR(M1156=0,N1156=0), 0, IF(OR($K$6="Square Grid", M1156=1), M1156*N1156*$K$5, (INT((N1156+1)/2)*M1156 + INT(N1156/2)*IF(($G$6-M1156*H1156)&gt;=0.5*H1156, M1156, M1156-1))*$K$5))</f>
        <v/>
      </c>
      <c r="P1156" s="84">
        <f>IF(L1156&lt;=0, 0, INT($G$8/L1156))</f>
        <v/>
      </c>
      <c r="Q1156" s="95">
        <f>MIN(O1156, P1156)</f>
        <v/>
      </c>
      <c r="R1156" s="96">
        <f>ROUND((Q1156*L1156)/1000, 2)</f>
        <v/>
      </c>
      <c r="S1156" s="85">
        <f>IF($C$8&gt;0, R1156/$C$8, 0)</f>
        <v/>
      </c>
      <c r="T1156" s="85">
        <f>IF(O1156&gt;0, Q1156/O1156, 0)</f>
        <v/>
      </c>
      <c r="U1156" s="18">
        <f>IF(Q1156=0, "Exceeds Limit", IF(P1156&lt;=O1156, "Weight Limited", "Volume Limited"))</f>
        <v/>
      </c>
      <c r="V1156" s="100">
        <f>B1156&amp;"|"&amp;D1156&amp;"|"&amp;F1156</f>
        <v/>
      </c>
    </row>
    <row r="1157" ht="19" customHeight="1">
      <c r="A1157" s="93" t="n">
        <v>1147</v>
      </c>
      <c r="B1157" s="101" t="inlineStr">
        <is>
          <t>Stainless Steel 316</t>
        </is>
      </c>
      <c r="C1157" s="13" t="inlineStr">
        <is>
          <t>ASME B36.19M / B36.10M</t>
        </is>
      </c>
      <c r="D1157" s="12" t="inlineStr">
        <is>
          <t>32''</t>
        </is>
      </c>
      <c r="E1157" s="93" t="n">
        <v>800</v>
      </c>
      <c r="F1157" s="12" t="inlineStr">
        <is>
          <t>40</t>
        </is>
      </c>
      <c r="G1157" s="14" t="n">
        <v>32</v>
      </c>
      <c r="H1157" s="78" t="n">
        <v>812.8</v>
      </c>
      <c r="I1157" s="14" t="n">
        <v>0.6879999999999999</v>
      </c>
      <c r="J1157" s="78" t="n">
        <v>17.48</v>
      </c>
      <c r="K1157" s="14">
        <f>ROUND((H1157-J1157)*J1157*IF(B1157="Carbon Steel",$K$7,IF(B1157="Stainless Steel 304",$K$8,$L$8)), 3)</f>
        <v/>
      </c>
      <c r="L1157" s="78">
        <f>ROUND(K1157*$G$5, 2)</f>
        <v/>
      </c>
      <c r="M1157" s="93">
        <f>INT($G$6/H1157)</f>
        <v/>
      </c>
      <c r="N1157" s="93">
        <f>IF(M1157=0, 0, IF(OR($K$6="Square Grid", M1157=1), INT($G$7/H1157), IF($G$7&lt;H1157, 0, 1+INT(($G$7-H1157)/(0.8660254*H1157)))))</f>
        <v/>
      </c>
      <c r="O1157" s="59">
        <f>IF(OR(M1157=0,N1157=0), 0, IF(OR($K$6="Square Grid", M1157=1), M1157*N1157*$K$5, (INT((N1157+1)/2)*M1157 + INT(N1157/2)*IF(($G$6-M1157*H1157)&gt;=0.5*H1157, M1157, M1157-1))*$K$5))</f>
        <v/>
      </c>
      <c r="P1157" s="59">
        <f>IF(L1157&lt;=0, 0, INT($G$8/L1157))</f>
        <v/>
      </c>
      <c r="Q1157" s="95">
        <f>MIN(O1157, P1157)</f>
        <v/>
      </c>
      <c r="R1157" s="96">
        <f>ROUND((Q1157*L1157)/1000, 2)</f>
        <v/>
      </c>
      <c r="S1157" s="79">
        <f>IF($C$8&gt;0, R1157/$C$8, 0)</f>
        <v/>
      </c>
      <c r="T1157" s="79">
        <f>IF(O1157&gt;0, Q1157/O1157, 0)</f>
        <v/>
      </c>
      <c r="U1157" s="12">
        <f>IF(Q1157=0, "Exceeds Limit", IF(P1157&lt;=O1157, "Weight Limited", "Volume Limited"))</f>
        <v/>
      </c>
      <c r="V1157" s="97">
        <f>B1157&amp;"|"&amp;D1157&amp;"|"&amp;F1157</f>
        <v/>
      </c>
    </row>
    <row r="1158" ht="19" customHeight="1">
      <c r="A1158" s="98" t="n">
        <v>1148</v>
      </c>
      <c r="B1158" s="102" t="inlineStr">
        <is>
          <t>Stainless Steel 316</t>
        </is>
      </c>
      <c r="C1158" s="19" t="inlineStr">
        <is>
          <t>ASME B36.19M / B36.10M</t>
        </is>
      </c>
      <c r="D1158" s="18" t="inlineStr">
        <is>
          <t>32''</t>
        </is>
      </c>
      <c r="E1158" s="98" t="n">
        <v>800</v>
      </c>
      <c r="F1158" s="18" t="inlineStr">
        <is>
          <t>XS</t>
        </is>
      </c>
      <c r="G1158" s="20" t="n">
        <v>32</v>
      </c>
      <c r="H1158" s="82" t="n">
        <v>812.8</v>
      </c>
      <c r="I1158" s="20" t="n">
        <v>0.5</v>
      </c>
      <c r="J1158" s="82" t="n">
        <v>12.7</v>
      </c>
      <c r="K1158" s="20">
        <f>ROUND((H1158-J1158)*J1158*IF(B1158="Carbon Steel",$K$7,IF(B1158="Stainless Steel 304",$K$8,$L$8)), 3)</f>
        <v/>
      </c>
      <c r="L1158" s="82">
        <f>ROUND(K1158*$G$5, 2)</f>
        <v/>
      </c>
      <c r="M1158" s="98">
        <f>INT($G$6/H1158)</f>
        <v/>
      </c>
      <c r="N1158" s="98">
        <f>IF(M1158=0, 0, IF(OR($K$6="Square Grid", M1158=1), INT($G$7/H1158), IF($G$7&lt;H1158, 0, 1+INT(($G$7-H1158)/(0.8660254*H1158)))))</f>
        <v/>
      </c>
      <c r="O1158" s="84">
        <f>IF(OR(M1158=0,N1158=0), 0, IF(OR($K$6="Square Grid", M1158=1), M1158*N1158*$K$5, (INT((N1158+1)/2)*M1158 + INT(N1158/2)*IF(($G$6-M1158*H1158)&gt;=0.5*H1158, M1158, M1158-1))*$K$5))</f>
        <v/>
      </c>
      <c r="P1158" s="84">
        <f>IF(L1158&lt;=0, 0, INT($G$8/L1158))</f>
        <v/>
      </c>
      <c r="Q1158" s="95">
        <f>MIN(O1158, P1158)</f>
        <v/>
      </c>
      <c r="R1158" s="96">
        <f>ROUND((Q1158*L1158)/1000, 2)</f>
        <v/>
      </c>
      <c r="S1158" s="85">
        <f>IF($C$8&gt;0, R1158/$C$8, 0)</f>
        <v/>
      </c>
      <c r="T1158" s="85">
        <f>IF(O1158&gt;0, Q1158/O1158, 0)</f>
        <v/>
      </c>
      <c r="U1158" s="18">
        <f>IF(Q1158=0, "Exceeds Limit", IF(P1158&lt;=O1158, "Weight Limited", "Volume Limited"))</f>
        <v/>
      </c>
      <c r="V1158" s="100">
        <f>B1158&amp;"|"&amp;D1158&amp;"|"&amp;F1158</f>
        <v/>
      </c>
    </row>
    <row r="1159" ht="19" customHeight="1">
      <c r="A1159" s="93" t="n">
        <v>1149</v>
      </c>
      <c r="B1159" s="101" t="inlineStr">
        <is>
          <t>Stainless Steel 316</t>
        </is>
      </c>
      <c r="C1159" s="13" t="inlineStr">
        <is>
          <t>ASME B36.19M / B36.10M</t>
        </is>
      </c>
      <c r="D1159" s="12" t="inlineStr">
        <is>
          <t>34''</t>
        </is>
      </c>
      <c r="E1159" s="93" t="n">
        <v>850</v>
      </c>
      <c r="F1159" s="12" t="inlineStr">
        <is>
          <t>10</t>
        </is>
      </c>
      <c r="G1159" s="14" t="n">
        <v>34</v>
      </c>
      <c r="H1159" s="78" t="n">
        <v>863.6</v>
      </c>
      <c r="I1159" s="14" t="n">
        <v>0.312</v>
      </c>
      <c r="J1159" s="78" t="n">
        <v>7.92</v>
      </c>
      <c r="K1159" s="14">
        <f>ROUND((H1159-J1159)*J1159*IF(B1159="Carbon Steel",$K$7,IF(B1159="Stainless Steel 304",$K$8,$L$8)), 3)</f>
        <v/>
      </c>
      <c r="L1159" s="78">
        <f>ROUND(K1159*$G$5, 2)</f>
        <v/>
      </c>
      <c r="M1159" s="93">
        <f>INT($G$6/H1159)</f>
        <v/>
      </c>
      <c r="N1159" s="93">
        <f>IF(M1159=0, 0, IF(OR($K$6="Square Grid", M1159=1), INT($G$7/H1159), IF($G$7&lt;H1159, 0, 1+INT(($G$7-H1159)/(0.8660254*H1159)))))</f>
        <v/>
      </c>
      <c r="O1159" s="59">
        <f>IF(OR(M1159=0,N1159=0), 0, IF(OR($K$6="Square Grid", M1159=1), M1159*N1159*$K$5, (INT((N1159+1)/2)*M1159 + INT(N1159/2)*IF(($G$6-M1159*H1159)&gt;=0.5*H1159, M1159, M1159-1))*$K$5))</f>
        <v/>
      </c>
      <c r="P1159" s="59">
        <f>IF(L1159&lt;=0, 0, INT($G$8/L1159))</f>
        <v/>
      </c>
      <c r="Q1159" s="95">
        <f>MIN(O1159, P1159)</f>
        <v/>
      </c>
      <c r="R1159" s="96">
        <f>ROUND((Q1159*L1159)/1000, 2)</f>
        <v/>
      </c>
      <c r="S1159" s="79">
        <f>IF($C$8&gt;0, R1159/$C$8, 0)</f>
        <v/>
      </c>
      <c r="T1159" s="79">
        <f>IF(O1159&gt;0, Q1159/O1159, 0)</f>
        <v/>
      </c>
      <c r="U1159" s="12">
        <f>IF(Q1159=0, "Exceeds Limit", IF(P1159&lt;=O1159, "Weight Limited", "Volume Limited"))</f>
        <v/>
      </c>
      <c r="V1159" s="97">
        <f>B1159&amp;"|"&amp;D1159&amp;"|"&amp;F1159</f>
        <v/>
      </c>
    </row>
    <row r="1160" ht="19" customHeight="1">
      <c r="A1160" s="98" t="n">
        <v>1150</v>
      </c>
      <c r="B1160" s="102" t="inlineStr">
        <is>
          <t>Stainless Steel 316</t>
        </is>
      </c>
      <c r="C1160" s="19" t="inlineStr">
        <is>
          <t>ASME B36.19M / B36.10M</t>
        </is>
      </c>
      <c r="D1160" s="18" t="inlineStr">
        <is>
          <t>34''</t>
        </is>
      </c>
      <c r="E1160" s="98" t="n">
        <v>850</v>
      </c>
      <c r="F1160" s="18" t="inlineStr">
        <is>
          <t>20</t>
        </is>
      </c>
      <c r="G1160" s="20" t="n">
        <v>34</v>
      </c>
      <c r="H1160" s="82" t="n">
        <v>863.6</v>
      </c>
      <c r="I1160" s="20" t="n">
        <v>0.5</v>
      </c>
      <c r="J1160" s="82" t="n">
        <v>12.7</v>
      </c>
      <c r="K1160" s="20">
        <f>ROUND((H1160-J1160)*J1160*IF(B1160="Carbon Steel",$K$7,IF(B1160="Stainless Steel 304",$K$8,$L$8)), 3)</f>
        <v/>
      </c>
      <c r="L1160" s="82">
        <f>ROUND(K1160*$G$5, 2)</f>
        <v/>
      </c>
      <c r="M1160" s="98">
        <f>INT($G$6/H1160)</f>
        <v/>
      </c>
      <c r="N1160" s="98">
        <f>IF(M1160=0, 0, IF(OR($K$6="Square Grid", M1160=1), INT($G$7/H1160), IF($G$7&lt;H1160, 0, 1+INT(($G$7-H1160)/(0.8660254*H1160)))))</f>
        <v/>
      </c>
      <c r="O1160" s="84">
        <f>IF(OR(M1160=0,N1160=0), 0, IF(OR($K$6="Square Grid", M1160=1), M1160*N1160*$K$5, (INT((N1160+1)/2)*M1160 + INT(N1160/2)*IF(($G$6-M1160*H1160)&gt;=0.5*H1160, M1160, M1160-1))*$K$5))</f>
        <v/>
      </c>
      <c r="P1160" s="84">
        <f>IF(L1160&lt;=0, 0, INT($G$8/L1160))</f>
        <v/>
      </c>
      <c r="Q1160" s="95">
        <f>MIN(O1160, P1160)</f>
        <v/>
      </c>
      <c r="R1160" s="96">
        <f>ROUND((Q1160*L1160)/1000, 2)</f>
        <v/>
      </c>
      <c r="S1160" s="85">
        <f>IF($C$8&gt;0, R1160/$C$8, 0)</f>
        <v/>
      </c>
      <c r="T1160" s="85">
        <f>IF(O1160&gt;0, Q1160/O1160, 0)</f>
        <v/>
      </c>
      <c r="U1160" s="18">
        <f>IF(Q1160=0, "Exceeds Limit", IF(P1160&lt;=O1160, "Weight Limited", "Volume Limited"))</f>
        <v/>
      </c>
      <c r="V1160" s="100">
        <f>B1160&amp;"|"&amp;D1160&amp;"|"&amp;F1160</f>
        <v/>
      </c>
    </row>
    <row r="1161" ht="19" customHeight="1">
      <c r="A1161" s="93" t="n">
        <v>1151</v>
      </c>
      <c r="B1161" s="101" t="inlineStr">
        <is>
          <t>Stainless Steel 316</t>
        </is>
      </c>
      <c r="C1161" s="13" t="inlineStr">
        <is>
          <t>ASME B36.19M / B36.10M</t>
        </is>
      </c>
      <c r="D1161" s="12" t="inlineStr">
        <is>
          <t>34''</t>
        </is>
      </c>
      <c r="E1161" s="93" t="n">
        <v>850</v>
      </c>
      <c r="F1161" s="12" t="inlineStr">
        <is>
          <t>30</t>
        </is>
      </c>
      <c r="G1161" s="14" t="n">
        <v>34</v>
      </c>
      <c r="H1161" s="78" t="n">
        <v>863.6</v>
      </c>
      <c r="I1161" s="14" t="n">
        <v>0.625</v>
      </c>
      <c r="J1161" s="78" t="n">
        <v>15.88</v>
      </c>
      <c r="K1161" s="14">
        <f>ROUND((H1161-J1161)*J1161*IF(B1161="Carbon Steel",$K$7,IF(B1161="Stainless Steel 304",$K$8,$L$8)), 3)</f>
        <v/>
      </c>
      <c r="L1161" s="78">
        <f>ROUND(K1161*$G$5, 2)</f>
        <v/>
      </c>
      <c r="M1161" s="93">
        <f>INT($G$6/H1161)</f>
        <v/>
      </c>
      <c r="N1161" s="93">
        <f>IF(M1161=0, 0, IF(OR($K$6="Square Grid", M1161=1), INT($G$7/H1161), IF($G$7&lt;H1161, 0, 1+INT(($G$7-H1161)/(0.8660254*H1161)))))</f>
        <v/>
      </c>
      <c r="O1161" s="59">
        <f>IF(OR(M1161=0,N1161=0), 0, IF(OR($K$6="Square Grid", M1161=1), M1161*N1161*$K$5, (INT((N1161+1)/2)*M1161 + INT(N1161/2)*IF(($G$6-M1161*H1161)&gt;=0.5*H1161, M1161, M1161-1))*$K$5))</f>
        <v/>
      </c>
      <c r="P1161" s="59">
        <f>IF(L1161&lt;=0, 0, INT($G$8/L1161))</f>
        <v/>
      </c>
      <c r="Q1161" s="95">
        <f>MIN(O1161, P1161)</f>
        <v/>
      </c>
      <c r="R1161" s="96">
        <f>ROUND((Q1161*L1161)/1000, 2)</f>
        <v/>
      </c>
      <c r="S1161" s="79">
        <f>IF($C$8&gt;0, R1161/$C$8, 0)</f>
        <v/>
      </c>
      <c r="T1161" s="79">
        <f>IF(O1161&gt;0, Q1161/O1161, 0)</f>
        <v/>
      </c>
      <c r="U1161" s="12">
        <f>IF(Q1161=0, "Exceeds Limit", IF(P1161&lt;=O1161, "Weight Limited", "Volume Limited"))</f>
        <v/>
      </c>
      <c r="V1161" s="97">
        <f>B1161&amp;"|"&amp;D1161&amp;"|"&amp;F1161</f>
        <v/>
      </c>
    </row>
    <row r="1162" ht="19" customHeight="1">
      <c r="A1162" s="98" t="n">
        <v>1152</v>
      </c>
      <c r="B1162" s="102" t="inlineStr">
        <is>
          <t>Stainless Steel 316</t>
        </is>
      </c>
      <c r="C1162" s="19" t="inlineStr">
        <is>
          <t>ASME B36.19M / B36.10M</t>
        </is>
      </c>
      <c r="D1162" s="18" t="inlineStr">
        <is>
          <t>34''</t>
        </is>
      </c>
      <c r="E1162" s="98" t="n">
        <v>850</v>
      </c>
      <c r="F1162" s="18" t="inlineStr">
        <is>
          <t>STD</t>
        </is>
      </c>
      <c r="G1162" s="20" t="n">
        <v>34</v>
      </c>
      <c r="H1162" s="82" t="n">
        <v>863.6</v>
      </c>
      <c r="I1162" s="20" t="n">
        <v>0.375</v>
      </c>
      <c r="J1162" s="82" t="n">
        <v>9.52</v>
      </c>
      <c r="K1162" s="20">
        <f>ROUND((H1162-J1162)*J1162*IF(B1162="Carbon Steel",$K$7,IF(B1162="Stainless Steel 304",$K$8,$L$8)), 3)</f>
        <v/>
      </c>
      <c r="L1162" s="82">
        <f>ROUND(K1162*$G$5, 2)</f>
        <v/>
      </c>
      <c r="M1162" s="98">
        <f>INT($G$6/H1162)</f>
        <v/>
      </c>
      <c r="N1162" s="98">
        <f>IF(M1162=0, 0, IF(OR($K$6="Square Grid", M1162=1), INT($G$7/H1162), IF($G$7&lt;H1162, 0, 1+INT(($G$7-H1162)/(0.8660254*H1162)))))</f>
        <v/>
      </c>
      <c r="O1162" s="84">
        <f>IF(OR(M1162=0,N1162=0), 0, IF(OR($K$6="Square Grid", M1162=1), M1162*N1162*$K$5, (INT((N1162+1)/2)*M1162 + INT(N1162/2)*IF(($G$6-M1162*H1162)&gt;=0.5*H1162, M1162, M1162-1))*$K$5))</f>
        <v/>
      </c>
      <c r="P1162" s="84">
        <f>IF(L1162&lt;=0, 0, INT($G$8/L1162))</f>
        <v/>
      </c>
      <c r="Q1162" s="95">
        <f>MIN(O1162, P1162)</f>
        <v/>
      </c>
      <c r="R1162" s="96">
        <f>ROUND((Q1162*L1162)/1000, 2)</f>
        <v/>
      </c>
      <c r="S1162" s="85">
        <f>IF($C$8&gt;0, R1162/$C$8, 0)</f>
        <v/>
      </c>
      <c r="T1162" s="85">
        <f>IF(O1162&gt;0, Q1162/O1162, 0)</f>
        <v/>
      </c>
      <c r="U1162" s="18">
        <f>IF(Q1162=0, "Exceeds Limit", IF(P1162&lt;=O1162, "Weight Limited", "Volume Limited"))</f>
        <v/>
      </c>
      <c r="V1162" s="100">
        <f>B1162&amp;"|"&amp;D1162&amp;"|"&amp;F1162</f>
        <v/>
      </c>
    </row>
    <row r="1163" ht="19" customHeight="1">
      <c r="A1163" s="93" t="n">
        <v>1153</v>
      </c>
      <c r="B1163" s="101" t="inlineStr">
        <is>
          <t>Stainless Steel 316</t>
        </is>
      </c>
      <c r="C1163" s="13" t="inlineStr">
        <is>
          <t>ASME B36.19M / B36.10M</t>
        </is>
      </c>
      <c r="D1163" s="12" t="inlineStr">
        <is>
          <t>34''</t>
        </is>
      </c>
      <c r="E1163" s="93" t="n">
        <v>850</v>
      </c>
      <c r="F1163" s="12" t="inlineStr">
        <is>
          <t>40</t>
        </is>
      </c>
      <c r="G1163" s="14" t="n">
        <v>34</v>
      </c>
      <c r="H1163" s="78" t="n">
        <v>863.6</v>
      </c>
      <c r="I1163" s="14" t="n">
        <v>0.6879999999999999</v>
      </c>
      <c r="J1163" s="78" t="n">
        <v>17.48</v>
      </c>
      <c r="K1163" s="14">
        <f>ROUND((H1163-J1163)*J1163*IF(B1163="Carbon Steel",$K$7,IF(B1163="Stainless Steel 304",$K$8,$L$8)), 3)</f>
        <v/>
      </c>
      <c r="L1163" s="78">
        <f>ROUND(K1163*$G$5, 2)</f>
        <v/>
      </c>
      <c r="M1163" s="93">
        <f>INT($G$6/H1163)</f>
        <v/>
      </c>
      <c r="N1163" s="93">
        <f>IF(M1163=0, 0, IF(OR($K$6="Square Grid", M1163=1), INT($G$7/H1163), IF($G$7&lt;H1163, 0, 1+INT(($G$7-H1163)/(0.8660254*H1163)))))</f>
        <v/>
      </c>
      <c r="O1163" s="59">
        <f>IF(OR(M1163=0,N1163=0), 0, IF(OR($K$6="Square Grid", M1163=1), M1163*N1163*$K$5, (INT((N1163+1)/2)*M1163 + INT(N1163/2)*IF(($G$6-M1163*H1163)&gt;=0.5*H1163, M1163, M1163-1))*$K$5))</f>
        <v/>
      </c>
      <c r="P1163" s="59">
        <f>IF(L1163&lt;=0, 0, INT($G$8/L1163))</f>
        <v/>
      </c>
      <c r="Q1163" s="95">
        <f>MIN(O1163, P1163)</f>
        <v/>
      </c>
      <c r="R1163" s="96">
        <f>ROUND((Q1163*L1163)/1000, 2)</f>
        <v/>
      </c>
      <c r="S1163" s="79">
        <f>IF($C$8&gt;0, R1163/$C$8, 0)</f>
        <v/>
      </c>
      <c r="T1163" s="79">
        <f>IF(O1163&gt;0, Q1163/O1163, 0)</f>
        <v/>
      </c>
      <c r="U1163" s="12">
        <f>IF(Q1163=0, "Exceeds Limit", IF(P1163&lt;=O1163, "Weight Limited", "Volume Limited"))</f>
        <v/>
      </c>
      <c r="V1163" s="97">
        <f>B1163&amp;"|"&amp;D1163&amp;"|"&amp;F1163</f>
        <v/>
      </c>
    </row>
    <row r="1164" ht="19" customHeight="1">
      <c r="A1164" s="98" t="n">
        <v>1154</v>
      </c>
      <c r="B1164" s="102" t="inlineStr">
        <is>
          <t>Stainless Steel 316</t>
        </is>
      </c>
      <c r="C1164" s="19" t="inlineStr">
        <is>
          <t>ASME B36.19M / B36.10M</t>
        </is>
      </c>
      <c r="D1164" s="18" t="inlineStr">
        <is>
          <t>34''</t>
        </is>
      </c>
      <c r="E1164" s="98" t="n">
        <v>850</v>
      </c>
      <c r="F1164" s="18" t="inlineStr">
        <is>
          <t>XS</t>
        </is>
      </c>
      <c r="G1164" s="20" t="n">
        <v>34</v>
      </c>
      <c r="H1164" s="82" t="n">
        <v>863.6</v>
      </c>
      <c r="I1164" s="20" t="n">
        <v>0.5</v>
      </c>
      <c r="J1164" s="82" t="n">
        <v>12.7</v>
      </c>
      <c r="K1164" s="20">
        <f>ROUND((H1164-J1164)*J1164*IF(B1164="Carbon Steel",$K$7,IF(B1164="Stainless Steel 304",$K$8,$L$8)), 3)</f>
        <v/>
      </c>
      <c r="L1164" s="82">
        <f>ROUND(K1164*$G$5, 2)</f>
        <v/>
      </c>
      <c r="M1164" s="98">
        <f>INT($G$6/H1164)</f>
        <v/>
      </c>
      <c r="N1164" s="98">
        <f>IF(M1164=0, 0, IF(OR($K$6="Square Grid", M1164=1), INT($G$7/H1164), IF($G$7&lt;H1164, 0, 1+INT(($G$7-H1164)/(0.8660254*H1164)))))</f>
        <v/>
      </c>
      <c r="O1164" s="84">
        <f>IF(OR(M1164=0,N1164=0), 0, IF(OR($K$6="Square Grid", M1164=1), M1164*N1164*$K$5, (INT((N1164+1)/2)*M1164 + INT(N1164/2)*IF(($G$6-M1164*H1164)&gt;=0.5*H1164, M1164, M1164-1))*$K$5))</f>
        <v/>
      </c>
      <c r="P1164" s="84">
        <f>IF(L1164&lt;=0, 0, INT($G$8/L1164))</f>
        <v/>
      </c>
      <c r="Q1164" s="95">
        <f>MIN(O1164, P1164)</f>
        <v/>
      </c>
      <c r="R1164" s="96">
        <f>ROUND((Q1164*L1164)/1000, 2)</f>
        <v/>
      </c>
      <c r="S1164" s="85">
        <f>IF($C$8&gt;0, R1164/$C$8, 0)</f>
        <v/>
      </c>
      <c r="T1164" s="85">
        <f>IF(O1164&gt;0, Q1164/O1164, 0)</f>
        <v/>
      </c>
      <c r="U1164" s="18">
        <f>IF(Q1164=0, "Exceeds Limit", IF(P1164&lt;=O1164, "Weight Limited", "Volume Limited"))</f>
        <v/>
      </c>
      <c r="V1164" s="100">
        <f>B1164&amp;"|"&amp;D1164&amp;"|"&amp;F1164</f>
        <v/>
      </c>
    </row>
    <row r="1165" ht="19" customHeight="1">
      <c r="A1165" s="93" t="n">
        <v>1155</v>
      </c>
      <c r="B1165" s="101" t="inlineStr">
        <is>
          <t>Stainless Steel 316</t>
        </is>
      </c>
      <c r="C1165" s="13" t="inlineStr">
        <is>
          <t>ASME B36.19M / B36.10M</t>
        </is>
      </c>
      <c r="D1165" s="12" t="inlineStr">
        <is>
          <t>36''</t>
        </is>
      </c>
      <c r="E1165" s="93" t="n">
        <v>900</v>
      </c>
      <c r="F1165" s="12" t="inlineStr">
        <is>
          <t>10</t>
        </is>
      </c>
      <c r="G1165" s="14" t="n">
        <v>36</v>
      </c>
      <c r="H1165" s="78" t="n">
        <v>914.4</v>
      </c>
      <c r="I1165" s="14" t="n">
        <v>0.312</v>
      </c>
      <c r="J1165" s="78" t="n">
        <v>7.92</v>
      </c>
      <c r="K1165" s="14">
        <f>ROUND((H1165-J1165)*J1165*IF(B1165="Carbon Steel",$K$7,IF(B1165="Stainless Steel 304",$K$8,$L$8)), 3)</f>
        <v/>
      </c>
      <c r="L1165" s="78">
        <f>ROUND(K1165*$G$5, 2)</f>
        <v/>
      </c>
      <c r="M1165" s="93">
        <f>INT($G$6/H1165)</f>
        <v/>
      </c>
      <c r="N1165" s="93">
        <f>IF(M1165=0, 0, IF(OR($K$6="Square Grid", M1165=1), INT($G$7/H1165), IF($G$7&lt;H1165, 0, 1+INT(($G$7-H1165)/(0.8660254*H1165)))))</f>
        <v/>
      </c>
      <c r="O1165" s="59">
        <f>IF(OR(M1165=0,N1165=0), 0, IF(OR($K$6="Square Grid", M1165=1), M1165*N1165*$K$5, (INT((N1165+1)/2)*M1165 + INT(N1165/2)*IF(($G$6-M1165*H1165)&gt;=0.5*H1165, M1165, M1165-1))*$K$5))</f>
        <v/>
      </c>
      <c r="P1165" s="59">
        <f>IF(L1165&lt;=0, 0, INT($G$8/L1165))</f>
        <v/>
      </c>
      <c r="Q1165" s="95">
        <f>MIN(O1165, P1165)</f>
        <v/>
      </c>
      <c r="R1165" s="96">
        <f>ROUND((Q1165*L1165)/1000, 2)</f>
        <v/>
      </c>
      <c r="S1165" s="79">
        <f>IF($C$8&gt;0, R1165/$C$8, 0)</f>
        <v/>
      </c>
      <c r="T1165" s="79">
        <f>IF(O1165&gt;0, Q1165/O1165, 0)</f>
        <v/>
      </c>
      <c r="U1165" s="12">
        <f>IF(Q1165=0, "Exceeds Limit", IF(P1165&lt;=O1165, "Weight Limited", "Volume Limited"))</f>
        <v/>
      </c>
      <c r="V1165" s="97">
        <f>B1165&amp;"|"&amp;D1165&amp;"|"&amp;F1165</f>
        <v/>
      </c>
    </row>
    <row r="1166" ht="19" customHeight="1">
      <c r="A1166" s="98" t="n">
        <v>1156</v>
      </c>
      <c r="B1166" s="102" t="inlineStr">
        <is>
          <t>Stainless Steel 316</t>
        </is>
      </c>
      <c r="C1166" s="19" t="inlineStr">
        <is>
          <t>ASME B36.19M / B36.10M</t>
        </is>
      </c>
      <c r="D1166" s="18" t="inlineStr">
        <is>
          <t>36''</t>
        </is>
      </c>
      <c r="E1166" s="98" t="n">
        <v>900</v>
      </c>
      <c r="F1166" s="18" t="inlineStr">
        <is>
          <t>20</t>
        </is>
      </c>
      <c r="G1166" s="20" t="n">
        <v>36</v>
      </c>
      <c r="H1166" s="82" t="n">
        <v>914.4</v>
      </c>
      <c r="I1166" s="20" t="n">
        <v>0.5</v>
      </c>
      <c r="J1166" s="82" t="n">
        <v>12.7</v>
      </c>
      <c r="K1166" s="20">
        <f>ROUND((H1166-J1166)*J1166*IF(B1166="Carbon Steel",$K$7,IF(B1166="Stainless Steel 304",$K$8,$L$8)), 3)</f>
        <v/>
      </c>
      <c r="L1166" s="82">
        <f>ROUND(K1166*$G$5, 2)</f>
        <v/>
      </c>
      <c r="M1166" s="98">
        <f>INT($G$6/H1166)</f>
        <v/>
      </c>
      <c r="N1166" s="98">
        <f>IF(M1166=0, 0, IF(OR($K$6="Square Grid", M1166=1), INT($G$7/H1166), IF($G$7&lt;H1166, 0, 1+INT(($G$7-H1166)/(0.8660254*H1166)))))</f>
        <v/>
      </c>
      <c r="O1166" s="84">
        <f>IF(OR(M1166=0,N1166=0), 0, IF(OR($K$6="Square Grid", M1166=1), M1166*N1166*$K$5, (INT((N1166+1)/2)*M1166 + INT(N1166/2)*IF(($G$6-M1166*H1166)&gt;=0.5*H1166, M1166, M1166-1))*$K$5))</f>
        <v/>
      </c>
      <c r="P1166" s="84">
        <f>IF(L1166&lt;=0, 0, INT($G$8/L1166))</f>
        <v/>
      </c>
      <c r="Q1166" s="95">
        <f>MIN(O1166, P1166)</f>
        <v/>
      </c>
      <c r="R1166" s="96">
        <f>ROUND((Q1166*L1166)/1000, 2)</f>
        <v/>
      </c>
      <c r="S1166" s="85">
        <f>IF($C$8&gt;0, R1166/$C$8, 0)</f>
        <v/>
      </c>
      <c r="T1166" s="85">
        <f>IF(O1166&gt;0, Q1166/O1166, 0)</f>
        <v/>
      </c>
      <c r="U1166" s="18">
        <f>IF(Q1166=0, "Exceeds Limit", IF(P1166&lt;=O1166, "Weight Limited", "Volume Limited"))</f>
        <v/>
      </c>
      <c r="V1166" s="100">
        <f>B1166&amp;"|"&amp;D1166&amp;"|"&amp;F1166</f>
        <v/>
      </c>
    </row>
    <row r="1167" ht="19" customHeight="1">
      <c r="A1167" s="93" t="n">
        <v>1157</v>
      </c>
      <c r="B1167" s="101" t="inlineStr">
        <is>
          <t>Stainless Steel 316</t>
        </is>
      </c>
      <c r="C1167" s="13" t="inlineStr">
        <is>
          <t>ASME B36.19M / B36.10M</t>
        </is>
      </c>
      <c r="D1167" s="12" t="inlineStr">
        <is>
          <t>36''</t>
        </is>
      </c>
      <c r="E1167" s="93" t="n">
        <v>900</v>
      </c>
      <c r="F1167" s="12" t="inlineStr">
        <is>
          <t>30</t>
        </is>
      </c>
      <c r="G1167" s="14" t="n">
        <v>36</v>
      </c>
      <c r="H1167" s="78" t="n">
        <v>914.4</v>
      </c>
      <c r="I1167" s="14" t="n">
        <v>0.625</v>
      </c>
      <c r="J1167" s="78" t="n">
        <v>15.88</v>
      </c>
      <c r="K1167" s="14">
        <f>ROUND((H1167-J1167)*J1167*IF(B1167="Carbon Steel",$K$7,IF(B1167="Stainless Steel 304",$K$8,$L$8)), 3)</f>
        <v/>
      </c>
      <c r="L1167" s="78">
        <f>ROUND(K1167*$G$5, 2)</f>
        <v/>
      </c>
      <c r="M1167" s="93">
        <f>INT($G$6/H1167)</f>
        <v/>
      </c>
      <c r="N1167" s="93">
        <f>IF(M1167=0, 0, IF(OR($K$6="Square Grid", M1167=1), INT($G$7/H1167), IF($G$7&lt;H1167, 0, 1+INT(($G$7-H1167)/(0.8660254*H1167)))))</f>
        <v/>
      </c>
      <c r="O1167" s="59">
        <f>IF(OR(M1167=0,N1167=0), 0, IF(OR($K$6="Square Grid", M1167=1), M1167*N1167*$K$5, (INT((N1167+1)/2)*M1167 + INT(N1167/2)*IF(($G$6-M1167*H1167)&gt;=0.5*H1167, M1167, M1167-1))*$K$5))</f>
        <v/>
      </c>
      <c r="P1167" s="59">
        <f>IF(L1167&lt;=0, 0, INT($G$8/L1167))</f>
        <v/>
      </c>
      <c r="Q1167" s="95">
        <f>MIN(O1167, P1167)</f>
        <v/>
      </c>
      <c r="R1167" s="96">
        <f>ROUND((Q1167*L1167)/1000, 2)</f>
        <v/>
      </c>
      <c r="S1167" s="79">
        <f>IF($C$8&gt;0, R1167/$C$8, 0)</f>
        <v/>
      </c>
      <c r="T1167" s="79">
        <f>IF(O1167&gt;0, Q1167/O1167, 0)</f>
        <v/>
      </c>
      <c r="U1167" s="12">
        <f>IF(Q1167=0, "Exceeds Limit", IF(P1167&lt;=O1167, "Weight Limited", "Volume Limited"))</f>
        <v/>
      </c>
      <c r="V1167" s="97">
        <f>B1167&amp;"|"&amp;D1167&amp;"|"&amp;F1167</f>
        <v/>
      </c>
    </row>
    <row r="1168" ht="19" customHeight="1">
      <c r="A1168" s="98" t="n">
        <v>1158</v>
      </c>
      <c r="B1168" s="102" t="inlineStr">
        <is>
          <t>Stainless Steel 316</t>
        </is>
      </c>
      <c r="C1168" s="19" t="inlineStr">
        <is>
          <t>ASME B36.19M / B36.10M</t>
        </is>
      </c>
      <c r="D1168" s="18" t="inlineStr">
        <is>
          <t>36''</t>
        </is>
      </c>
      <c r="E1168" s="98" t="n">
        <v>900</v>
      </c>
      <c r="F1168" s="18" t="inlineStr">
        <is>
          <t>40S</t>
        </is>
      </c>
      <c r="G1168" s="20" t="n">
        <v>36</v>
      </c>
      <c r="H1168" s="82" t="n">
        <v>914.4</v>
      </c>
      <c r="I1168" s="20" t="n">
        <v>0.375</v>
      </c>
      <c r="J1168" s="82" t="n">
        <v>9.52</v>
      </c>
      <c r="K1168" s="20">
        <f>ROUND((H1168-J1168)*J1168*IF(B1168="Carbon Steel",$K$7,IF(B1168="Stainless Steel 304",$K$8,$L$8)), 3)</f>
        <v/>
      </c>
      <c r="L1168" s="82">
        <f>ROUND(K1168*$G$5, 2)</f>
        <v/>
      </c>
      <c r="M1168" s="98">
        <f>INT($G$6/H1168)</f>
        <v/>
      </c>
      <c r="N1168" s="98">
        <f>IF(M1168=0, 0, IF(OR($K$6="Square Grid", M1168=1), INT($G$7/H1168), IF($G$7&lt;H1168, 0, 1+INT(($G$7-H1168)/(0.8660254*H1168)))))</f>
        <v/>
      </c>
      <c r="O1168" s="84">
        <f>IF(OR(M1168=0,N1168=0), 0, IF(OR($K$6="Square Grid", M1168=1), M1168*N1168*$K$5, (INT((N1168+1)/2)*M1168 + INT(N1168/2)*IF(($G$6-M1168*H1168)&gt;=0.5*H1168, M1168, M1168-1))*$K$5))</f>
        <v/>
      </c>
      <c r="P1168" s="84">
        <f>IF(L1168&lt;=0, 0, INT($G$8/L1168))</f>
        <v/>
      </c>
      <c r="Q1168" s="95">
        <f>MIN(O1168, P1168)</f>
        <v/>
      </c>
      <c r="R1168" s="96">
        <f>ROUND((Q1168*L1168)/1000, 2)</f>
        <v/>
      </c>
      <c r="S1168" s="85">
        <f>IF($C$8&gt;0, R1168/$C$8, 0)</f>
        <v/>
      </c>
      <c r="T1168" s="85">
        <f>IF(O1168&gt;0, Q1168/O1168, 0)</f>
        <v/>
      </c>
      <c r="U1168" s="18">
        <f>IF(Q1168=0, "Exceeds Limit", IF(P1168&lt;=O1168, "Weight Limited", "Volume Limited"))</f>
        <v/>
      </c>
      <c r="V1168" s="100">
        <f>B1168&amp;"|"&amp;D1168&amp;"|"&amp;F1168</f>
        <v/>
      </c>
    </row>
    <row r="1169" ht="19" customHeight="1">
      <c r="A1169" s="93" t="n">
        <v>1159</v>
      </c>
      <c r="B1169" s="101" t="inlineStr">
        <is>
          <t>Stainless Steel 316</t>
        </is>
      </c>
      <c r="C1169" s="13" t="inlineStr">
        <is>
          <t>ASME B36.19M / B36.10M</t>
        </is>
      </c>
      <c r="D1169" s="12" t="inlineStr">
        <is>
          <t>36''</t>
        </is>
      </c>
      <c r="E1169" s="93" t="n">
        <v>900</v>
      </c>
      <c r="F1169" s="12" t="inlineStr">
        <is>
          <t>STD</t>
        </is>
      </c>
      <c r="G1169" s="14" t="n">
        <v>36</v>
      </c>
      <c r="H1169" s="78" t="n">
        <v>914.4</v>
      </c>
      <c r="I1169" s="14" t="n">
        <v>0.375</v>
      </c>
      <c r="J1169" s="78" t="n">
        <v>9.52</v>
      </c>
      <c r="K1169" s="14">
        <f>ROUND((H1169-J1169)*J1169*IF(B1169="Carbon Steel",$K$7,IF(B1169="Stainless Steel 304",$K$8,$L$8)), 3)</f>
        <v/>
      </c>
      <c r="L1169" s="78">
        <f>ROUND(K1169*$G$5, 2)</f>
        <v/>
      </c>
      <c r="M1169" s="93">
        <f>INT($G$6/H1169)</f>
        <v/>
      </c>
      <c r="N1169" s="93">
        <f>IF(M1169=0, 0, IF(OR($K$6="Square Grid", M1169=1), INT($G$7/H1169), IF($G$7&lt;H1169, 0, 1+INT(($G$7-H1169)/(0.8660254*H1169)))))</f>
        <v/>
      </c>
      <c r="O1169" s="59">
        <f>IF(OR(M1169=0,N1169=0), 0, IF(OR($K$6="Square Grid", M1169=1), M1169*N1169*$K$5, (INT((N1169+1)/2)*M1169 + INT(N1169/2)*IF(($G$6-M1169*H1169)&gt;=0.5*H1169, M1169, M1169-1))*$K$5))</f>
        <v/>
      </c>
      <c r="P1169" s="59">
        <f>IF(L1169&lt;=0, 0, INT($G$8/L1169))</f>
        <v/>
      </c>
      <c r="Q1169" s="95">
        <f>MIN(O1169, P1169)</f>
        <v/>
      </c>
      <c r="R1169" s="96">
        <f>ROUND((Q1169*L1169)/1000, 2)</f>
        <v/>
      </c>
      <c r="S1169" s="79">
        <f>IF($C$8&gt;0, R1169/$C$8, 0)</f>
        <v/>
      </c>
      <c r="T1169" s="79">
        <f>IF(O1169&gt;0, Q1169/O1169, 0)</f>
        <v/>
      </c>
      <c r="U1169" s="12">
        <f>IF(Q1169=0, "Exceeds Limit", IF(P1169&lt;=O1169, "Weight Limited", "Volume Limited"))</f>
        <v/>
      </c>
      <c r="V1169" s="97">
        <f>B1169&amp;"|"&amp;D1169&amp;"|"&amp;F1169</f>
        <v/>
      </c>
    </row>
    <row r="1170" ht="19" customHeight="1">
      <c r="A1170" s="98" t="n">
        <v>1160</v>
      </c>
      <c r="B1170" s="102" t="inlineStr">
        <is>
          <t>Stainless Steel 316</t>
        </is>
      </c>
      <c r="C1170" s="19" t="inlineStr">
        <is>
          <t>ASME B36.19M / B36.10M</t>
        </is>
      </c>
      <c r="D1170" s="18" t="inlineStr">
        <is>
          <t>36''</t>
        </is>
      </c>
      <c r="E1170" s="98" t="n">
        <v>900</v>
      </c>
      <c r="F1170" s="18" t="inlineStr">
        <is>
          <t>40</t>
        </is>
      </c>
      <c r="G1170" s="20" t="n">
        <v>36</v>
      </c>
      <c r="H1170" s="82" t="n">
        <v>914.4</v>
      </c>
      <c r="I1170" s="20" t="n">
        <v>0.75</v>
      </c>
      <c r="J1170" s="82" t="n">
        <v>19.05</v>
      </c>
      <c r="K1170" s="20">
        <f>ROUND((H1170-J1170)*J1170*IF(B1170="Carbon Steel",$K$7,IF(B1170="Stainless Steel 304",$K$8,$L$8)), 3)</f>
        <v/>
      </c>
      <c r="L1170" s="82">
        <f>ROUND(K1170*$G$5, 2)</f>
        <v/>
      </c>
      <c r="M1170" s="98">
        <f>INT($G$6/H1170)</f>
        <v/>
      </c>
      <c r="N1170" s="98">
        <f>IF(M1170=0, 0, IF(OR($K$6="Square Grid", M1170=1), INT($G$7/H1170), IF($G$7&lt;H1170, 0, 1+INT(($G$7-H1170)/(0.8660254*H1170)))))</f>
        <v/>
      </c>
      <c r="O1170" s="84">
        <f>IF(OR(M1170=0,N1170=0), 0, IF(OR($K$6="Square Grid", M1170=1), M1170*N1170*$K$5, (INT((N1170+1)/2)*M1170 + INT(N1170/2)*IF(($G$6-M1170*H1170)&gt;=0.5*H1170, M1170, M1170-1))*$K$5))</f>
        <v/>
      </c>
      <c r="P1170" s="84">
        <f>IF(L1170&lt;=0, 0, INT($G$8/L1170))</f>
        <v/>
      </c>
      <c r="Q1170" s="95">
        <f>MIN(O1170, P1170)</f>
        <v/>
      </c>
      <c r="R1170" s="96">
        <f>ROUND((Q1170*L1170)/1000, 2)</f>
        <v/>
      </c>
      <c r="S1170" s="85">
        <f>IF($C$8&gt;0, R1170/$C$8, 0)</f>
        <v/>
      </c>
      <c r="T1170" s="85">
        <f>IF(O1170&gt;0, Q1170/O1170, 0)</f>
        <v/>
      </c>
      <c r="U1170" s="18">
        <f>IF(Q1170=0, "Exceeds Limit", IF(P1170&lt;=O1170, "Weight Limited", "Volume Limited"))</f>
        <v/>
      </c>
      <c r="V1170" s="100">
        <f>B1170&amp;"|"&amp;D1170&amp;"|"&amp;F1170</f>
        <v/>
      </c>
    </row>
    <row r="1171" ht="19" customHeight="1">
      <c r="A1171" s="93" t="n">
        <v>1161</v>
      </c>
      <c r="B1171" s="101" t="inlineStr">
        <is>
          <t>Stainless Steel 316</t>
        </is>
      </c>
      <c r="C1171" s="13" t="inlineStr">
        <is>
          <t>ASME B36.19M / B36.10M</t>
        </is>
      </c>
      <c r="D1171" s="12" t="inlineStr">
        <is>
          <t>36''</t>
        </is>
      </c>
      <c r="E1171" s="93" t="n">
        <v>900</v>
      </c>
      <c r="F1171" s="12" t="inlineStr">
        <is>
          <t>80S</t>
        </is>
      </c>
      <c r="G1171" s="14" t="n">
        <v>36</v>
      </c>
      <c r="H1171" s="78" t="n">
        <v>914.4</v>
      </c>
      <c r="I1171" s="14" t="n">
        <v>0.5</v>
      </c>
      <c r="J1171" s="78" t="n">
        <v>12.7</v>
      </c>
      <c r="K1171" s="14">
        <f>ROUND((H1171-J1171)*J1171*IF(B1171="Carbon Steel",$K$7,IF(B1171="Stainless Steel 304",$K$8,$L$8)), 3)</f>
        <v/>
      </c>
      <c r="L1171" s="78">
        <f>ROUND(K1171*$G$5, 2)</f>
        <v/>
      </c>
      <c r="M1171" s="93">
        <f>INT($G$6/H1171)</f>
        <v/>
      </c>
      <c r="N1171" s="93">
        <f>IF(M1171=0, 0, IF(OR($K$6="Square Grid", M1171=1), INT($G$7/H1171), IF($G$7&lt;H1171, 0, 1+INT(($G$7-H1171)/(0.8660254*H1171)))))</f>
        <v/>
      </c>
      <c r="O1171" s="59">
        <f>IF(OR(M1171=0,N1171=0), 0, IF(OR($K$6="Square Grid", M1171=1), M1171*N1171*$K$5, (INT((N1171+1)/2)*M1171 + INT(N1171/2)*IF(($G$6-M1171*H1171)&gt;=0.5*H1171, M1171, M1171-1))*$K$5))</f>
        <v/>
      </c>
      <c r="P1171" s="59">
        <f>IF(L1171&lt;=0, 0, INT($G$8/L1171))</f>
        <v/>
      </c>
      <c r="Q1171" s="95">
        <f>MIN(O1171, P1171)</f>
        <v/>
      </c>
      <c r="R1171" s="96">
        <f>ROUND((Q1171*L1171)/1000, 2)</f>
        <v/>
      </c>
      <c r="S1171" s="79">
        <f>IF($C$8&gt;0, R1171/$C$8, 0)</f>
        <v/>
      </c>
      <c r="T1171" s="79">
        <f>IF(O1171&gt;0, Q1171/O1171, 0)</f>
        <v/>
      </c>
      <c r="U1171" s="12">
        <f>IF(Q1171=0, "Exceeds Limit", IF(P1171&lt;=O1171, "Weight Limited", "Volume Limited"))</f>
        <v/>
      </c>
      <c r="V1171" s="97">
        <f>B1171&amp;"|"&amp;D1171&amp;"|"&amp;F1171</f>
        <v/>
      </c>
    </row>
    <row r="1172" ht="19" customHeight="1">
      <c r="A1172" s="98" t="n">
        <v>1162</v>
      </c>
      <c r="B1172" s="102" t="inlineStr">
        <is>
          <t>Stainless Steel 316</t>
        </is>
      </c>
      <c r="C1172" s="19" t="inlineStr">
        <is>
          <t>ASME B36.19M / B36.10M</t>
        </is>
      </c>
      <c r="D1172" s="18" t="inlineStr">
        <is>
          <t>36''</t>
        </is>
      </c>
      <c r="E1172" s="98" t="n">
        <v>900</v>
      </c>
      <c r="F1172" s="18" t="inlineStr">
        <is>
          <t>XS</t>
        </is>
      </c>
      <c r="G1172" s="20" t="n">
        <v>36</v>
      </c>
      <c r="H1172" s="82" t="n">
        <v>914.4</v>
      </c>
      <c r="I1172" s="20" t="n">
        <v>0.5</v>
      </c>
      <c r="J1172" s="82" t="n">
        <v>12.7</v>
      </c>
      <c r="K1172" s="20">
        <f>ROUND((H1172-J1172)*J1172*IF(B1172="Carbon Steel",$K$7,IF(B1172="Stainless Steel 304",$K$8,$L$8)), 3)</f>
        <v/>
      </c>
      <c r="L1172" s="82">
        <f>ROUND(K1172*$G$5, 2)</f>
        <v/>
      </c>
      <c r="M1172" s="98">
        <f>INT($G$6/H1172)</f>
        <v/>
      </c>
      <c r="N1172" s="98">
        <f>IF(M1172=0, 0, IF(OR($K$6="Square Grid", M1172=1), INT($G$7/H1172), IF($G$7&lt;H1172, 0, 1+INT(($G$7-H1172)/(0.8660254*H1172)))))</f>
        <v/>
      </c>
      <c r="O1172" s="84">
        <f>IF(OR(M1172=0,N1172=0), 0, IF(OR($K$6="Square Grid", M1172=1), M1172*N1172*$K$5, (INT((N1172+1)/2)*M1172 + INT(N1172/2)*IF(($G$6-M1172*H1172)&gt;=0.5*H1172, M1172, M1172-1))*$K$5))</f>
        <v/>
      </c>
      <c r="P1172" s="84">
        <f>IF(L1172&lt;=0, 0, INT($G$8/L1172))</f>
        <v/>
      </c>
      <c r="Q1172" s="95">
        <f>MIN(O1172, P1172)</f>
        <v/>
      </c>
      <c r="R1172" s="96">
        <f>ROUND((Q1172*L1172)/1000, 2)</f>
        <v/>
      </c>
      <c r="S1172" s="85">
        <f>IF($C$8&gt;0, R1172/$C$8, 0)</f>
        <v/>
      </c>
      <c r="T1172" s="85">
        <f>IF(O1172&gt;0, Q1172/O1172, 0)</f>
        <v/>
      </c>
      <c r="U1172" s="18">
        <f>IF(Q1172=0, "Exceeds Limit", IF(P1172&lt;=O1172, "Weight Limited", "Volume Limited"))</f>
        <v/>
      </c>
      <c r="V1172" s="100">
        <f>B1172&amp;"|"&amp;D1172&amp;"|"&amp;F1172</f>
        <v/>
      </c>
    </row>
    <row r="1173" ht="19" customHeight="1">
      <c r="A1173" s="93" t="n">
        <v>1163</v>
      </c>
      <c r="B1173" s="101" t="inlineStr">
        <is>
          <t>Stainless Steel 316</t>
        </is>
      </c>
      <c r="C1173" s="13" t="inlineStr">
        <is>
          <t>ASME B36.19M / B36.10M</t>
        </is>
      </c>
      <c r="D1173" s="12" t="inlineStr">
        <is>
          <t>38''</t>
        </is>
      </c>
      <c r="E1173" s="93" t="n">
        <v>950</v>
      </c>
      <c r="F1173" s="12" t="inlineStr">
        <is>
          <t>STD</t>
        </is>
      </c>
      <c r="G1173" s="14" t="n">
        <v>38</v>
      </c>
      <c r="H1173" s="78" t="n">
        <v>965.2</v>
      </c>
      <c r="I1173" s="14" t="n">
        <v>0.375</v>
      </c>
      <c r="J1173" s="78" t="n">
        <v>9.52</v>
      </c>
      <c r="K1173" s="14">
        <f>ROUND((H1173-J1173)*J1173*IF(B1173="Carbon Steel",$K$7,IF(B1173="Stainless Steel 304",$K$8,$L$8)), 3)</f>
        <v/>
      </c>
      <c r="L1173" s="78">
        <f>ROUND(K1173*$G$5, 2)</f>
        <v/>
      </c>
      <c r="M1173" s="93">
        <f>INT($G$6/H1173)</f>
        <v/>
      </c>
      <c r="N1173" s="93">
        <f>IF(M1173=0, 0, IF(OR($K$6="Square Grid", M1173=1), INT($G$7/H1173), IF($G$7&lt;H1173, 0, 1+INT(($G$7-H1173)/(0.8660254*H1173)))))</f>
        <v/>
      </c>
      <c r="O1173" s="59">
        <f>IF(OR(M1173=0,N1173=0), 0, IF(OR($K$6="Square Grid", M1173=1), M1173*N1173*$K$5, (INT((N1173+1)/2)*M1173 + INT(N1173/2)*IF(($G$6-M1173*H1173)&gt;=0.5*H1173, M1173, M1173-1))*$K$5))</f>
        <v/>
      </c>
      <c r="P1173" s="59">
        <f>IF(L1173&lt;=0, 0, INT($G$8/L1173))</f>
        <v/>
      </c>
      <c r="Q1173" s="95">
        <f>MIN(O1173, P1173)</f>
        <v/>
      </c>
      <c r="R1173" s="96">
        <f>ROUND((Q1173*L1173)/1000, 2)</f>
        <v/>
      </c>
      <c r="S1173" s="79">
        <f>IF($C$8&gt;0, R1173/$C$8, 0)</f>
        <v/>
      </c>
      <c r="T1173" s="79">
        <f>IF(O1173&gt;0, Q1173/O1173, 0)</f>
        <v/>
      </c>
      <c r="U1173" s="12">
        <f>IF(Q1173=0, "Exceeds Limit", IF(P1173&lt;=O1173, "Weight Limited", "Volume Limited"))</f>
        <v/>
      </c>
      <c r="V1173" s="97">
        <f>B1173&amp;"|"&amp;D1173&amp;"|"&amp;F1173</f>
        <v/>
      </c>
    </row>
    <row r="1174" ht="19" customHeight="1">
      <c r="A1174" s="98" t="n">
        <v>1164</v>
      </c>
      <c r="B1174" s="102" t="inlineStr">
        <is>
          <t>Stainless Steel 316</t>
        </is>
      </c>
      <c r="C1174" s="19" t="inlineStr">
        <is>
          <t>ASME B36.19M / B36.10M</t>
        </is>
      </c>
      <c r="D1174" s="18" t="inlineStr">
        <is>
          <t>38''</t>
        </is>
      </c>
      <c r="E1174" s="98" t="n">
        <v>950</v>
      </c>
      <c r="F1174" s="18" t="inlineStr">
        <is>
          <t>XS</t>
        </is>
      </c>
      <c r="G1174" s="20" t="n">
        <v>38</v>
      </c>
      <c r="H1174" s="82" t="n">
        <v>965.2</v>
      </c>
      <c r="I1174" s="20" t="n">
        <v>0.5</v>
      </c>
      <c r="J1174" s="82" t="n">
        <v>12.7</v>
      </c>
      <c r="K1174" s="20">
        <f>ROUND((H1174-J1174)*J1174*IF(B1174="Carbon Steel",$K$7,IF(B1174="Stainless Steel 304",$K$8,$L$8)), 3)</f>
        <v/>
      </c>
      <c r="L1174" s="82">
        <f>ROUND(K1174*$G$5, 2)</f>
        <v/>
      </c>
      <c r="M1174" s="98">
        <f>INT($G$6/H1174)</f>
        <v/>
      </c>
      <c r="N1174" s="98">
        <f>IF(M1174=0, 0, IF(OR($K$6="Square Grid", M1174=1), INT($G$7/H1174), IF($G$7&lt;H1174, 0, 1+INT(($G$7-H1174)/(0.8660254*H1174)))))</f>
        <v/>
      </c>
      <c r="O1174" s="84">
        <f>IF(OR(M1174=0,N1174=0), 0, IF(OR($K$6="Square Grid", M1174=1), M1174*N1174*$K$5, (INT((N1174+1)/2)*M1174 + INT(N1174/2)*IF(($G$6-M1174*H1174)&gt;=0.5*H1174, M1174, M1174-1))*$K$5))</f>
        <v/>
      </c>
      <c r="P1174" s="84">
        <f>IF(L1174&lt;=0, 0, INT($G$8/L1174))</f>
        <v/>
      </c>
      <c r="Q1174" s="95">
        <f>MIN(O1174, P1174)</f>
        <v/>
      </c>
      <c r="R1174" s="96">
        <f>ROUND((Q1174*L1174)/1000, 2)</f>
        <v/>
      </c>
      <c r="S1174" s="85">
        <f>IF($C$8&gt;0, R1174/$C$8, 0)</f>
        <v/>
      </c>
      <c r="T1174" s="85">
        <f>IF(O1174&gt;0, Q1174/O1174, 0)</f>
        <v/>
      </c>
      <c r="U1174" s="18">
        <f>IF(Q1174=0, "Exceeds Limit", IF(P1174&lt;=O1174, "Weight Limited", "Volume Limited"))</f>
        <v/>
      </c>
      <c r="V1174" s="100">
        <f>B1174&amp;"|"&amp;D1174&amp;"|"&amp;F1174</f>
        <v/>
      </c>
    </row>
    <row r="1175" ht="19" customHeight="1">
      <c r="A1175" s="93" t="n">
        <v>1165</v>
      </c>
      <c r="B1175" s="101" t="inlineStr">
        <is>
          <t>Stainless Steel 316</t>
        </is>
      </c>
      <c r="C1175" s="13" t="inlineStr">
        <is>
          <t>ASME B36.19M / B36.10M</t>
        </is>
      </c>
      <c r="D1175" s="12" t="inlineStr">
        <is>
          <t>40''</t>
        </is>
      </c>
      <c r="E1175" s="93" t="n">
        <v>1000</v>
      </c>
      <c r="F1175" s="12" t="inlineStr">
        <is>
          <t>STD</t>
        </is>
      </c>
      <c r="G1175" s="14" t="n">
        <v>40</v>
      </c>
      <c r="H1175" s="78" t="n">
        <v>1016</v>
      </c>
      <c r="I1175" s="14" t="n">
        <v>0.375</v>
      </c>
      <c r="J1175" s="78" t="n">
        <v>9.52</v>
      </c>
      <c r="K1175" s="14">
        <f>ROUND((H1175-J1175)*J1175*IF(B1175="Carbon Steel",$K$7,IF(B1175="Stainless Steel 304",$K$8,$L$8)), 3)</f>
        <v/>
      </c>
      <c r="L1175" s="78">
        <f>ROUND(K1175*$G$5, 2)</f>
        <v/>
      </c>
      <c r="M1175" s="93">
        <f>INT($G$6/H1175)</f>
        <v/>
      </c>
      <c r="N1175" s="93">
        <f>IF(M1175=0, 0, IF(OR($K$6="Square Grid", M1175=1), INT($G$7/H1175), IF($G$7&lt;H1175, 0, 1+INT(($G$7-H1175)/(0.8660254*H1175)))))</f>
        <v/>
      </c>
      <c r="O1175" s="59">
        <f>IF(OR(M1175=0,N1175=0), 0, IF(OR($K$6="Square Grid", M1175=1), M1175*N1175*$K$5, (INT((N1175+1)/2)*M1175 + INT(N1175/2)*IF(($G$6-M1175*H1175)&gt;=0.5*H1175, M1175, M1175-1))*$K$5))</f>
        <v/>
      </c>
      <c r="P1175" s="59">
        <f>IF(L1175&lt;=0, 0, INT($G$8/L1175))</f>
        <v/>
      </c>
      <c r="Q1175" s="95">
        <f>MIN(O1175, P1175)</f>
        <v/>
      </c>
      <c r="R1175" s="96">
        <f>ROUND((Q1175*L1175)/1000, 2)</f>
        <v/>
      </c>
      <c r="S1175" s="79">
        <f>IF($C$8&gt;0, R1175/$C$8, 0)</f>
        <v/>
      </c>
      <c r="T1175" s="79">
        <f>IF(O1175&gt;0, Q1175/O1175, 0)</f>
        <v/>
      </c>
      <c r="U1175" s="12">
        <f>IF(Q1175=0, "Exceeds Limit", IF(P1175&lt;=O1175, "Weight Limited", "Volume Limited"))</f>
        <v/>
      </c>
      <c r="V1175" s="97">
        <f>B1175&amp;"|"&amp;D1175&amp;"|"&amp;F1175</f>
        <v/>
      </c>
    </row>
    <row r="1176" ht="19" customHeight="1">
      <c r="A1176" s="98" t="n">
        <v>1166</v>
      </c>
      <c r="B1176" s="102" t="inlineStr">
        <is>
          <t>Stainless Steel 316</t>
        </is>
      </c>
      <c r="C1176" s="19" t="inlineStr">
        <is>
          <t>ASME B36.19M / B36.10M</t>
        </is>
      </c>
      <c r="D1176" s="18" t="inlineStr">
        <is>
          <t>40''</t>
        </is>
      </c>
      <c r="E1176" s="98" t="n">
        <v>1000</v>
      </c>
      <c r="F1176" s="18" t="inlineStr">
        <is>
          <t>XS</t>
        </is>
      </c>
      <c r="G1176" s="20" t="n">
        <v>40</v>
      </c>
      <c r="H1176" s="82" t="n">
        <v>1016</v>
      </c>
      <c r="I1176" s="20" t="n">
        <v>0.5</v>
      </c>
      <c r="J1176" s="82" t="n">
        <v>12.7</v>
      </c>
      <c r="K1176" s="20">
        <f>ROUND((H1176-J1176)*J1176*IF(B1176="Carbon Steel",$K$7,IF(B1176="Stainless Steel 304",$K$8,$L$8)), 3)</f>
        <v/>
      </c>
      <c r="L1176" s="82">
        <f>ROUND(K1176*$G$5, 2)</f>
        <v/>
      </c>
      <c r="M1176" s="98">
        <f>INT($G$6/H1176)</f>
        <v/>
      </c>
      <c r="N1176" s="98">
        <f>IF(M1176=0, 0, IF(OR($K$6="Square Grid", M1176=1), INT($G$7/H1176), IF($G$7&lt;H1176, 0, 1+INT(($G$7-H1176)/(0.8660254*H1176)))))</f>
        <v/>
      </c>
      <c r="O1176" s="84">
        <f>IF(OR(M1176=0,N1176=0), 0, IF(OR($K$6="Square Grid", M1176=1), M1176*N1176*$K$5, (INT((N1176+1)/2)*M1176 + INT(N1176/2)*IF(($G$6-M1176*H1176)&gt;=0.5*H1176, M1176, M1176-1))*$K$5))</f>
        <v/>
      </c>
      <c r="P1176" s="84">
        <f>IF(L1176&lt;=0, 0, INT($G$8/L1176))</f>
        <v/>
      </c>
      <c r="Q1176" s="95">
        <f>MIN(O1176, P1176)</f>
        <v/>
      </c>
      <c r="R1176" s="96">
        <f>ROUND((Q1176*L1176)/1000, 2)</f>
        <v/>
      </c>
      <c r="S1176" s="85">
        <f>IF($C$8&gt;0, R1176/$C$8, 0)</f>
        <v/>
      </c>
      <c r="T1176" s="85">
        <f>IF(O1176&gt;0, Q1176/O1176, 0)</f>
        <v/>
      </c>
      <c r="U1176" s="18">
        <f>IF(Q1176=0, "Exceeds Limit", IF(P1176&lt;=O1176, "Weight Limited", "Volume Limited"))</f>
        <v/>
      </c>
      <c r="V1176" s="100">
        <f>B1176&amp;"|"&amp;D1176&amp;"|"&amp;F1176</f>
        <v/>
      </c>
    </row>
    <row r="1177" ht="19" customHeight="1">
      <c r="A1177" s="93" t="n">
        <v>1167</v>
      </c>
      <c r="B1177" s="101" t="inlineStr">
        <is>
          <t>Stainless Steel 316</t>
        </is>
      </c>
      <c r="C1177" s="13" t="inlineStr">
        <is>
          <t>ASME B36.19M / B36.10M</t>
        </is>
      </c>
      <c r="D1177" s="12" t="inlineStr">
        <is>
          <t>42''</t>
        </is>
      </c>
      <c r="E1177" s="93" t="n">
        <v>1050</v>
      </c>
      <c r="F1177" s="12" t="inlineStr">
        <is>
          <t>STD</t>
        </is>
      </c>
      <c r="G1177" s="14" t="n">
        <v>42</v>
      </c>
      <c r="H1177" s="78" t="n">
        <v>1066.8</v>
      </c>
      <c r="I1177" s="14" t="n">
        <v>0.375</v>
      </c>
      <c r="J1177" s="78" t="n">
        <v>9.52</v>
      </c>
      <c r="K1177" s="14">
        <f>ROUND((H1177-J1177)*J1177*IF(B1177="Carbon Steel",$K$7,IF(B1177="Stainless Steel 304",$K$8,$L$8)), 3)</f>
        <v/>
      </c>
      <c r="L1177" s="78">
        <f>ROUND(K1177*$G$5, 2)</f>
        <v/>
      </c>
      <c r="M1177" s="93">
        <f>INT($G$6/H1177)</f>
        <v/>
      </c>
      <c r="N1177" s="93">
        <f>IF(M1177=0, 0, IF(OR($K$6="Square Grid", M1177=1), INT($G$7/H1177), IF($G$7&lt;H1177, 0, 1+INT(($G$7-H1177)/(0.8660254*H1177)))))</f>
        <v/>
      </c>
      <c r="O1177" s="59">
        <f>IF(OR(M1177=0,N1177=0), 0, IF(OR($K$6="Square Grid", M1177=1), M1177*N1177*$K$5, (INT((N1177+1)/2)*M1177 + INT(N1177/2)*IF(($G$6-M1177*H1177)&gt;=0.5*H1177, M1177, M1177-1))*$K$5))</f>
        <v/>
      </c>
      <c r="P1177" s="59">
        <f>IF(L1177&lt;=0, 0, INT($G$8/L1177))</f>
        <v/>
      </c>
      <c r="Q1177" s="95">
        <f>MIN(O1177, P1177)</f>
        <v/>
      </c>
      <c r="R1177" s="96">
        <f>ROUND((Q1177*L1177)/1000, 2)</f>
        <v/>
      </c>
      <c r="S1177" s="79">
        <f>IF($C$8&gt;0, R1177/$C$8, 0)</f>
        <v/>
      </c>
      <c r="T1177" s="79">
        <f>IF(O1177&gt;0, Q1177/O1177, 0)</f>
        <v/>
      </c>
      <c r="U1177" s="12">
        <f>IF(Q1177=0, "Exceeds Limit", IF(P1177&lt;=O1177, "Weight Limited", "Volume Limited"))</f>
        <v/>
      </c>
      <c r="V1177" s="97">
        <f>B1177&amp;"|"&amp;D1177&amp;"|"&amp;F1177</f>
        <v/>
      </c>
    </row>
    <row r="1178" ht="19" customHeight="1">
      <c r="A1178" s="98" t="n">
        <v>1168</v>
      </c>
      <c r="B1178" s="102" t="inlineStr">
        <is>
          <t>Stainless Steel 316</t>
        </is>
      </c>
      <c r="C1178" s="19" t="inlineStr">
        <is>
          <t>ASME B36.19M / B36.10M</t>
        </is>
      </c>
      <c r="D1178" s="18" t="inlineStr">
        <is>
          <t>42''</t>
        </is>
      </c>
      <c r="E1178" s="98" t="n">
        <v>1050</v>
      </c>
      <c r="F1178" s="18" t="inlineStr">
        <is>
          <t>XS</t>
        </is>
      </c>
      <c r="G1178" s="20" t="n">
        <v>42</v>
      </c>
      <c r="H1178" s="82" t="n">
        <v>1066.8</v>
      </c>
      <c r="I1178" s="20" t="n">
        <v>0.5</v>
      </c>
      <c r="J1178" s="82" t="n">
        <v>12.7</v>
      </c>
      <c r="K1178" s="20">
        <f>ROUND((H1178-J1178)*J1178*IF(B1178="Carbon Steel",$K$7,IF(B1178="Stainless Steel 304",$K$8,$L$8)), 3)</f>
        <v/>
      </c>
      <c r="L1178" s="82">
        <f>ROUND(K1178*$G$5, 2)</f>
        <v/>
      </c>
      <c r="M1178" s="98">
        <f>INT($G$6/H1178)</f>
        <v/>
      </c>
      <c r="N1178" s="98">
        <f>IF(M1178=0, 0, IF(OR($K$6="Square Grid", M1178=1), INT($G$7/H1178), IF($G$7&lt;H1178, 0, 1+INT(($G$7-H1178)/(0.8660254*H1178)))))</f>
        <v/>
      </c>
      <c r="O1178" s="84">
        <f>IF(OR(M1178=0,N1178=0), 0, IF(OR($K$6="Square Grid", M1178=1), M1178*N1178*$K$5, (INT((N1178+1)/2)*M1178 + INT(N1178/2)*IF(($G$6-M1178*H1178)&gt;=0.5*H1178, M1178, M1178-1))*$K$5))</f>
        <v/>
      </c>
      <c r="P1178" s="84">
        <f>IF(L1178&lt;=0, 0, INT($G$8/L1178))</f>
        <v/>
      </c>
      <c r="Q1178" s="95">
        <f>MIN(O1178, P1178)</f>
        <v/>
      </c>
      <c r="R1178" s="96">
        <f>ROUND((Q1178*L1178)/1000, 2)</f>
        <v/>
      </c>
      <c r="S1178" s="85">
        <f>IF($C$8&gt;0, R1178/$C$8, 0)</f>
        <v/>
      </c>
      <c r="T1178" s="85">
        <f>IF(O1178&gt;0, Q1178/O1178, 0)</f>
        <v/>
      </c>
      <c r="U1178" s="18">
        <f>IF(Q1178=0, "Exceeds Limit", IF(P1178&lt;=O1178, "Weight Limited", "Volume Limited"))</f>
        <v/>
      </c>
      <c r="V1178" s="100">
        <f>B1178&amp;"|"&amp;D1178&amp;"|"&amp;F1178</f>
        <v/>
      </c>
    </row>
    <row r="1179" ht="19" customHeight="1">
      <c r="A1179" s="93" t="n">
        <v>1169</v>
      </c>
      <c r="B1179" s="101" t="inlineStr">
        <is>
          <t>Stainless Steel 316</t>
        </is>
      </c>
      <c r="C1179" s="13" t="inlineStr">
        <is>
          <t>ASME B36.19M / B36.10M</t>
        </is>
      </c>
      <c r="D1179" s="12" t="inlineStr">
        <is>
          <t>44''</t>
        </is>
      </c>
      <c r="E1179" s="93" t="n">
        <v>1100</v>
      </c>
      <c r="F1179" s="12" t="inlineStr">
        <is>
          <t>STD</t>
        </is>
      </c>
      <c r="G1179" s="14" t="n">
        <v>44</v>
      </c>
      <c r="H1179" s="78" t="n">
        <v>1117.6</v>
      </c>
      <c r="I1179" s="14" t="n">
        <v>0.375</v>
      </c>
      <c r="J1179" s="78" t="n">
        <v>9.52</v>
      </c>
      <c r="K1179" s="14">
        <f>ROUND((H1179-J1179)*J1179*IF(B1179="Carbon Steel",$K$7,IF(B1179="Stainless Steel 304",$K$8,$L$8)), 3)</f>
        <v/>
      </c>
      <c r="L1179" s="78">
        <f>ROUND(K1179*$G$5, 2)</f>
        <v/>
      </c>
      <c r="M1179" s="93">
        <f>INT($G$6/H1179)</f>
        <v/>
      </c>
      <c r="N1179" s="93">
        <f>IF(M1179=0, 0, IF(OR($K$6="Square Grid", M1179=1), INT($G$7/H1179), IF($G$7&lt;H1179, 0, 1+INT(($G$7-H1179)/(0.8660254*H1179)))))</f>
        <v/>
      </c>
      <c r="O1179" s="59">
        <f>IF(OR(M1179=0,N1179=0), 0, IF(OR($K$6="Square Grid", M1179=1), M1179*N1179*$K$5, (INT((N1179+1)/2)*M1179 + INT(N1179/2)*IF(($G$6-M1179*H1179)&gt;=0.5*H1179, M1179, M1179-1))*$K$5))</f>
        <v/>
      </c>
      <c r="P1179" s="59">
        <f>IF(L1179&lt;=0, 0, INT($G$8/L1179))</f>
        <v/>
      </c>
      <c r="Q1179" s="95">
        <f>MIN(O1179, P1179)</f>
        <v/>
      </c>
      <c r="R1179" s="96">
        <f>ROUND((Q1179*L1179)/1000, 2)</f>
        <v/>
      </c>
      <c r="S1179" s="79">
        <f>IF($C$8&gt;0, R1179/$C$8, 0)</f>
        <v/>
      </c>
      <c r="T1179" s="79">
        <f>IF(O1179&gt;0, Q1179/O1179, 0)</f>
        <v/>
      </c>
      <c r="U1179" s="12">
        <f>IF(Q1179=0, "Exceeds Limit", IF(P1179&lt;=O1179, "Weight Limited", "Volume Limited"))</f>
        <v/>
      </c>
      <c r="V1179" s="97">
        <f>B1179&amp;"|"&amp;D1179&amp;"|"&amp;F1179</f>
        <v/>
      </c>
    </row>
    <row r="1180" ht="19" customHeight="1">
      <c r="A1180" s="98" t="n">
        <v>1170</v>
      </c>
      <c r="B1180" s="102" t="inlineStr">
        <is>
          <t>Stainless Steel 316</t>
        </is>
      </c>
      <c r="C1180" s="19" t="inlineStr">
        <is>
          <t>ASME B36.19M / B36.10M</t>
        </is>
      </c>
      <c r="D1180" s="18" t="inlineStr">
        <is>
          <t>44''</t>
        </is>
      </c>
      <c r="E1180" s="98" t="n">
        <v>1100</v>
      </c>
      <c r="F1180" s="18" t="inlineStr">
        <is>
          <t>XS</t>
        </is>
      </c>
      <c r="G1180" s="20" t="n">
        <v>44</v>
      </c>
      <c r="H1180" s="82" t="n">
        <v>1117.6</v>
      </c>
      <c r="I1180" s="20" t="n">
        <v>0.5</v>
      </c>
      <c r="J1180" s="82" t="n">
        <v>12.7</v>
      </c>
      <c r="K1180" s="20">
        <f>ROUND((H1180-J1180)*J1180*IF(B1180="Carbon Steel",$K$7,IF(B1180="Stainless Steel 304",$K$8,$L$8)), 3)</f>
        <v/>
      </c>
      <c r="L1180" s="82">
        <f>ROUND(K1180*$G$5, 2)</f>
        <v/>
      </c>
      <c r="M1180" s="98">
        <f>INT($G$6/H1180)</f>
        <v/>
      </c>
      <c r="N1180" s="98">
        <f>IF(M1180=0, 0, IF(OR($K$6="Square Grid", M1180=1), INT($G$7/H1180), IF($G$7&lt;H1180, 0, 1+INT(($G$7-H1180)/(0.8660254*H1180)))))</f>
        <v/>
      </c>
      <c r="O1180" s="84">
        <f>IF(OR(M1180=0,N1180=0), 0, IF(OR($K$6="Square Grid", M1180=1), M1180*N1180*$K$5, (INT((N1180+1)/2)*M1180 + INT(N1180/2)*IF(($G$6-M1180*H1180)&gt;=0.5*H1180, M1180, M1180-1))*$K$5))</f>
        <v/>
      </c>
      <c r="P1180" s="84">
        <f>IF(L1180&lt;=0, 0, INT($G$8/L1180))</f>
        <v/>
      </c>
      <c r="Q1180" s="95">
        <f>MIN(O1180, P1180)</f>
        <v/>
      </c>
      <c r="R1180" s="96">
        <f>ROUND((Q1180*L1180)/1000, 2)</f>
        <v/>
      </c>
      <c r="S1180" s="85">
        <f>IF($C$8&gt;0, R1180/$C$8, 0)</f>
        <v/>
      </c>
      <c r="T1180" s="85">
        <f>IF(O1180&gt;0, Q1180/O1180, 0)</f>
        <v/>
      </c>
      <c r="U1180" s="18">
        <f>IF(Q1180=0, "Exceeds Limit", IF(P1180&lt;=O1180, "Weight Limited", "Volume Limited"))</f>
        <v/>
      </c>
      <c r="V1180" s="100">
        <f>B1180&amp;"|"&amp;D1180&amp;"|"&amp;F1180</f>
        <v/>
      </c>
    </row>
    <row r="1181" ht="19" customHeight="1">
      <c r="A1181" s="93" t="n">
        <v>1171</v>
      </c>
      <c r="B1181" s="101" t="inlineStr">
        <is>
          <t>Stainless Steel 316</t>
        </is>
      </c>
      <c r="C1181" s="13" t="inlineStr">
        <is>
          <t>ASME B36.19M / B36.10M</t>
        </is>
      </c>
      <c r="D1181" s="12" t="inlineStr">
        <is>
          <t>46''</t>
        </is>
      </c>
      <c r="E1181" s="93" t="n">
        <v>1150</v>
      </c>
      <c r="F1181" s="12" t="inlineStr">
        <is>
          <t>STD</t>
        </is>
      </c>
      <c r="G1181" s="14" t="n">
        <v>46</v>
      </c>
      <c r="H1181" s="78" t="n">
        <v>1168.4</v>
      </c>
      <c r="I1181" s="14" t="n">
        <v>0.375</v>
      </c>
      <c r="J1181" s="78" t="n">
        <v>9.52</v>
      </c>
      <c r="K1181" s="14">
        <f>ROUND((H1181-J1181)*J1181*IF(B1181="Carbon Steel",$K$7,IF(B1181="Stainless Steel 304",$K$8,$L$8)), 3)</f>
        <v/>
      </c>
      <c r="L1181" s="78">
        <f>ROUND(K1181*$G$5, 2)</f>
        <v/>
      </c>
      <c r="M1181" s="93">
        <f>INT($G$6/H1181)</f>
        <v/>
      </c>
      <c r="N1181" s="93">
        <f>IF(M1181=0, 0, IF(OR($K$6="Square Grid", M1181=1), INT($G$7/H1181), IF($G$7&lt;H1181, 0, 1+INT(($G$7-H1181)/(0.8660254*H1181)))))</f>
        <v/>
      </c>
      <c r="O1181" s="59">
        <f>IF(OR(M1181=0,N1181=0), 0, IF(OR($K$6="Square Grid", M1181=1), M1181*N1181*$K$5, (INT((N1181+1)/2)*M1181 + INT(N1181/2)*IF(($G$6-M1181*H1181)&gt;=0.5*H1181, M1181, M1181-1))*$K$5))</f>
        <v/>
      </c>
      <c r="P1181" s="59">
        <f>IF(L1181&lt;=0, 0, INT($G$8/L1181))</f>
        <v/>
      </c>
      <c r="Q1181" s="95">
        <f>MIN(O1181, P1181)</f>
        <v/>
      </c>
      <c r="R1181" s="96">
        <f>ROUND((Q1181*L1181)/1000, 2)</f>
        <v/>
      </c>
      <c r="S1181" s="79">
        <f>IF($C$8&gt;0, R1181/$C$8, 0)</f>
        <v/>
      </c>
      <c r="T1181" s="79">
        <f>IF(O1181&gt;0, Q1181/O1181, 0)</f>
        <v/>
      </c>
      <c r="U1181" s="12">
        <f>IF(Q1181=0, "Exceeds Limit", IF(P1181&lt;=O1181, "Weight Limited", "Volume Limited"))</f>
        <v/>
      </c>
      <c r="V1181" s="97">
        <f>B1181&amp;"|"&amp;D1181&amp;"|"&amp;F1181</f>
        <v/>
      </c>
    </row>
    <row r="1182" ht="19" customHeight="1">
      <c r="A1182" s="98" t="n">
        <v>1172</v>
      </c>
      <c r="B1182" s="102" t="inlineStr">
        <is>
          <t>Stainless Steel 316</t>
        </is>
      </c>
      <c r="C1182" s="19" t="inlineStr">
        <is>
          <t>ASME B36.19M / B36.10M</t>
        </is>
      </c>
      <c r="D1182" s="18" t="inlineStr">
        <is>
          <t>46''</t>
        </is>
      </c>
      <c r="E1182" s="98" t="n">
        <v>1150</v>
      </c>
      <c r="F1182" s="18" t="inlineStr">
        <is>
          <t>XS</t>
        </is>
      </c>
      <c r="G1182" s="20" t="n">
        <v>46</v>
      </c>
      <c r="H1182" s="82" t="n">
        <v>1168.4</v>
      </c>
      <c r="I1182" s="20" t="n">
        <v>0.5</v>
      </c>
      <c r="J1182" s="82" t="n">
        <v>12.7</v>
      </c>
      <c r="K1182" s="20">
        <f>ROUND((H1182-J1182)*J1182*IF(B1182="Carbon Steel",$K$7,IF(B1182="Stainless Steel 304",$K$8,$L$8)), 3)</f>
        <v/>
      </c>
      <c r="L1182" s="82">
        <f>ROUND(K1182*$G$5, 2)</f>
        <v/>
      </c>
      <c r="M1182" s="98">
        <f>INT($G$6/H1182)</f>
        <v/>
      </c>
      <c r="N1182" s="98">
        <f>IF(M1182=0, 0, IF(OR($K$6="Square Grid", M1182=1), INT($G$7/H1182), IF($G$7&lt;H1182, 0, 1+INT(($G$7-H1182)/(0.8660254*H1182)))))</f>
        <v/>
      </c>
      <c r="O1182" s="84">
        <f>IF(OR(M1182=0,N1182=0), 0, IF(OR($K$6="Square Grid", M1182=1), M1182*N1182*$K$5, (INT((N1182+1)/2)*M1182 + INT(N1182/2)*IF(($G$6-M1182*H1182)&gt;=0.5*H1182, M1182, M1182-1))*$K$5))</f>
        <v/>
      </c>
      <c r="P1182" s="84">
        <f>IF(L1182&lt;=0, 0, INT($G$8/L1182))</f>
        <v/>
      </c>
      <c r="Q1182" s="95">
        <f>MIN(O1182, P1182)</f>
        <v/>
      </c>
      <c r="R1182" s="96">
        <f>ROUND((Q1182*L1182)/1000, 2)</f>
        <v/>
      </c>
      <c r="S1182" s="85">
        <f>IF($C$8&gt;0, R1182/$C$8, 0)</f>
        <v/>
      </c>
      <c r="T1182" s="85">
        <f>IF(O1182&gt;0, Q1182/O1182, 0)</f>
        <v/>
      </c>
      <c r="U1182" s="18">
        <f>IF(Q1182=0, "Exceeds Limit", IF(P1182&lt;=O1182, "Weight Limited", "Volume Limited"))</f>
        <v/>
      </c>
      <c r="V1182" s="100">
        <f>B1182&amp;"|"&amp;D1182&amp;"|"&amp;F1182</f>
        <v/>
      </c>
    </row>
    <row r="1183" ht="19" customHeight="1">
      <c r="A1183" s="93" t="n">
        <v>1173</v>
      </c>
      <c r="B1183" s="101" t="inlineStr">
        <is>
          <t>Stainless Steel 316</t>
        </is>
      </c>
      <c r="C1183" s="13" t="inlineStr">
        <is>
          <t>ASME B36.19M / B36.10M</t>
        </is>
      </c>
      <c r="D1183" s="12" t="inlineStr">
        <is>
          <t>48''</t>
        </is>
      </c>
      <c r="E1183" s="93" t="n">
        <v>1200</v>
      </c>
      <c r="F1183" s="12" t="inlineStr">
        <is>
          <t>40S</t>
        </is>
      </c>
      <c r="G1183" s="14" t="n">
        <v>48</v>
      </c>
      <c r="H1183" s="78" t="n">
        <v>1219.2</v>
      </c>
      <c r="I1183" s="14" t="n">
        <v>0.375</v>
      </c>
      <c r="J1183" s="78" t="n">
        <v>9.52</v>
      </c>
      <c r="K1183" s="14">
        <f>ROUND((H1183-J1183)*J1183*IF(B1183="Carbon Steel",$K$7,IF(B1183="Stainless Steel 304",$K$8,$L$8)), 3)</f>
        <v/>
      </c>
      <c r="L1183" s="78">
        <f>ROUND(K1183*$G$5, 2)</f>
        <v/>
      </c>
      <c r="M1183" s="93">
        <f>INT($G$6/H1183)</f>
        <v/>
      </c>
      <c r="N1183" s="93">
        <f>IF(M1183=0, 0, IF(OR($K$6="Square Grid", M1183=1), INT($G$7/H1183), IF($G$7&lt;H1183, 0, 1+INT(($G$7-H1183)/(0.8660254*H1183)))))</f>
        <v/>
      </c>
      <c r="O1183" s="59">
        <f>IF(OR(M1183=0,N1183=0), 0, IF(OR($K$6="Square Grid", M1183=1), M1183*N1183*$K$5, (INT((N1183+1)/2)*M1183 + INT(N1183/2)*IF(($G$6-M1183*H1183)&gt;=0.5*H1183, M1183, M1183-1))*$K$5))</f>
        <v/>
      </c>
      <c r="P1183" s="59">
        <f>IF(L1183&lt;=0, 0, INT($G$8/L1183))</f>
        <v/>
      </c>
      <c r="Q1183" s="95">
        <f>MIN(O1183, P1183)</f>
        <v/>
      </c>
      <c r="R1183" s="96">
        <f>ROUND((Q1183*L1183)/1000, 2)</f>
        <v/>
      </c>
      <c r="S1183" s="79">
        <f>IF($C$8&gt;0, R1183/$C$8, 0)</f>
        <v/>
      </c>
      <c r="T1183" s="79">
        <f>IF(O1183&gt;0, Q1183/O1183, 0)</f>
        <v/>
      </c>
      <c r="U1183" s="12">
        <f>IF(Q1183=0, "Exceeds Limit", IF(P1183&lt;=O1183, "Weight Limited", "Volume Limited"))</f>
        <v/>
      </c>
      <c r="V1183" s="97">
        <f>B1183&amp;"|"&amp;D1183&amp;"|"&amp;F1183</f>
        <v/>
      </c>
    </row>
    <row r="1184" ht="19" customHeight="1">
      <c r="A1184" s="98" t="n">
        <v>1174</v>
      </c>
      <c r="B1184" s="102" t="inlineStr">
        <is>
          <t>Stainless Steel 316</t>
        </is>
      </c>
      <c r="C1184" s="19" t="inlineStr">
        <is>
          <t>ASME B36.19M / B36.10M</t>
        </is>
      </c>
      <c r="D1184" s="18" t="inlineStr">
        <is>
          <t>48''</t>
        </is>
      </c>
      <c r="E1184" s="98" t="n">
        <v>1200</v>
      </c>
      <c r="F1184" s="18" t="inlineStr">
        <is>
          <t>STD</t>
        </is>
      </c>
      <c r="G1184" s="20" t="n">
        <v>48</v>
      </c>
      <c r="H1184" s="82" t="n">
        <v>1219.2</v>
      </c>
      <c r="I1184" s="20" t="n">
        <v>0.375</v>
      </c>
      <c r="J1184" s="82" t="n">
        <v>9.52</v>
      </c>
      <c r="K1184" s="20">
        <f>ROUND((H1184-J1184)*J1184*IF(B1184="Carbon Steel",$K$7,IF(B1184="Stainless Steel 304",$K$8,$L$8)), 3)</f>
        <v/>
      </c>
      <c r="L1184" s="82">
        <f>ROUND(K1184*$G$5, 2)</f>
        <v/>
      </c>
      <c r="M1184" s="98">
        <f>INT($G$6/H1184)</f>
        <v/>
      </c>
      <c r="N1184" s="98">
        <f>IF(M1184=0, 0, IF(OR($K$6="Square Grid", M1184=1), INT($G$7/H1184), IF($G$7&lt;H1184, 0, 1+INT(($G$7-H1184)/(0.8660254*H1184)))))</f>
        <v/>
      </c>
      <c r="O1184" s="84">
        <f>IF(OR(M1184=0,N1184=0), 0, IF(OR($K$6="Square Grid", M1184=1), M1184*N1184*$K$5, (INT((N1184+1)/2)*M1184 + INT(N1184/2)*IF(($G$6-M1184*H1184)&gt;=0.5*H1184, M1184, M1184-1))*$K$5))</f>
        <v/>
      </c>
      <c r="P1184" s="84">
        <f>IF(L1184&lt;=0, 0, INT($G$8/L1184))</f>
        <v/>
      </c>
      <c r="Q1184" s="95">
        <f>MIN(O1184, P1184)</f>
        <v/>
      </c>
      <c r="R1184" s="96">
        <f>ROUND((Q1184*L1184)/1000, 2)</f>
        <v/>
      </c>
      <c r="S1184" s="85">
        <f>IF($C$8&gt;0, R1184/$C$8, 0)</f>
        <v/>
      </c>
      <c r="T1184" s="85">
        <f>IF(O1184&gt;0, Q1184/O1184, 0)</f>
        <v/>
      </c>
      <c r="U1184" s="18">
        <f>IF(Q1184=0, "Exceeds Limit", IF(P1184&lt;=O1184, "Weight Limited", "Volume Limited"))</f>
        <v/>
      </c>
      <c r="V1184" s="100">
        <f>B1184&amp;"|"&amp;D1184&amp;"|"&amp;F1184</f>
        <v/>
      </c>
    </row>
    <row r="1185" ht="19" customHeight="1">
      <c r="A1185" s="93" t="n">
        <v>1175</v>
      </c>
      <c r="B1185" s="101" t="inlineStr">
        <is>
          <t>Stainless Steel 316</t>
        </is>
      </c>
      <c r="C1185" s="13" t="inlineStr">
        <is>
          <t>ASME B36.19M / B36.10M</t>
        </is>
      </c>
      <c r="D1185" s="12" t="inlineStr">
        <is>
          <t>48''</t>
        </is>
      </c>
      <c r="E1185" s="93" t="n">
        <v>1200</v>
      </c>
      <c r="F1185" s="12" t="inlineStr">
        <is>
          <t>80S</t>
        </is>
      </c>
      <c r="G1185" s="14" t="n">
        <v>48</v>
      </c>
      <c r="H1185" s="78" t="n">
        <v>1219.2</v>
      </c>
      <c r="I1185" s="14" t="n">
        <v>0.5</v>
      </c>
      <c r="J1185" s="78" t="n">
        <v>12.7</v>
      </c>
      <c r="K1185" s="14">
        <f>ROUND((H1185-J1185)*J1185*IF(B1185="Carbon Steel",$K$7,IF(B1185="Stainless Steel 304",$K$8,$L$8)), 3)</f>
        <v/>
      </c>
      <c r="L1185" s="78">
        <f>ROUND(K1185*$G$5, 2)</f>
        <v/>
      </c>
      <c r="M1185" s="93">
        <f>INT($G$6/H1185)</f>
        <v/>
      </c>
      <c r="N1185" s="93">
        <f>IF(M1185=0, 0, IF(OR($K$6="Square Grid", M1185=1), INT($G$7/H1185), IF($G$7&lt;H1185, 0, 1+INT(($G$7-H1185)/(0.8660254*H1185)))))</f>
        <v/>
      </c>
      <c r="O1185" s="59">
        <f>IF(OR(M1185=0,N1185=0), 0, IF(OR($K$6="Square Grid", M1185=1), M1185*N1185*$K$5, (INT((N1185+1)/2)*M1185 + INT(N1185/2)*IF(($G$6-M1185*H1185)&gt;=0.5*H1185, M1185, M1185-1))*$K$5))</f>
        <v/>
      </c>
      <c r="P1185" s="59">
        <f>IF(L1185&lt;=0, 0, INT($G$8/L1185))</f>
        <v/>
      </c>
      <c r="Q1185" s="95">
        <f>MIN(O1185, P1185)</f>
        <v/>
      </c>
      <c r="R1185" s="96">
        <f>ROUND((Q1185*L1185)/1000, 2)</f>
        <v/>
      </c>
      <c r="S1185" s="79">
        <f>IF($C$8&gt;0, R1185/$C$8, 0)</f>
        <v/>
      </c>
      <c r="T1185" s="79">
        <f>IF(O1185&gt;0, Q1185/O1185, 0)</f>
        <v/>
      </c>
      <c r="U1185" s="12">
        <f>IF(Q1185=0, "Exceeds Limit", IF(P1185&lt;=O1185, "Weight Limited", "Volume Limited"))</f>
        <v/>
      </c>
      <c r="V1185" s="97">
        <f>B1185&amp;"|"&amp;D1185&amp;"|"&amp;F1185</f>
        <v/>
      </c>
    </row>
    <row r="1186" ht="19" customHeight="1">
      <c r="A1186" s="98" t="n">
        <v>1176</v>
      </c>
      <c r="B1186" s="102" t="inlineStr">
        <is>
          <t>Stainless Steel 316</t>
        </is>
      </c>
      <c r="C1186" s="19" t="inlineStr">
        <is>
          <t>ASME B36.19M / B36.10M</t>
        </is>
      </c>
      <c r="D1186" s="18" t="inlineStr">
        <is>
          <t>48''</t>
        </is>
      </c>
      <c r="E1186" s="98" t="n">
        <v>1200</v>
      </c>
      <c r="F1186" s="18" t="inlineStr">
        <is>
          <t>XS</t>
        </is>
      </c>
      <c r="G1186" s="20" t="n">
        <v>48</v>
      </c>
      <c r="H1186" s="82" t="n">
        <v>1219.2</v>
      </c>
      <c r="I1186" s="20" t="n">
        <v>0.5</v>
      </c>
      <c r="J1186" s="82" t="n">
        <v>12.7</v>
      </c>
      <c r="K1186" s="20">
        <f>ROUND((H1186-J1186)*J1186*IF(B1186="Carbon Steel",$K$7,IF(B1186="Stainless Steel 304",$K$8,$L$8)), 3)</f>
        <v/>
      </c>
      <c r="L1186" s="82">
        <f>ROUND(K1186*$G$5, 2)</f>
        <v/>
      </c>
      <c r="M1186" s="98">
        <f>INT($G$6/H1186)</f>
        <v/>
      </c>
      <c r="N1186" s="98">
        <f>IF(M1186=0, 0, IF(OR($K$6="Square Grid", M1186=1), INT($G$7/H1186), IF($G$7&lt;H1186, 0, 1+INT(($G$7-H1186)/(0.8660254*H1186)))))</f>
        <v/>
      </c>
      <c r="O1186" s="84">
        <f>IF(OR(M1186=0,N1186=0), 0, IF(OR($K$6="Square Grid", M1186=1), M1186*N1186*$K$5, (INT((N1186+1)/2)*M1186 + INT(N1186/2)*IF(($G$6-M1186*H1186)&gt;=0.5*H1186, M1186, M1186-1))*$K$5))</f>
        <v/>
      </c>
      <c r="P1186" s="84">
        <f>IF(L1186&lt;=0, 0, INT($G$8/L1186))</f>
        <v/>
      </c>
      <c r="Q1186" s="95">
        <f>MIN(O1186, P1186)</f>
        <v/>
      </c>
      <c r="R1186" s="96">
        <f>ROUND((Q1186*L1186)/1000, 2)</f>
        <v/>
      </c>
      <c r="S1186" s="85">
        <f>IF($C$8&gt;0, R1186/$C$8, 0)</f>
        <v/>
      </c>
      <c r="T1186" s="85">
        <f>IF(O1186&gt;0, Q1186/O1186, 0)</f>
        <v/>
      </c>
      <c r="U1186" s="18">
        <f>IF(Q1186=0, "Exceeds Limit", IF(P1186&lt;=O1186, "Weight Limited", "Volume Limited"))</f>
        <v/>
      </c>
      <c r="V1186" s="100">
        <f>B1186&amp;"|"&amp;D1186&amp;"|"&amp;F1186</f>
        <v/>
      </c>
    </row>
  </sheetData>
  <autoFilter ref="A10:V1186"/>
  <mergeCells count="28">
    <mergeCell ref="A2:V2"/>
    <mergeCell ref="C6:D6"/>
    <mergeCell ref="I6:J6"/>
    <mergeCell ref="A4:D4"/>
    <mergeCell ref="C5:D5"/>
    <mergeCell ref="I4:L4"/>
    <mergeCell ref="E5:F5"/>
    <mergeCell ref="K5:L5"/>
    <mergeCell ref="G8:H8"/>
    <mergeCell ref="A6:B6"/>
    <mergeCell ref="E8:F8"/>
    <mergeCell ref="A7:B7"/>
    <mergeCell ref="G7:H7"/>
    <mergeCell ref="I7:J7"/>
    <mergeCell ref="G6:H6"/>
    <mergeCell ref="E6:F6"/>
    <mergeCell ref="A1:V1"/>
    <mergeCell ref="E4:H4"/>
    <mergeCell ref="A5:B5"/>
    <mergeCell ref="G5:H5"/>
    <mergeCell ref="I5:J5"/>
    <mergeCell ref="I8:J8"/>
    <mergeCell ref="A8:B8"/>
    <mergeCell ref="C8:D8"/>
    <mergeCell ref="K7:L7"/>
    <mergeCell ref="C7:D7"/>
    <mergeCell ref="E7:F7"/>
    <mergeCell ref="K6:L6"/>
  </mergeCells>
  <conditionalFormatting sqref="U11:U1186">
    <cfRule type="cellIs" priority="1" operator="equal" dxfId="2">
      <formula>"Weight Limited"</formula>
    </cfRule>
    <cfRule type="cellIs" priority="2" operator="equal" dxfId="3">
      <formula>"Volume Limited"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7"/>
  <sheetViews>
    <sheetView showGridLines="1" workbookViewId="0">
      <pane xSplit="4" ySplit="11" topLeftCell="E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1" t="inlineStr">
        <is>
          <t>PRECISE PIPE — ASME B36.10M (CARBON STEEL) &amp; B36.19M (STAINLESS STEEL) ENGINEERING DATABASE</t>
        </is>
      </c>
    </row>
    <row r="2" ht="20" customHeight="1">
      <c r="A2" s="2" t="inlineStr">
        <is>
          <t>Reference Standard: ASME B36.10M / B36.19M | Nominal Pipe Size (NPS 1/8" to 48") | Outer Diameter (OD) &amp; Wall Thickness (WT) in Millimeters (mm)</t>
        </is>
      </c>
    </row>
    <row r="4">
      <c r="A4" s="3" t="inlineStr">
        <is>
          <t>ENGINEERING CONSTANTS &amp; MATERIAL DENSITIES</t>
        </is>
      </c>
    </row>
    <row r="5" ht="22" customHeight="1">
      <c r="A5" s="4" t="inlineStr">
        <is>
          <t>Material Grade</t>
        </is>
      </c>
      <c r="B5" s="4" t="inlineStr">
        <is>
          <t>Standard Spec</t>
        </is>
      </c>
      <c r="C5" s="4" t="inlineStr">
        <is>
          <t>Density (g/cm3)</t>
        </is>
      </c>
      <c r="D5" s="4" t="inlineStr">
        <is>
          <t>Weight Factor C (kg/m)</t>
        </is>
      </c>
      <c r="E5" s="4" t="inlineStr">
        <is>
          <t>Formula: Unit Weight (kg/m)</t>
        </is>
      </c>
    </row>
    <row r="6" ht="20" customHeight="1">
      <c r="A6" s="5" t="inlineStr">
        <is>
          <t>Carbon Steel (CS)</t>
        </is>
      </c>
      <c r="B6" s="6" t="inlineStr">
        <is>
          <t>ASME B36.10M / ASTM A53, A106, API 5L</t>
        </is>
      </c>
      <c r="C6" s="7" t="n">
        <v>7.85</v>
      </c>
      <c r="D6" s="8">
        <f>ROUND(PI()*10^-6*(C6*1000), 7)</f>
        <v/>
      </c>
      <c r="E6" s="6" t="inlineStr">
        <is>
          <t>(OD_mm - WT_mm) * WT_mm * D6</t>
        </is>
      </c>
    </row>
    <row r="7" ht="20" customHeight="1">
      <c r="A7" s="5" t="inlineStr">
        <is>
          <t>Stainless Steel 304/304L (SS304)</t>
        </is>
      </c>
      <c r="B7" s="6" t="inlineStr">
        <is>
          <t>ASME B36.19M / ASTM A312 TP304</t>
        </is>
      </c>
      <c r="C7" s="7" t="n">
        <v>7.93</v>
      </c>
      <c r="D7" s="8">
        <f>ROUND(PI()*10^-6*(C7*1000), 7)</f>
        <v/>
      </c>
      <c r="E7" s="6" t="inlineStr">
        <is>
          <t>(OD_mm - WT_mm) * WT_mm * D7</t>
        </is>
      </c>
    </row>
    <row r="8" ht="20" customHeight="1">
      <c r="A8" s="5" t="inlineStr">
        <is>
          <t>Stainless Steel 316/316L (SS316)</t>
        </is>
      </c>
      <c r="B8" s="6" t="inlineStr">
        <is>
          <t>ASME B36.19M / ASTM A312 TP316</t>
        </is>
      </c>
      <c r="C8" s="7" t="n">
        <v>7.98</v>
      </c>
      <c r="D8" s="8">
        <f>ROUND(PI()*10^-6*(C8*1000), 7)</f>
        <v/>
      </c>
      <c r="E8" s="6" t="inlineStr">
        <is>
          <t>(OD_mm - WT_mm) * WT_mm * D8</t>
        </is>
      </c>
    </row>
    <row r="10">
      <c r="A10" s="3" t="inlineStr">
        <is>
          <t>MASTER PIPE SCHEDULE CHART — WALL THICKNESS IN MILLIMETERS (MM)</t>
        </is>
      </c>
    </row>
    <row r="11" ht="26" customHeight="1">
      <c r="A11" s="9" t="inlineStr">
        <is>
          <t>NPS (in)</t>
        </is>
      </c>
      <c r="B11" s="9" t="inlineStr">
        <is>
          <t>DN (mm)</t>
        </is>
      </c>
      <c r="C11" s="9" t="inlineStr">
        <is>
          <t>OD (in)</t>
        </is>
      </c>
      <c r="D11" s="9" t="inlineStr">
        <is>
          <t>OD (mm)</t>
        </is>
      </c>
      <c r="E11" s="10" t="inlineStr">
        <is>
          <t>Sch 5S</t>
        </is>
      </c>
      <c r="F11" s="11" t="inlineStr">
        <is>
          <t>Sch 5</t>
        </is>
      </c>
      <c r="G11" s="10" t="inlineStr">
        <is>
          <t>Sch 10S</t>
        </is>
      </c>
      <c r="H11" s="11" t="inlineStr">
        <is>
          <t>Sch 10</t>
        </is>
      </c>
      <c r="I11" s="11" t="inlineStr">
        <is>
          <t>Sch 20</t>
        </is>
      </c>
      <c r="J11" s="11" t="inlineStr">
        <is>
          <t>Sch 30</t>
        </is>
      </c>
      <c r="K11" s="10" t="inlineStr">
        <is>
          <t>Sch 40S</t>
        </is>
      </c>
      <c r="L11" s="11" t="inlineStr">
        <is>
          <t>Sch STD</t>
        </is>
      </c>
      <c r="M11" s="11" t="inlineStr">
        <is>
          <t>Sch 40</t>
        </is>
      </c>
      <c r="N11" s="11" t="inlineStr">
        <is>
          <t>Sch 60</t>
        </is>
      </c>
      <c r="O11" s="10" t="inlineStr">
        <is>
          <t>Sch 80S</t>
        </is>
      </c>
      <c r="P11" s="10" t="inlineStr">
        <is>
          <t>Sch XS</t>
        </is>
      </c>
      <c r="Q11" s="11" t="inlineStr">
        <is>
          <t>Sch 80</t>
        </is>
      </c>
      <c r="R11" s="11" t="inlineStr">
        <is>
          <t>Sch 100</t>
        </is>
      </c>
      <c r="S11" s="11" t="inlineStr">
        <is>
          <t>Sch 120</t>
        </is>
      </c>
      <c r="T11" s="11" t="inlineStr">
        <is>
          <t>Sch 140</t>
        </is>
      </c>
      <c r="U11" s="11" t="inlineStr">
        <is>
          <t>Sch 160</t>
        </is>
      </c>
      <c r="V11" s="10" t="inlineStr">
        <is>
          <t>Sch XXS</t>
        </is>
      </c>
    </row>
    <row r="12" ht="19" customHeight="1">
      <c r="A12" s="12" t="inlineStr">
        <is>
          <t>1/8''</t>
        </is>
      </c>
      <c r="B12" s="13" t="n">
        <v>6</v>
      </c>
      <c r="C12" s="14" t="n">
        <v>0.405</v>
      </c>
      <c r="D12" s="15" t="n">
        <v>10.29</v>
      </c>
      <c r="E12" s="16" t="inlineStr">
        <is>
          <t>-</t>
        </is>
      </c>
      <c r="F12" s="16" t="inlineStr">
        <is>
          <t>-</t>
        </is>
      </c>
      <c r="G12" s="17" t="n">
        <v>1.24</v>
      </c>
      <c r="H12" s="17" t="n">
        <v>1.24</v>
      </c>
      <c r="I12" s="16" t="inlineStr">
        <is>
          <t>-</t>
        </is>
      </c>
      <c r="J12" s="17" t="n">
        <v>1.45</v>
      </c>
      <c r="K12" s="17" t="n">
        <v>1.73</v>
      </c>
      <c r="L12" s="17" t="n">
        <v>1.73</v>
      </c>
      <c r="M12" s="17" t="n">
        <v>1.73</v>
      </c>
      <c r="N12" s="16" t="inlineStr">
        <is>
          <t>-</t>
        </is>
      </c>
      <c r="O12" s="17" t="n">
        <v>2.41</v>
      </c>
      <c r="P12" s="17" t="n">
        <v>2.41</v>
      </c>
      <c r="Q12" s="17" t="n">
        <v>2.41</v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</row>
    <row r="13" ht="19" customHeight="1">
      <c r="A13" s="18" t="inlineStr">
        <is>
          <t>1/4''</t>
        </is>
      </c>
      <c r="B13" s="19" t="n">
        <v>8</v>
      </c>
      <c r="C13" s="20" t="n">
        <v>0.54</v>
      </c>
      <c r="D13" s="21" t="n">
        <v>13.72</v>
      </c>
      <c r="E13" s="16" t="inlineStr">
        <is>
          <t>-</t>
        </is>
      </c>
      <c r="F13" s="16" t="inlineStr">
        <is>
          <t>-</t>
        </is>
      </c>
      <c r="G13" s="22" t="n">
        <v>1.65</v>
      </c>
      <c r="H13" s="22" t="n">
        <v>1.65</v>
      </c>
      <c r="I13" s="16" t="inlineStr">
        <is>
          <t>-</t>
        </is>
      </c>
      <c r="J13" s="22" t="n">
        <v>1.85</v>
      </c>
      <c r="K13" s="22" t="n">
        <v>2.24</v>
      </c>
      <c r="L13" s="22" t="n">
        <v>2.24</v>
      </c>
      <c r="M13" s="22" t="n">
        <v>2.24</v>
      </c>
      <c r="N13" s="16" t="inlineStr">
        <is>
          <t>-</t>
        </is>
      </c>
      <c r="O13" s="22" t="n">
        <v>3.02</v>
      </c>
      <c r="P13" s="22" t="n">
        <v>3.02</v>
      </c>
      <c r="Q13" s="22" t="n">
        <v>3.02</v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</row>
    <row r="14" ht="19" customHeight="1">
      <c r="A14" s="12" t="inlineStr">
        <is>
          <t>3/8''</t>
        </is>
      </c>
      <c r="B14" s="13" t="n">
        <v>10</v>
      </c>
      <c r="C14" s="14" t="n">
        <v>0.675</v>
      </c>
      <c r="D14" s="15" t="n">
        <v>17.14</v>
      </c>
      <c r="E14" s="16" t="inlineStr">
        <is>
          <t>-</t>
        </is>
      </c>
      <c r="F14" s="16" t="inlineStr">
        <is>
          <t>-</t>
        </is>
      </c>
      <c r="G14" s="17" t="n">
        <v>1.65</v>
      </c>
      <c r="H14" s="17" t="n">
        <v>1.65</v>
      </c>
      <c r="I14" s="16" t="inlineStr">
        <is>
          <t>-</t>
        </is>
      </c>
      <c r="J14" s="17" t="n">
        <v>1.85</v>
      </c>
      <c r="K14" s="17" t="n">
        <v>2.31</v>
      </c>
      <c r="L14" s="17" t="n">
        <v>2.31</v>
      </c>
      <c r="M14" s="17" t="n">
        <v>2.31</v>
      </c>
      <c r="N14" s="16" t="inlineStr">
        <is>
          <t>-</t>
        </is>
      </c>
      <c r="O14" s="17" t="n">
        <v>3.2</v>
      </c>
      <c r="P14" s="17" t="n">
        <v>3.2</v>
      </c>
      <c r="Q14" s="17" t="n">
        <v>3.2</v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</row>
    <row r="15" ht="19" customHeight="1">
      <c r="A15" s="18" t="inlineStr">
        <is>
          <t>1/2''</t>
        </is>
      </c>
      <c r="B15" s="19" t="n">
        <v>15</v>
      </c>
      <c r="C15" s="20" t="n">
        <v>0.84</v>
      </c>
      <c r="D15" s="21" t="n">
        <v>21.34</v>
      </c>
      <c r="E15" s="22" t="n">
        <v>1.65</v>
      </c>
      <c r="F15" s="22" t="n">
        <v>1.65</v>
      </c>
      <c r="G15" s="22" t="n">
        <v>2.11</v>
      </c>
      <c r="H15" s="22" t="n">
        <v>2.11</v>
      </c>
      <c r="I15" s="16" t="inlineStr">
        <is>
          <t>-</t>
        </is>
      </c>
      <c r="J15" s="22" t="n">
        <v>2.41</v>
      </c>
      <c r="K15" s="22" t="n">
        <v>2.77</v>
      </c>
      <c r="L15" s="22" t="n">
        <v>2.77</v>
      </c>
      <c r="M15" s="22" t="n">
        <v>2.77</v>
      </c>
      <c r="N15" s="16" t="inlineStr">
        <is>
          <t>-</t>
        </is>
      </c>
      <c r="O15" s="22" t="n">
        <v>3.73</v>
      </c>
      <c r="P15" s="22" t="n">
        <v>3.73</v>
      </c>
      <c r="Q15" s="22" t="n">
        <v>3.73</v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22" t="n">
        <v>4.78</v>
      </c>
      <c r="V15" s="22" t="n">
        <v>7.47</v>
      </c>
    </row>
    <row r="16" ht="19" customHeight="1">
      <c r="A16" s="12" t="inlineStr">
        <is>
          <t>3/4''</t>
        </is>
      </c>
      <c r="B16" s="13" t="n">
        <v>20</v>
      </c>
      <c r="C16" s="14" t="n">
        <v>1.05</v>
      </c>
      <c r="D16" s="15" t="n">
        <v>26.67</v>
      </c>
      <c r="E16" s="17" t="n">
        <v>1.65</v>
      </c>
      <c r="F16" s="17" t="n">
        <v>1.65</v>
      </c>
      <c r="G16" s="17" t="n">
        <v>2.11</v>
      </c>
      <c r="H16" s="17" t="n">
        <v>2.11</v>
      </c>
      <c r="I16" s="16" t="inlineStr">
        <is>
          <t>-</t>
        </is>
      </c>
      <c r="J16" s="17" t="n">
        <v>2.41</v>
      </c>
      <c r="K16" s="17" t="n">
        <v>2.87</v>
      </c>
      <c r="L16" s="17" t="n">
        <v>2.87</v>
      </c>
      <c r="M16" s="17" t="n">
        <v>2.87</v>
      </c>
      <c r="N16" s="16" t="inlineStr">
        <is>
          <t>-</t>
        </is>
      </c>
      <c r="O16" s="17" t="n">
        <v>3.91</v>
      </c>
      <c r="P16" s="17" t="n">
        <v>3.91</v>
      </c>
      <c r="Q16" s="17" t="n">
        <v>3.91</v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7" t="n">
        <v>5.56</v>
      </c>
      <c r="V16" s="17" t="n">
        <v>7.82</v>
      </c>
    </row>
    <row r="17" ht="19" customHeight="1">
      <c r="A17" s="18" t="inlineStr">
        <is>
          <t>1''</t>
        </is>
      </c>
      <c r="B17" s="19" t="n">
        <v>25</v>
      </c>
      <c r="C17" s="20" t="n">
        <v>1.315</v>
      </c>
      <c r="D17" s="21" t="n">
        <v>33.4</v>
      </c>
      <c r="E17" s="22" t="n">
        <v>1.65</v>
      </c>
      <c r="F17" s="22" t="n">
        <v>1.65</v>
      </c>
      <c r="G17" s="22" t="n">
        <v>2.77</v>
      </c>
      <c r="H17" s="22" t="n">
        <v>2.77</v>
      </c>
      <c r="I17" s="16" t="inlineStr">
        <is>
          <t>-</t>
        </is>
      </c>
      <c r="J17" s="22" t="n">
        <v>2.9</v>
      </c>
      <c r="K17" s="22" t="n">
        <v>3.38</v>
      </c>
      <c r="L17" s="22" t="n">
        <v>3.38</v>
      </c>
      <c r="M17" s="22" t="n">
        <v>3.38</v>
      </c>
      <c r="N17" s="16" t="inlineStr">
        <is>
          <t>-</t>
        </is>
      </c>
      <c r="O17" s="22" t="n">
        <v>4.55</v>
      </c>
      <c r="P17" s="22" t="n">
        <v>4.55</v>
      </c>
      <c r="Q17" s="22" t="n">
        <v>4.55</v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22" t="n">
        <v>6.35</v>
      </c>
      <c r="V17" s="22" t="n">
        <v>9.09</v>
      </c>
    </row>
    <row r="18" ht="19" customHeight="1">
      <c r="A18" s="12" t="inlineStr">
        <is>
          <t>1-1/4''</t>
        </is>
      </c>
      <c r="B18" s="13" t="n">
        <v>32</v>
      </c>
      <c r="C18" s="14" t="n">
        <v>1.66</v>
      </c>
      <c r="D18" s="15" t="n">
        <v>42.16</v>
      </c>
      <c r="E18" s="17" t="n">
        <v>1.65</v>
      </c>
      <c r="F18" s="17" t="n">
        <v>1.65</v>
      </c>
      <c r="G18" s="17" t="n">
        <v>2.77</v>
      </c>
      <c r="H18" s="17" t="n">
        <v>2.77</v>
      </c>
      <c r="I18" s="16" t="inlineStr">
        <is>
          <t>-</t>
        </is>
      </c>
      <c r="J18" s="17" t="n">
        <v>2.97</v>
      </c>
      <c r="K18" s="17" t="n">
        <v>3.56</v>
      </c>
      <c r="L18" s="17" t="n">
        <v>3.56</v>
      </c>
      <c r="M18" s="17" t="n">
        <v>3.56</v>
      </c>
      <c r="N18" s="16" t="inlineStr">
        <is>
          <t>-</t>
        </is>
      </c>
      <c r="O18" s="17" t="n">
        <v>4.85</v>
      </c>
      <c r="P18" s="17" t="n">
        <v>4.85</v>
      </c>
      <c r="Q18" s="17" t="n">
        <v>4.85</v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7" t="n">
        <v>6.35</v>
      </c>
      <c r="V18" s="17" t="n">
        <v>9.699999999999999</v>
      </c>
    </row>
    <row r="19" ht="19" customHeight="1">
      <c r="A19" s="18" t="inlineStr">
        <is>
          <t>1-1/2''</t>
        </is>
      </c>
      <c r="B19" s="19" t="n">
        <v>40</v>
      </c>
      <c r="C19" s="20" t="n">
        <v>1.9</v>
      </c>
      <c r="D19" s="21" t="n">
        <v>48.26</v>
      </c>
      <c r="E19" s="22" t="n">
        <v>1.65</v>
      </c>
      <c r="F19" s="22" t="n">
        <v>1.65</v>
      </c>
      <c r="G19" s="22" t="n">
        <v>2.77</v>
      </c>
      <c r="H19" s="22" t="n">
        <v>2.77</v>
      </c>
      <c r="I19" s="16" t="inlineStr">
        <is>
          <t>-</t>
        </is>
      </c>
      <c r="J19" s="22" t="n">
        <v>3.17</v>
      </c>
      <c r="K19" s="22" t="n">
        <v>3.68</v>
      </c>
      <c r="L19" s="22" t="n">
        <v>3.68</v>
      </c>
      <c r="M19" s="22" t="n">
        <v>3.68</v>
      </c>
      <c r="N19" s="16" t="inlineStr">
        <is>
          <t>-</t>
        </is>
      </c>
      <c r="O19" s="22" t="n">
        <v>5.08</v>
      </c>
      <c r="P19" s="22" t="n">
        <v>5.08</v>
      </c>
      <c r="Q19" s="22" t="n">
        <v>5.08</v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22" t="n">
        <v>7.14</v>
      </c>
      <c r="V19" s="22" t="n">
        <v>10.16</v>
      </c>
    </row>
    <row r="20" ht="19" customHeight="1">
      <c r="A20" s="12" t="inlineStr">
        <is>
          <t>2''</t>
        </is>
      </c>
      <c r="B20" s="13" t="n">
        <v>50</v>
      </c>
      <c r="C20" s="14" t="n">
        <v>2.375</v>
      </c>
      <c r="D20" s="15" t="n">
        <v>60.32</v>
      </c>
      <c r="E20" s="17" t="n">
        <v>1.65</v>
      </c>
      <c r="F20" s="17" t="n">
        <v>1.65</v>
      </c>
      <c r="G20" s="17" t="n">
        <v>2.77</v>
      </c>
      <c r="H20" s="17" t="n">
        <v>2.77</v>
      </c>
      <c r="I20" s="16" t="inlineStr">
        <is>
          <t>-</t>
        </is>
      </c>
      <c r="J20" s="17" t="n">
        <v>3.17</v>
      </c>
      <c r="K20" s="17" t="n">
        <v>3.91</v>
      </c>
      <c r="L20" s="17" t="n">
        <v>3.91</v>
      </c>
      <c r="M20" s="17" t="n">
        <v>3.91</v>
      </c>
      <c r="N20" s="16" t="inlineStr">
        <is>
          <t>-</t>
        </is>
      </c>
      <c r="O20" s="17" t="n">
        <v>5.54</v>
      </c>
      <c r="P20" s="17" t="n">
        <v>5.54</v>
      </c>
      <c r="Q20" s="17" t="n">
        <v>5.54</v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7" t="n">
        <v>8.74</v>
      </c>
      <c r="V20" s="17" t="n">
        <v>11.07</v>
      </c>
    </row>
    <row r="21" ht="19" customHeight="1">
      <c r="A21" s="18" t="inlineStr">
        <is>
          <t>2-1/2''</t>
        </is>
      </c>
      <c r="B21" s="19" t="n">
        <v>65</v>
      </c>
      <c r="C21" s="20" t="n">
        <v>2.875</v>
      </c>
      <c r="D21" s="21" t="n">
        <v>73.02</v>
      </c>
      <c r="E21" s="22" t="n">
        <v>2.11</v>
      </c>
      <c r="F21" s="22" t="n">
        <v>2.11</v>
      </c>
      <c r="G21" s="22" t="n">
        <v>3.05</v>
      </c>
      <c r="H21" s="22" t="n">
        <v>3.05</v>
      </c>
      <c r="I21" s="16" t="inlineStr">
        <is>
          <t>-</t>
        </is>
      </c>
      <c r="J21" s="22" t="n">
        <v>4.78</v>
      </c>
      <c r="K21" s="22" t="n">
        <v>5.16</v>
      </c>
      <c r="L21" s="22" t="n">
        <v>5.16</v>
      </c>
      <c r="M21" s="22" t="n">
        <v>5.16</v>
      </c>
      <c r="N21" s="16" t="inlineStr">
        <is>
          <t>-</t>
        </is>
      </c>
      <c r="O21" s="22" t="n">
        <v>7.01</v>
      </c>
      <c r="P21" s="22" t="n">
        <v>7.01</v>
      </c>
      <c r="Q21" s="22" t="n">
        <v>7.01</v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22" t="n">
        <v>9.52</v>
      </c>
      <c r="V21" s="22" t="n">
        <v>14.02</v>
      </c>
    </row>
    <row r="22" ht="19" customHeight="1">
      <c r="A22" s="12" t="inlineStr">
        <is>
          <t>3''</t>
        </is>
      </c>
      <c r="B22" s="13" t="n">
        <v>80</v>
      </c>
      <c r="C22" s="14" t="n">
        <v>3.5</v>
      </c>
      <c r="D22" s="15" t="n">
        <v>88.90000000000001</v>
      </c>
      <c r="E22" s="17" t="n">
        <v>2.11</v>
      </c>
      <c r="F22" s="17" t="n">
        <v>2.11</v>
      </c>
      <c r="G22" s="17" t="n">
        <v>3.05</v>
      </c>
      <c r="H22" s="17" t="n">
        <v>3.05</v>
      </c>
      <c r="I22" s="16" t="inlineStr">
        <is>
          <t>-</t>
        </is>
      </c>
      <c r="J22" s="17" t="n">
        <v>4.78</v>
      </c>
      <c r="K22" s="17" t="n">
        <v>5.49</v>
      </c>
      <c r="L22" s="17" t="n">
        <v>5.49</v>
      </c>
      <c r="M22" s="17" t="n">
        <v>5.49</v>
      </c>
      <c r="N22" s="16" t="inlineStr">
        <is>
          <t>-</t>
        </is>
      </c>
      <c r="O22" s="17" t="n">
        <v>7.62</v>
      </c>
      <c r="P22" s="17" t="n">
        <v>7.62</v>
      </c>
      <c r="Q22" s="17" t="n">
        <v>7.62</v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7" t="n">
        <v>11.13</v>
      </c>
      <c r="V22" s="17" t="n">
        <v>15.24</v>
      </c>
    </row>
    <row r="23" ht="19" customHeight="1">
      <c r="A23" s="18" t="inlineStr">
        <is>
          <t>3-1/2''</t>
        </is>
      </c>
      <c r="B23" s="19" t="n">
        <v>90</v>
      </c>
      <c r="C23" s="20" t="n">
        <v>4</v>
      </c>
      <c r="D23" s="21" t="n">
        <v>101.6</v>
      </c>
      <c r="E23" s="22" t="n">
        <v>2.11</v>
      </c>
      <c r="F23" s="22" t="n">
        <v>2.11</v>
      </c>
      <c r="G23" s="22" t="n">
        <v>3.05</v>
      </c>
      <c r="H23" s="22" t="n">
        <v>3.05</v>
      </c>
      <c r="I23" s="16" t="inlineStr">
        <is>
          <t>-</t>
        </is>
      </c>
      <c r="J23" s="22" t="n">
        <v>4.78</v>
      </c>
      <c r="K23" s="22" t="n">
        <v>5.74</v>
      </c>
      <c r="L23" s="22" t="n">
        <v>5.74</v>
      </c>
      <c r="M23" s="22" t="n">
        <v>5.74</v>
      </c>
      <c r="N23" s="16" t="inlineStr">
        <is>
          <t>-</t>
        </is>
      </c>
      <c r="O23" s="22" t="n">
        <v>8.08</v>
      </c>
      <c r="P23" s="22" t="n">
        <v>8.08</v>
      </c>
      <c r="Q23" s="22" t="n">
        <v>8.08</v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22" t="n">
        <v>16.15</v>
      </c>
    </row>
    <row r="24" ht="19" customHeight="1">
      <c r="A24" s="12" t="inlineStr">
        <is>
          <t>4''</t>
        </is>
      </c>
      <c r="B24" s="13" t="n">
        <v>100</v>
      </c>
      <c r="C24" s="14" t="n">
        <v>4.5</v>
      </c>
      <c r="D24" s="15" t="n">
        <v>114.3</v>
      </c>
      <c r="E24" s="17" t="n">
        <v>2.11</v>
      </c>
      <c r="F24" s="17" t="n">
        <v>2.11</v>
      </c>
      <c r="G24" s="17" t="n">
        <v>3.05</v>
      </c>
      <c r="H24" s="17" t="n">
        <v>3.05</v>
      </c>
      <c r="I24" s="16" t="inlineStr">
        <is>
          <t>-</t>
        </is>
      </c>
      <c r="J24" s="17" t="n">
        <v>4.78</v>
      </c>
      <c r="K24" s="17" t="n">
        <v>6.02</v>
      </c>
      <c r="L24" s="17" t="n">
        <v>6.02</v>
      </c>
      <c r="M24" s="17" t="n">
        <v>6.02</v>
      </c>
      <c r="N24" s="17" t="n">
        <v>7.14</v>
      </c>
      <c r="O24" s="17" t="n">
        <v>8.56</v>
      </c>
      <c r="P24" s="17" t="n">
        <v>8.56</v>
      </c>
      <c r="Q24" s="17" t="n">
        <v>8.56</v>
      </c>
      <c r="R24" s="16" t="inlineStr">
        <is>
          <t>-</t>
        </is>
      </c>
      <c r="S24" s="17" t="n">
        <v>11.13</v>
      </c>
      <c r="T24" s="16" t="inlineStr">
        <is>
          <t>-</t>
        </is>
      </c>
      <c r="U24" s="17" t="n">
        <v>13.49</v>
      </c>
      <c r="V24" s="17" t="n">
        <v>17.12</v>
      </c>
    </row>
    <row r="25" ht="19" customHeight="1">
      <c r="A25" s="18" t="inlineStr">
        <is>
          <t>5''</t>
        </is>
      </c>
      <c r="B25" s="19" t="n">
        <v>125</v>
      </c>
      <c r="C25" s="20" t="n">
        <v>5.563</v>
      </c>
      <c r="D25" s="21" t="n">
        <v>141.3</v>
      </c>
      <c r="E25" s="22" t="n">
        <v>2.77</v>
      </c>
      <c r="F25" s="22" t="n">
        <v>2.77</v>
      </c>
      <c r="G25" s="22" t="n">
        <v>3.4</v>
      </c>
      <c r="H25" s="22" t="n">
        <v>3.4</v>
      </c>
      <c r="I25" s="16" t="inlineStr">
        <is>
          <t>-</t>
        </is>
      </c>
      <c r="J25" s="16" t="inlineStr">
        <is>
          <t>-</t>
        </is>
      </c>
      <c r="K25" s="22" t="n">
        <v>6.55</v>
      </c>
      <c r="L25" s="22" t="n">
        <v>6.55</v>
      </c>
      <c r="M25" s="22" t="n">
        <v>6.55</v>
      </c>
      <c r="N25" s="16" t="inlineStr">
        <is>
          <t>-</t>
        </is>
      </c>
      <c r="O25" s="22" t="n">
        <v>9.52</v>
      </c>
      <c r="P25" s="22" t="n">
        <v>9.52</v>
      </c>
      <c r="Q25" s="22" t="n">
        <v>9.52</v>
      </c>
      <c r="R25" s="16" t="inlineStr">
        <is>
          <t>-</t>
        </is>
      </c>
      <c r="S25" s="22" t="n">
        <v>12.7</v>
      </c>
      <c r="T25" s="16" t="inlineStr">
        <is>
          <t>-</t>
        </is>
      </c>
      <c r="U25" s="22" t="n">
        <v>15.88</v>
      </c>
      <c r="V25" s="22" t="n">
        <v>19.05</v>
      </c>
    </row>
    <row r="26" ht="19" customHeight="1">
      <c r="A26" s="12" t="inlineStr">
        <is>
          <t>6''</t>
        </is>
      </c>
      <c r="B26" s="13" t="n">
        <v>150</v>
      </c>
      <c r="C26" s="14" t="n">
        <v>6.625</v>
      </c>
      <c r="D26" s="15" t="n">
        <v>168.27</v>
      </c>
      <c r="E26" s="17" t="n">
        <v>2.77</v>
      </c>
      <c r="F26" s="17" t="n">
        <v>2.77</v>
      </c>
      <c r="G26" s="17" t="n">
        <v>3.4</v>
      </c>
      <c r="H26" s="17" t="n">
        <v>3.4</v>
      </c>
      <c r="I26" s="16" t="inlineStr">
        <is>
          <t>-</t>
        </is>
      </c>
      <c r="J26" s="16" t="inlineStr">
        <is>
          <t>-</t>
        </is>
      </c>
      <c r="K26" s="17" t="n">
        <v>7.11</v>
      </c>
      <c r="L26" s="17" t="n">
        <v>7.11</v>
      </c>
      <c r="M26" s="17" t="n">
        <v>7.11</v>
      </c>
      <c r="N26" s="16" t="inlineStr">
        <is>
          <t>-</t>
        </is>
      </c>
      <c r="O26" s="17" t="n">
        <v>10.97</v>
      </c>
      <c r="P26" s="17" t="n">
        <v>10.97</v>
      </c>
      <c r="Q26" s="17" t="n">
        <v>10.97</v>
      </c>
      <c r="R26" s="16" t="inlineStr">
        <is>
          <t>-</t>
        </is>
      </c>
      <c r="S26" s="17" t="n">
        <v>14.27</v>
      </c>
      <c r="T26" s="16" t="inlineStr">
        <is>
          <t>-</t>
        </is>
      </c>
      <c r="U26" s="17" t="n">
        <v>18.26</v>
      </c>
      <c r="V26" s="17" t="n">
        <v>21.95</v>
      </c>
    </row>
    <row r="27" ht="19" customHeight="1">
      <c r="A27" s="18" t="inlineStr">
        <is>
          <t>8''</t>
        </is>
      </c>
      <c r="B27" s="19" t="n">
        <v>200</v>
      </c>
      <c r="C27" s="20" t="n">
        <v>8.625</v>
      </c>
      <c r="D27" s="21" t="n">
        <v>219.07</v>
      </c>
      <c r="E27" s="22" t="n">
        <v>2.77</v>
      </c>
      <c r="F27" s="22" t="n">
        <v>2.77</v>
      </c>
      <c r="G27" s="22" t="n">
        <v>3.76</v>
      </c>
      <c r="H27" s="22" t="n">
        <v>3.76</v>
      </c>
      <c r="I27" s="22" t="n">
        <v>6.35</v>
      </c>
      <c r="J27" s="22" t="n">
        <v>7.04</v>
      </c>
      <c r="K27" s="22" t="n">
        <v>8.18</v>
      </c>
      <c r="L27" s="22" t="n">
        <v>8.18</v>
      </c>
      <c r="M27" s="22" t="n">
        <v>8.18</v>
      </c>
      <c r="N27" s="22" t="n">
        <v>10.31</v>
      </c>
      <c r="O27" s="22" t="n">
        <v>12.7</v>
      </c>
      <c r="P27" s="22" t="n">
        <v>12.7</v>
      </c>
      <c r="Q27" s="22" t="n">
        <v>12.7</v>
      </c>
      <c r="R27" s="22" t="n">
        <v>15.09</v>
      </c>
      <c r="S27" s="22" t="n">
        <v>18.26</v>
      </c>
      <c r="T27" s="22" t="n">
        <v>20.62</v>
      </c>
      <c r="U27" s="22" t="n">
        <v>23.01</v>
      </c>
      <c r="V27" s="22" t="n">
        <v>22.22</v>
      </c>
    </row>
    <row r="28" ht="19" customHeight="1">
      <c r="A28" s="12" t="inlineStr">
        <is>
          <t>10''</t>
        </is>
      </c>
      <c r="B28" s="13" t="n">
        <v>250</v>
      </c>
      <c r="C28" s="14" t="n">
        <v>10.75</v>
      </c>
      <c r="D28" s="15" t="n">
        <v>273.05</v>
      </c>
      <c r="E28" s="17" t="n">
        <v>3.4</v>
      </c>
      <c r="F28" s="17" t="n">
        <v>3.4</v>
      </c>
      <c r="G28" s="17" t="n">
        <v>4.19</v>
      </c>
      <c r="H28" s="17" t="n">
        <v>4.19</v>
      </c>
      <c r="I28" s="17" t="n">
        <v>6.35</v>
      </c>
      <c r="J28" s="17" t="n">
        <v>7.8</v>
      </c>
      <c r="K28" s="17" t="n">
        <v>9.27</v>
      </c>
      <c r="L28" s="17" t="n">
        <v>9.27</v>
      </c>
      <c r="M28" s="17" t="n">
        <v>9.27</v>
      </c>
      <c r="N28" s="17" t="n">
        <v>12.7</v>
      </c>
      <c r="O28" s="17" t="n">
        <v>12.7</v>
      </c>
      <c r="P28" s="17" t="n">
        <v>12.7</v>
      </c>
      <c r="Q28" s="17" t="n">
        <v>15.09</v>
      </c>
      <c r="R28" s="17" t="n">
        <v>18.26</v>
      </c>
      <c r="S28" s="17" t="n">
        <v>21.44</v>
      </c>
      <c r="T28" s="17" t="n">
        <v>25.4</v>
      </c>
      <c r="U28" s="17" t="n">
        <v>28.57</v>
      </c>
      <c r="V28" s="17" t="n">
        <v>25.4</v>
      </c>
    </row>
    <row r="29" ht="19" customHeight="1">
      <c r="A29" s="18" t="inlineStr">
        <is>
          <t>12''</t>
        </is>
      </c>
      <c r="B29" s="19" t="n">
        <v>300</v>
      </c>
      <c r="C29" s="20" t="n">
        <v>12.75</v>
      </c>
      <c r="D29" s="21" t="n">
        <v>323.85</v>
      </c>
      <c r="E29" s="22" t="n">
        <v>3.96</v>
      </c>
      <c r="F29" s="22" t="n">
        <v>3.96</v>
      </c>
      <c r="G29" s="22" t="n">
        <v>4.57</v>
      </c>
      <c r="H29" s="22" t="n">
        <v>4.57</v>
      </c>
      <c r="I29" s="22" t="n">
        <v>6.35</v>
      </c>
      <c r="J29" s="22" t="n">
        <v>8.380000000000001</v>
      </c>
      <c r="K29" s="22" t="n">
        <v>9.52</v>
      </c>
      <c r="L29" s="22" t="n">
        <v>9.52</v>
      </c>
      <c r="M29" s="22" t="n">
        <v>10.31</v>
      </c>
      <c r="N29" s="22" t="n">
        <v>14.27</v>
      </c>
      <c r="O29" s="22" t="n">
        <v>12.7</v>
      </c>
      <c r="P29" s="22" t="n">
        <v>12.7</v>
      </c>
      <c r="Q29" s="22" t="n">
        <v>17.48</v>
      </c>
      <c r="R29" s="22" t="n">
        <v>21.44</v>
      </c>
      <c r="S29" s="22" t="n">
        <v>25.4</v>
      </c>
      <c r="T29" s="22" t="n">
        <v>28.57</v>
      </c>
      <c r="U29" s="22" t="n">
        <v>33.32</v>
      </c>
      <c r="V29" s="22" t="n">
        <v>25.4</v>
      </c>
    </row>
    <row r="30" ht="19" customHeight="1">
      <c r="A30" s="12" t="inlineStr">
        <is>
          <t>14''</t>
        </is>
      </c>
      <c r="B30" s="13" t="n">
        <v>350</v>
      </c>
      <c r="C30" s="14" t="n">
        <v>14</v>
      </c>
      <c r="D30" s="15" t="n">
        <v>355.6</v>
      </c>
      <c r="E30" s="17" t="n">
        <v>3.96</v>
      </c>
      <c r="F30" s="17" t="n">
        <v>3.96</v>
      </c>
      <c r="G30" s="17" t="n">
        <v>4.78</v>
      </c>
      <c r="H30" s="17" t="n">
        <v>6.35</v>
      </c>
      <c r="I30" s="17" t="n">
        <v>7.92</v>
      </c>
      <c r="J30" s="17" t="n">
        <v>9.52</v>
      </c>
      <c r="K30" s="17" t="n">
        <v>9.52</v>
      </c>
      <c r="L30" s="17" t="n">
        <v>9.52</v>
      </c>
      <c r="M30" s="17" t="n">
        <v>11.13</v>
      </c>
      <c r="N30" s="17" t="n">
        <v>15.09</v>
      </c>
      <c r="O30" s="17" t="n">
        <v>12.7</v>
      </c>
      <c r="P30" s="17" t="n">
        <v>12.7</v>
      </c>
      <c r="Q30" s="17" t="n">
        <v>19.05</v>
      </c>
      <c r="R30" s="17" t="n">
        <v>23.83</v>
      </c>
      <c r="S30" s="17" t="n">
        <v>27.79</v>
      </c>
      <c r="T30" s="17" t="n">
        <v>31.75</v>
      </c>
      <c r="U30" s="17" t="n">
        <v>35.71</v>
      </c>
      <c r="V30" s="16" t="inlineStr">
        <is>
          <t>-</t>
        </is>
      </c>
    </row>
    <row r="31" ht="19" customHeight="1">
      <c r="A31" s="18" t="inlineStr">
        <is>
          <t>16''</t>
        </is>
      </c>
      <c r="B31" s="19" t="n">
        <v>400</v>
      </c>
      <c r="C31" s="20" t="n">
        <v>16</v>
      </c>
      <c r="D31" s="21" t="n">
        <v>406.4</v>
      </c>
      <c r="E31" s="22" t="n">
        <v>4.19</v>
      </c>
      <c r="F31" s="22" t="n">
        <v>4.19</v>
      </c>
      <c r="G31" s="22" t="n">
        <v>4.78</v>
      </c>
      <c r="H31" s="22" t="n">
        <v>6.35</v>
      </c>
      <c r="I31" s="22" t="n">
        <v>7.92</v>
      </c>
      <c r="J31" s="22" t="n">
        <v>9.52</v>
      </c>
      <c r="K31" s="22" t="n">
        <v>9.52</v>
      </c>
      <c r="L31" s="22" t="n">
        <v>9.52</v>
      </c>
      <c r="M31" s="22" t="n">
        <v>12.7</v>
      </c>
      <c r="N31" s="22" t="n">
        <v>16.66</v>
      </c>
      <c r="O31" s="22" t="n">
        <v>12.7</v>
      </c>
      <c r="P31" s="22" t="n">
        <v>12.7</v>
      </c>
      <c r="Q31" s="22" t="n">
        <v>21.44</v>
      </c>
      <c r="R31" s="22" t="n">
        <v>26.19</v>
      </c>
      <c r="S31" s="22" t="n">
        <v>30.96</v>
      </c>
      <c r="T31" s="22" t="n">
        <v>36.53</v>
      </c>
      <c r="U31" s="22" t="n">
        <v>40.49</v>
      </c>
      <c r="V31" s="16" t="inlineStr">
        <is>
          <t>-</t>
        </is>
      </c>
    </row>
    <row r="32" ht="19" customHeight="1">
      <c r="A32" s="12" t="inlineStr">
        <is>
          <t>18''</t>
        </is>
      </c>
      <c r="B32" s="13" t="n">
        <v>450</v>
      </c>
      <c r="C32" s="14" t="n">
        <v>18</v>
      </c>
      <c r="D32" s="15" t="n">
        <v>457.2</v>
      </c>
      <c r="E32" s="17" t="n">
        <v>4.19</v>
      </c>
      <c r="F32" s="17" t="n">
        <v>4.19</v>
      </c>
      <c r="G32" s="17" t="n">
        <v>4.78</v>
      </c>
      <c r="H32" s="17" t="n">
        <v>6.35</v>
      </c>
      <c r="I32" s="17" t="n">
        <v>7.92</v>
      </c>
      <c r="J32" s="17" t="n">
        <v>11.13</v>
      </c>
      <c r="K32" s="17" t="n">
        <v>9.52</v>
      </c>
      <c r="L32" s="17" t="n">
        <v>9.52</v>
      </c>
      <c r="M32" s="17" t="n">
        <v>14.27</v>
      </c>
      <c r="N32" s="17" t="n">
        <v>19.05</v>
      </c>
      <c r="O32" s="17" t="n">
        <v>12.7</v>
      </c>
      <c r="P32" s="17" t="n">
        <v>12.7</v>
      </c>
      <c r="Q32" s="17" t="n">
        <v>23.83</v>
      </c>
      <c r="R32" s="17" t="n">
        <v>29.36</v>
      </c>
      <c r="S32" s="17" t="n">
        <v>34.92</v>
      </c>
      <c r="T32" s="17" t="n">
        <v>39.67</v>
      </c>
      <c r="U32" s="17" t="n">
        <v>45.24</v>
      </c>
      <c r="V32" s="16" t="inlineStr">
        <is>
          <t>-</t>
        </is>
      </c>
    </row>
    <row r="33" ht="19" customHeight="1">
      <c r="A33" s="18" t="inlineStr">
        <is>
          <t>20''</t>
        </is>
      </c>
      <c r="B33" s="19" t="n">
        <v>500</v>
      </c>
      <c r="C33" s="20" t="n">
        <v>20</v>
      </c>
      <c r="D33" s="21" t="n">
        <v>508</v>
      </c>
      <c r="E33" s="22" t="n">
        <v>4.78</v>
      </c>
      <c r="F33" s="22" t="n">
        <v>4.78</v>
      </c>
      <c r="G33" s="22" t="n">
        <v>5.54</v>
      </c>
      <c r="H33" s="22" t="n">
        <v>6.35</v>
      </c>
      <c r="I33" s="22" t="n">
        <v>9.52</v>
      </c>
      <c r="J33" s="22" t="n">
        <v>12.7</v>
      </c>
      <c r="K33" s="22" t="n">
        <v>9.52</v>
      </c>
      <c r="L33" s="22" t="n">
        <v>9.52</v>
      </c>
      <c r="M33" s="22" t="n">
        <v>15.09</v>
      </c>
      <c r="N33" s="22" t="n">
        <v>20.62</v>
      </c>
      <c r="O33" s="22" t="n">
        <v>12.7</v>
      </c>
      <c r="P33" s="22" t="n">
        <v>12.7</v>
      </c>
      <c r="Q33" s="22" t="n">
        <v>26.19</v>
      </c>
      <c r="R33" s="22" t="n">
        <v>32.54</v>
      </c>
      <c r="S33" s="22" t="n">
        <v>38.1</v>
      </c>
      <c r="T33" s="22" t="n">
        <v>44.45</v>
      </c>
      <c r="U33" s="22" t="n">
        <v>50.01</v>
      </c>
      <c r="V33" s="16" t="inlineStr">
        <is>
          <t>-</t>
        </is>
      </c>
    </row>
    <row r="34" ht="19" customHeight="1">
      <c r="A34" s="12" t="inlineStr">
        <is>
          <t>22''</t>
        </is>
      </c>
      <c r="B34" s="13" t="n">
        <v>550</v>
      </c>
      <c r="C34" s="14" t="n">
        <v>22</v>
      </c>
      <c r="D34" s="15" t="n">
        <v>558.8</v>
      </c>
      <c r="E34" s="17" t="n">
        <v>4.78</v>
      </c>
      <c r="F34" s="17" t="n">
        <v>4.78</v>
      </c>
      <c r="G34" s="17" t="n">
        <v>5.54</v>
      </c>
      <c r="H34" s="17" t="n">
        <v>6.35</v>
      </c>
      <c r="I34" s="17" t="n">
        <v>9.52</v>
      </c>
      <c r="J34" s="17" t="n">
        <v>12.7</v>
      </c>
      <c r="K34" s="17" t="n">
        <v>9.52</v>
      </c>
      <c r="L34" s="17" t="n">
        <v>9.52</v>
      </c>
      <c r="M34" s="16" t="inlineStr">
        <is>
          <t>-</t>
        </is>
      </c>
      <c r="N34" s="17" t="n">
        <v>22.22</v>
      </c>
      <c r="O34" s="17" t="n">
        <v>12.7</v>
      </c>
      <c r="P34" s="17" t="n">
        <v>12.7</v>
      </c>
      <c r="Q34" s="17" t="n">
        <v>28.57</v>
      </c>
      <c r="R34" s="17" t="n">
        <v>34.92</v>
      </c>
      <c r="S34" s="17" t="n">
        <v>41.27</v>
      </c>
      <c r="T34" s="17" t="n">
        <v>47.62</v>
      </c>
      <c r="U34" s="17" t="n">
        <v>53.97</v>
      </c>
      <c r="V34" s="16" t="inlineStr">
        <is>
          <t>-</t>
        </is>
      </c>
    </row>
    <row r="35" ht="19" customHeight="1">
      <c r="A35" s="18" t="inlineStr">
        <is>
          <t>24''</t>
        </is>
      </c>
      <c r="B35" s="19" t="n">
        <v>600</v>
      </c>
      <c r="C35" s="20" t="n">
        <v>24</v>
      </c>
      <c r="D35" s="21" t="n">
        <v>609.6</v>
      </c>
      <c r="E35" s="22" t="n">
        <v>5.54</v>
      </c>
      <c r="F35" s="22" t="n">
        <v>5.54</v>
      </c>
      <c r="G35" s="22" t="n">
        <v>6.35</v>
      </c>
      <c r="H35" s="22" t="n">
        <v>6.35</v>
      </c>
      <c r="I35" s="22" t="n">
        <v>9.52</v>
      </c>
      <c r="J35" s="22" t="n">
        <v>14.27</v>
      </c>
      <c r="K35" s="22" t="n">
        <v>9.52</v>
      </c>
      <c r="L35" s="22" t="n">
        <v>9.52</v>
      </c>
      <c r="M35" s="22" t="n">
        <v>17.48</v>
      </c>
      <c r="N35" s="22" t="n">
        <v>24.61</v>
      </c>
      <c r="O35" s="22" t="n">
        <v>12.7</v>
      </c>
      <c r="P35" s="22" t="n">
        <v>12.7</v>
      </c>
      <c r="Q35" s="22" t="n">
        <v>30.96</v>
      </c>
      <c r="R35" s="22" t="n">
        <v>38.89</v>
      </c>
      <c r="S35" s="22" t="n">
        <v>46.02</v>
      </c>
      <c r="T35" s="22" t="n">
        <v>52.37</v>
      </c>
      <c r="U35" s="22" t="n">
        <v>59.54</v>
      </c>
      <c r="V35" s="16" t="inlineStr">
        <is>
          <t>-</t>
        </is>
      </c>
    </row>
    <row r="36" ht="19" customHeight="1">
      <c r="A36" s="12" t="inlineStr">
        <is>
          <t>26''</t>
        </is>
      </c>
      <c r="B36" s="13" t="n">
        <v>650</v>
      </c>
      <c r="C36" s="14" t="n">
        <v>26</v>
      </c>
      <c r="D36" s="15" t="n">
        <v>660.4</v>
      </c>
      <c r="E36" s="16" t="inlineStr">
        <is>
          <t>-</t>
        </is>
      </c>
      <c r="F36" s="16" t="inlineStr">
        <is>
          <t>-</t>
        </is>
      </c>
      <c r="G36" s="16" t="inlineStr">
        <is>
          <t>-</t>
        </is>
      </c>
      <c r="H36" s="17" t="n">
        <v>7.92</v>
      </c>
      <c r="I36" s="17" t="n">
        <v>12.7</v>
      </c>
      <c r="J36" s="16" t="inlineStr">
        <is>
          <t>-</t>
        </is>
      </c>
      <c r="K36" s="16" t="inlineStr">
        <is>
          <t>-</t>
        </is>
      </c>
      <c r="L36" s="17" t="n">
        <v>9.52</v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7" t="n">
        <v>12.7</v>
      </c>
      <c r="Q36" s="16" t="inlineStr">
        <is>
          <t>-</t>
        </is>
      </c>
      <c r="R36" s="16" t="inlineStr">
        <is>
          <t>-</t>
        </is>
      </c>
      <c r="S36" s="16" t="inlineStr">
        <is>
          <t>-</t>
        </is>
      </c>
      <c r="T36" s="16" t="inlineStr">
        <is>
          <t>-</t>
        </is>
      </c>
      <c r="U36" s="16" t="inlineStr">
        <is>
          <t>-</t>
        </is>
      </c>
      <c r="V36" s="16" t="inlineStr">
        <is>
          <t>-</t>
        </is>
      </c>
    </row>
    <row r="37" ht="19" customHeight="1">
      <c r="A37" s="18" t="inlineStr">
        <is>
          <t>28''</t>
        </is>
      </c>
      <c r="B37" s="19" t="n">
        <v>700</v>
      </c>
      <c r="C37" s="20" t="n">
        <v>28</v>
      </c>
      <c r="D37" s="21" t="n">
        <v>711.2</v>
      </c>
      <c r="E37" s="16" t="inlineStr">
        <is>
          <t>-</t>
        </is>
      </c>
      <c r="F37" s="16" t="inlineStr">
        <is>
          <t>-</t>
        </is>
      </c>
      <c r="G37" s="16" t="inlineStr">
        <is>
          <t>-</t>
        </is>
      </c>
      <c r="H37" s="22" t="n">
        <v>7.92</v>
      </c>
      <c r="I37" s="22" t="n">
        <v>12.7</v>
      </c>
      <c r="J37" s="22" t="n">
        <v>15.88</v>
      </c>
      <c r="K37" s="16" t="inlineStr">
        <is>
          <t>-</t>
        </is>
      </c>
      <c r="L37" s="22" t="n">
        <v>9.52</v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22" t="n">
        <v>12.7</v>
      </c>
      <c r="Q37" s="16" t="inlineStr">
        <is>
          <t>-</t>
        </is>
      </c>
      <c r="R37" s="16" t="inlineStr">
        <is>
          <t>-</t>
        </is>
      </c>
      <c r="S37" s="16" t="inlineStr">
        <is>
          <t>-</t>
        </is>
      </c>
      <c r="T37" s="16" t="inlineStr">
        <is>
          <t>-</t>
        </is>
      </c>
      <c r="U37" s="16" t="inlineStr">
        <is>
          <t>-</t>
        </is>
      </c>
      <c r="V37" s="16" t="inlineStr">
        <is>
          <t>-</t>
        </is>
      </c>
    </row>
    <row r="38" ht="19" customHeight="1">
      <c r="A38" s="12" t="inlineStr">
        <is>
          <t>30''</t>
        </is>
      </c>
      <c r="B38" s="13" t="n">
        <v>750</v>
      </c>
      <c r="C38" s="14" t="n">
        <v>30</v>
      </c>
      <c r="D38" s="15" t="n">
        <v>762</v>
      </c>
      <c r="E38" s="17" t="n">
        <v>6.35</v>
      </c>
      <c r="F38" s="17" t="n">
        <v>6.35</v>
      </c>
      <c r="G38" s="17" t="n">
        <v>7.92</v>
      </c>
      <c r="H38" s="17" t="n">
        <v>7.92</v>
      </c>
      <c r="I38" s="17" t="n">
        <v>12.7</v>
      </c>
      <c r="J38" s="17" t="n">
        <v>15.88</v>
      </c>
      <c r="K38" s="17" t="n">
        <v>9.52</v>
      </c>
      <c r="L38" s="17" t="n">
        <v>9.52</v>
      </c>
      <c r="M38" s="16" t="inlineStr">
        <is>
          <t>-</t>
        </is>
      </c>
      <c r="N38" s="16" t="inlineStr">
        <is>
          <t>-</t>
        </is>
      </c>
      <c r="O38" s="17" t="n">
        <v>12.7</v>
      </c>
      <c r="P38" s="17" t="n">
        <v>12.7</v>
      </c>
      <c r="Q38" s="16" t="inlineStr">
        <is>
          <t>-</t>
        </is>
      </c>
      <c r="R38" s="16" t="inlineStr">
        <is>
          <t>-</t>
        </is>
      </c>
      <c r="S38" s="16" t="inlineStr">
        <is>
          <t>-</t>
        </is>
      </c>
      <c r="T38" s="16" t="inlineStr">
        <is>
          <t>-</t>
        </is>
      </c>
      <c r="U38" s="16" t="inlineStr">
        <is>
          <t>-</t>
        </is>
      </c>
      <c r="V38" s="16" t="inlineStr">
        <is>
          <t>-</t>
        </is>
      </c>
    </row>
    <row r="39" ht="19" customHeight="1">
      <c r="A39" s="18" t="inlineStr">
        <is>
          <t>32''</t>
        </is>
      </c>
      <c r="B39" s="19" t="n">
        <v>800</v>
      </c>
      <c r="C39" s="20" t="n">
        <v>32</v>
      </c>
      <c r="D39" s="21" t="n">
        <v>812.8</v>
      </c>
      <c r="E39" s="16" t="inlineStr">
        <is>
          <t>-</t>
        </is>
      </c>
      <c r="F39" s="16" t="inlineStr">
        <is>
          <t>-</t>
        </is>
      </c>
      <c r="G39" s="16" t="inlineStr">
        <is>
          <t>-</t>
        </is>
      </c>
      <c r="H39" s="22" t="n">
        <v>7.92</v>
      </c>
      <c r="I39" s="22" t="n">
        <v>12.7</v>
      </c>
      <c r="J39" s="22" t="n">
        <v>15.88</v>
      </c>
      <c r="K39" s="16" t="inlineStr">
        <is>
          <t>-</t>
        </is>
      </c>
      <c r="L39" s="22" t="n">
        <v>9.52</v>
      </c>
      <c r="M39" s="22" t="n">
        <v>17.48</v>
      </c>
      <c r="N39" s="16" t="inlineStr">
        <is>
          <t>-</t>
        </is>
      </c>
      <c r="O39" s="16" t="inlineStr">
        <is>
          <t>-</t>
        </is>
      </c>
      <c r="P39" s="22" t="n">
        <v>12.7</v>
      </c>
      <c r="Q39" s="16" t="inlineStr">
        <is>
          <t>-</t>
        </is>
      </c>
      <c r="R39" s="16" t="inlineStr">
        <is>
          <t>-</t>
        </is>
      </c>
      <c r="S39" s="16" t="inlineStr">
        <is>
          <t>-</t>
        </is>
      </c>
      <c r="T39" s="16" t="inlineStr">
        <is>
          <t>-</t>
        </is>
      </c>
      <c r="U39" s="16" t="inlineStr">
        <is>
          <t>-</t>
        </is>
      </c>
      <c r="V39" s="16" t="inlineStr">
        <is>
          <t>-</t>
        </is>
      </c>
    </row>
    <row r="40" ht="19" customHeight="1">
      <c r="A40" s="12" t="inlineStr">
        <is>
          <t>34''</t>
        </is>
      </c>
      <c r="B40" s="13" t="n">
        <v>850</v>
      </c>
      <c r="C40" s="14" t="n">
        <v>34</v>
      </c>
      <c r="D40" s="15" t="n">
        <v>863.6</v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7" t="n">
        <v>7.92</v>
      </c>
      <c r="I40" s="17" t="n">
        <v>12.7</v>
      </c>
      <c r="J40" s="17" t="n">
        <v>15.88</v>
      </c>
      <c r="K40" s="16" t="inlineStr">
        <is>
          <t>-</t>
        </is>
      </c>
      <c r="L40" s="17" t="n">
        <v>9.52</v>
      </c>
      <c r="M40" s="17" t="n">
        <v>17.48</v>
      </c>
      <c r="N40" s="16" t="inlineStr">
        <is>
          <t>-</t>
        </is>
      </c>
      <c r="O40" s="16" t="inlineStr">
        <is>
          <t>-</t>
        </is>
      </c>
      <c r="P40" s="17" t="n">
        <v>12.7</v>
      </c>
      <c r="Q40" s="16" t="inlineStr">
        <is>
          <t>-</t>
        </is>
      </c>
      <c r="R40" s="16" t="inlineStr">
        <is>
          <t>-</t>
        </is>
      </c>
      <c r="S40" s="16" t="inlineStr">
        <is>
          <t>-</t>
        </is>
      </c>
      <c r="T40" s="16" t="inlineStr">
        <is>
          <t>-</t>
        </is>
      </c>
      <c r="U40" s="16" t="inlineStr">
        <is>
          <t>-</t>
        </is>
      </c>
      <c r="V40" s="16" t="inlineStr">
        <is>
          <t>-</t>
        </is>
      </c>
    </row>
    <row r="41" ht="19" customHeight="1">
      <c r="A41" s="18" t="inlineStr">
        <is>
          <t>36''</t>
        </is>
      </c>
      <c r="B41" s="19" t="n">
        <v>900</v>
      </c>
      <c r="C41" s="20" t="n">
        <v>36</v>
      </c>
      <c r="D41" s="21" t="n">
        <v>914.4</v>
      </c>
      <c r="E41" s="16" t="inlineStr">
        <is>
          <t>-</t>
        </is>
      </c>
      <c r="F41" s="16" t="inlineStr">
        <is>
          <t>-</t>
        </is>
      </c>
      <c r="G41" s="16" t="inlineStr">
        <is>
          <t>-</t>
        </is>
      </c>
      <c r="H41" s="22" t="n">
        <v>7.92</v>
      </c>
      <c r="I41" s="22" t="n">
        <v>12.7</v>
      </c>
      <c r="J41" s="22" t="n">
        <v>15.88</v>
      </c>
      <c r="K41" s="22" t="n">
        <v>9.52</v>
      </c>
      <c r="L41" s="22" t="n">
        <v>9.52</v>
      </c>
      <c r="M41" s="22" t="n">
        <v>19.05</v>
      </c>
      <c r="N41" s="16" t="inlineStr">
        <is>
          <t>-</t>
        </is>
      </c>
      <c r="O41" s="22" t="n">
        <v>12.7</v>
      </c>
      <c r="P41" s="22" t="n">
        <v>12.7</v>
      </c>
      <c r="Q41" s="16" t="inlineStr">
        <is>
          <t>-</t>
        </is>
      </c>
      <c r="R41" s="16" t="inlineStr">
        <is>
          <t>-</t>
        </is>
      </c>
      <c r="S41" s="16" t="inlineStr">
        <is>
          <t>-</t>
        </is>
      </c>
      <c r="T41" s="16" t="inlineStr">
        <is>
          <t>-</t>
        </is>
      </c>
      <c r="U41" s="16" t="inlineStr">
        <is>
          <t>-</t>
        </is>
      </c>
      <c r="V41" s="16" t="inlineStr">
        <is>
          <t>-</t>
        </is>
      </c>
    </row>
    <row r="42" ht="19" customHeight="1">
      <c r="A42" s="12" t="inlineStr">
        <is>
          <t>38''</t>
        </is>
      </c>
      <c r="B42" s="13" t="n">
        <v>950</v>
      </c>
      <c r="C42" s="14" t="n">
        <v>38</v>
      </c>
      <c r="D42" s="15" t="n">
        <v>965.2</v>
      </c>
      <c r="E42" s="16" t="inlineStr">
        <is>
          <t>-</t>
        </is>
      </c>
      <c r="F42" s="16" t="inlineStr">
        <is>
          <t>-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7" t="n">
        <v>9.52</v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7" t="n">
        <v>12.7</v>
      </c>
      <c r="Q42" s="16" t="inlineStr">
        <is>
          <t>-</t>
        </is>
      </c>
      <c r="R42" s="16" t="inlineStr">
        <is>
          <t>-</t>
        </is>
      </c>
      <c r="S42" s="16" t="inlineStr">
        <is>
          <t>-</t>
        </is>
      </c>
      <c r="T42" s="16" t="inlineStr">
        <is>
          <t>-</t>
        </is>
      </c>
      <c r="U42" s="16" t="inlineStr">
        <is>
          <t>-</t>
        </is>
      </c>
      <c r="V42" s="16" t="inlineStr">
        <is>
          <t>-</t>
        </is>
      </c>
    </row>
    <row r="43" ht="19" customHeight="1">
      <c r="A43" s="18" t="inlineStr">
        <is>
          <t>40''</t>
        </is>
      </c>
      <c r="B43" s="19" t="n">
        <v>1000</v>
      </c>
      <c r="C43" s="20" t="n">
        <v>40</v>
      </c>
      <c r="D43" s="21" t="n">
        <v>1016</v>
      </c>
      <c r="E43" s="16" t="inlineStr">
        <is>
          <t>-</t>
        </is>
      </c>
      <c r="F43" s="16" t="inlineStr">
        <is>
          <t>-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22" t="n">
        <v>9.52</v>
      </c>
      <c r="M43" s="16" t="inlineStr">
        <is>
          <t>-</t>
        </is>
      </c>
      <c r="N43" s="16" t="inlineStr">
        <is>
          <t>-</t>
        </is>
      </c>
      <c r="O43" s="16" t="inlineStr">
        <is>
          <t>-</t>
        </is>
      </c>
      <c r="P43" s="22" t="n">
        <v>12.7</v>
      </c>
      <c r="Q43" s="16" t="inlineStr">
        <is>
          <t>-</t>
        </is>
      </c>
      <c r="R43" s="16" t="inlineStr">
        <is>
          <t>-</t>
        </is>
      </c>
      <c r="S43" s="16" t="inlineStr">
        <is>
          <t>-</t>
        </is>
      </c>
      <c r="T43" s="16" t="inlineStr">
        <is>
          <t>-</t>
        </is>
      </c>
      <c r="U43" s="16" t="inlineStr">
        <is>
          <t>-</t>
        </is>
      </c>
      <c r="V43" s="16" t="inlineStr">
        <is>
          <t>-</t>
        </is>
      </c>
    </row>
    <row r="44" ht="19" customHeight="1">
      <c r="A44" s="12" t="inlineStr">
        <is>
          <t>42''</t>
        </is>
      </c>
      <c r="B44" s="13" t="n">
        <v>1050</v>
      </c>
      <c r="C44" s="14" t="n">
        <v>42</v>
      </c>
      <c r="D44" s="15" t="n">
        <v>1066.8</v>
      </c>
      <c r="E44" s="16" t="inlineStr">
        <is>
          <t>-</t>
        </is>
      </c>
      <c r="F44" s="16" t="inlineStr">
        <is>
          <t>-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7" t="n">
        <v>9.52</v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7" t="n">
        <v>12.7</v>
      </c>
      <c r="Q44" s="16" t="inlineStr">
        <is>
          <t>-</t>
        </is>
      </c>
      <c r="R44" s="16" t="inlineStr">
        <is>
          <t>-</t>
        </is>
      </c>
      <c r="S44" s="16" t="inlineStr">
        <is>
          <t>-</t>
        </is>
      </c>
      <c r="T44" s="16" t="inlineStr">
        <is>
          <t>-</t>
        </is>
      </c>
      <c r="U44" s="16" t="inlineStr">
        <is>
          <t>-</t>
        </is>
      </c>
      <c r="V44" s="16" t="inlineStr">
        <is>
          <t>-</t>
        </is>
      </c>
    </row>
    <row r="45" ht="19" customHeight="1">
      <c r="A45" s="18" t="inlineStr">
        <is>
          <t>44''</t>
        </is>
      </c>
      <c r="B45" s="19" t="n">
        <v>1100</v>
      </c>
      <c r="C45" s="20" t="n">
        <v>44</v>
      </c>
      <c r="D45" s="21" t="n">
        <v>1117.6</v>
      </c>
      <c r="E45" s="16" t="inlineStr">
        <is>
          <t>-</t>
        </is>
      </c>
      <c r="F45" s="16" t="inlineStr">
        <is>
          <t>-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22" t="n">
        <v>9.52</v>
      </c>
      <c r="M45" s="16" t="inlineStr">
        <is>
          <t>-</t>
        </is>
      </c>
      <c r="N45" s="16" t="inlineStr">
        <is>
          <t>-</t>
        </is>
      </c>
      <c r="O45" s="16" t="inlineStr">
        <is>
          <t>-</t>
        </is>
      </c>
      <c r="P45" s="22" t="n">
        <v>12.7</v>
      </c>
      <c r="Q45" s="16" t="inlineStr">
        <is>
          <t>-</t>
        </is>
      </c>
      <c r="R45" s="16" t="inlineStr">
        <is>
          <t>-</t>
        </is>
      </c>
      <c r="S45" s="16" t="inlineStr">
        <is>
          <t>-</t>
        </is>
      </c>
      <c r="T45" s="16" t="inlineStr">
        <is>
          <t>-</t>
        </is>
      </c>
      <c r="U45" s="16" t="inlineStr">
        <is>
          <t>-</t>
        </is>
      </c>
      <c r="V45" s="16" t="inlineStr">
        <is>
          <t>-</t>
        </is>
      </c>
    </row>
    <row r="46" ht="19" customHeight="1">
      <c r="A46" s="12" t="inlineStr">
        <is>
          <t>46''</t>
        </is>
      </c>
      <c r="B46" s="13" t="n">
        <v>1150</v>
      </c>
      <c r="C46" s="14" t="n">
        <v>46</v>
      </c>
      <c r="D46" s="15" t="n">
        <v>1168.4</v>
      </c>
      <c r="E46" s="16" t="inlineStr">
        <is>
          <t>-</t>
        </is>
      </c>
      <c r="F46" s="16" t="inlineStr">
        <is>
          <t>-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7" t="n">
        <v>9.52</v>
      </c>
      <c r="M46" s="16" t="inlineStr">
        <is>
          <t>-</t>
        </is>
      </c>
      <c r="N46" s="16" t="inlineStr">
        <is>
          <t>-</t>
        </is>
      </c>
      <c r="O46" s="16" t="inlineStr">
        <is>
          <t>-</t>
        </is>
      </c>
      <c r="P46" s="17" t="n">
        <v>12.7</v>
      </c>
      <c r="Q46" s="16" t="inlineStr">
        <is>
          <t>-</t>
        </is>
      </c>
      <c r="R46" s="16" t="inlineStr">
        <is>
          <t>-</t>
        </is>
      </c>
      <c r="S46" s="16" t="inlineStr">
        <is>
          <t>-</t>
        </is>
      </c>
      <c r="T46" s="16" t="inlineStr">
        <is>
          <t>-</t>
        </is>
      </c>
      <c r="U46" s="16" t="inlineStr">
        <is>
          <t>-</t>
        </is>
      </c>
      <c r="V46" s="16" t="inlineStr">
        <is>
          <t>-</t>
        </is>
      </c>
    </row>
    <row r="47" ht="19" customHeight="1">
      <c r="A47" s="18" t="inlineStr">
        <is>
          <t>48''</t>
        </is>
      </c>
      <c r="B47" s="19" t="n">
        <v>1200</v>
      </c>
      <c r="C47" s="20" t="n">
        <v>48</v>
      </c>
      <c r="D47" s="21" t="n">
        <v>1219.2</v>
      </c>
      <c r="E47" s="16" t="inlineStr">
        <is>
          <t>-</t>
        </is>
      </c>
      <c r="F47" s="16" t="inlineStr">
        <is>
          <t>-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22" t="n">
        <v>9.52</v>
      </c>
      <c r="L47" s="22" t="n">
        <v>9.52</v>
      </c>
      <c r="M47" s="16" t="inlineStr">
        <is>
          <t>-</t>
        </is>
      </c>
      <c r="N47" s="16" t="inlineStr">
        <is>
          <t>-</t>
        </is>
      </c>
      <c r="O47" s="22" t="n">
        <v>12.7</v>
      </c>
      <c r="P47" s="22" t="n">
        <v>12.7</v>
      </c>
      <c r="Q47" s="16" t="inlineStr">
        <is>
          <t>-</t>
        </is>
      </c>
      <c r="R47" s="16" t="inlineStr">
        <is>
          <t>-</t>
        </is>
      </c>
      <c r="S47" s="16" t="inlineStr">
        <is>
          <t>-</t>
        </is>
      </c>
      <c r="T47" s="16" t="inlineStr">
        <is>
          <t>-</t>
        </is>
      </c>
      <c r="U47" s="16" t="inlineStr">
        <is>
          <t>-</t>
        </is>
      </c>
      <c r="V47" s="16" t="inlineStr">
        <is>
          <t>-</t>
        </is>
      </c>
    </row>
    <row r="50">
      <c r="A50" s="3" t="inlineStr">
        <is>
          <t>MASTER PIPE SCHEDULE CHART — WALL THICKNESS IN INCHES (IN)</t>
        </is>
      </c>
    </row>
    <row r="51" ht="26" customHeight="1">
      <c r="A51" s="9" t="inlineStr">
        <is>
          <t>NPS (in)</t>
        </is>
      </c>
      <c r="B51" s="9" t="inlineStr">
        <is>
          <t>DN (mm)</t>
        </is>
      </c>
      <c r="C51" s="9" t="inlineStr">
        <is>
          <t>OD (in)</t>
        </is>
      </c>
      <c r="D51" s="9" t="inlineStr">
        <is>
          <t>OD (mm)</t>
        </is>
      </c>
      <c r="E51" s="10" t="inlineStr">
        <is>
          <t>Sch 5S</t>
        </is>
      </c>
      <c r="F51" s="11" t="inlineStr">
        <is>
          <t>Sch 5</t>
        </is>
      </c>
      <c r="G51" s="10" t="inlineStr">
        <is>
          <t>Sch 10S</t>
        </is>
      </c>
      <c r="H51" s="11" t="inlineStr">
        <is>
          <t>Sch 10</t>
        </is>
      </c>
      <c r="I51" s="11" t="inlineStr">
        <is>
          <t>Sch 20</t>
        </is>
      </c>
      <c r="J51" s="11" t="inlineStr">
        <is>
          <t>Sch 30</t>
        </is>
      </c>
      <c r="K51" s="10" t="inlineStr">
        <is>
          <t>Sch 40S</t>
        </is>
      </c>
      <c r="L51" s="11" t="inlineStr">
        <is>
          <t>Sch STD</t>
        </is>
      </c>
      <c r="M51" s="11" t="inlineStr">
        <is>
          <t>Sch 40</t>
        </is>
      </c>
      <c r="N51" s="11" t="inlineStr">
        <is>
          <t>Sch 60</t>
        </is>
      </c>
      <c r="O51" s="10" t="inlineStr">
        <is>
          <t>Sch 80S</t>
        </is>
      </c>
      <c r="P51" s="10" t="inlineStr">
        <is>
          <t>Sch XS</t>
        </is>
      </c>
      <c r="Q51" s="11" t="inlineStr">
        <is>
          <t>Sch 80</t>
        </is>
      </c>
      <c r="R51" s="11" t="inlineStr">
        <is>
          <t>Sch 100</t>
        </is>
      </c>
      <c r="S51" s="11" t="inlineStr">
        <is>
          <t>Sch 120</t>
        </is>
      </c>
      <c r="T51" s="11" t="inlineStr">
        <is>
          <t>Sch 140</t>
        </is>
      </c>
      <c r="U51" s="11" t="inlineStr">
        <is>
          <t>Sch 160</t>
        </is>
      </c>
      <c r="V51" s="10" t="inlineStr">
        <is>
          <t>Sch XXS</t>
        </is>
      </c>
    </row>
    <row r="52" ht="19" customHeight="1">
      <c r="A52" s="12" t="inlineStr">
        <is>
          <t>1/8''</t>
        </is>
      </c>
      <c r="B52" s="13" t="n">
        <v>6</v>
      </c>
      <c r="C52" s="23" t="n">
        <v>0.405</v>
      </c>
      <c r="D52" s="17" t="n">
        <v>10.29</v>
      </c>
      <c r="E52" s="16" t="inlineStr">
        <is>
          <t>-</t>
        </is>
      </c>
      <c r="F52" s="16" t="inlineStr">
        <is>
          <t>-</t>
        </is>
      </c>
      <c r="G52" s="14" t="n">
        <v>0.049</v>
      </c>
      <c r="H52" s="14" t="n">
        <v>0.049</v>
      </c>
      <c r="I52" s="16" t="inlineStr">
        <is>
          <t>-</t>
        </is>
      </c>
      <c r="J52" s="14" t="n">
        <v>0.057</v>
      </c>
      <c r="K52" s="14" t="n">
        <v>0.068</v>
      </c>
      <c r="L52" s="14" t="n">
        <v>0.068</v>
      </c>
      <c r="M52" s="14" t="n">
        <v>0.068</v>
      </c>
      <c r="N52" s="16" t="inlineStr">
        <is>
          <t>-</t>
        </is>
      </c>
      <c r="O52" s="14" t="n">
        <v>0.095</v>
      </c>
      <c r="P52" s="14" t="n">
        <v>0.095</v>
      </c>
      <c r="Q52" s="14" t="n">
        <v>0.095</v>
      </c>
      <c r="R52" s="16" t="inlineStr">
        <is>
          <t>-</t>
        </is>
      </c>
      <c r="S52" s="16" t="inlineStr">
        <is>
          <t>-</t>
        </is>
      </c>
      <c r="T52" s="16" t="inlineStr">
        <is>
          <t>-</t>
        </is>
      </c>
      <c r="U52" s="16" t="inlineStr">
        <is>
          <t>-</t>
        </is>
      </c>
      <c r="V52" s="16" t="inlineStr">
        <is>
          <t>-</t>
        </is>
      </c>
    </row>
    <row r="53" ht="19" customHeight="1">
      <c r="A53" s="18" t="inlineStr">
        <is>
          <t>1/4''</t>
        </is>
      </c>
      <c r="B53" s="19" t="n">
        <v>8</v>
      </c>
      <c r="C53" s="24" t="n">
        <v>0.54</v>
      </c>
      <c r="D53" s="22" t="n">
        <v>13.72</v>
      </c>
      <c r="E53" s="16" t="inlineStr">
        <is>
          <t>-</t>
        </is>
      </c>
      <c r="F53" s="16" t="inlineStr">
        <is>
          <t>-</t>
        </is>
      </c>
      <c r="G53" s="20" t="n">
        <v>0.065</v>
      </c>
      <c r="H53" s="20" t="n">
        <v>0.065</v>
      </c>
      <c r="I53" s="16" t="inlineStr">
        <is>
          <t>-</t>
        </is>
      </c>
      <c r="J53" s="20" t="n">
        <v>0.073</v>
      </c>
      <c r="K53" s="20" t="n">
        <v>0.08799999999999999</v>
      </c>
      <c r="L53" s="20" t="n">
        <v>0.08799999999999999</v>
      </c>
      <c r="M53" s="20" t="n">
        <v>0.08799999999999999</v>
      </c>
      <c r="N53" s="16" t="inlineStr">
        <is>
          <t>-</t>
        </is>
      </c>
      <c r="O53" s="20" t="n">
        <v>0.119</v>
      </c>
      <c r="P53" s="20" t="n">
        <v>0.119</v>
      </c>
      <c r="Q53" s="20" t="n">
        <v>0.119</v>
      </c>
      <c r="R53" s="16" t="inlineStr">
        <is>
          <t>-</t>
        </is>
      </c>
      <c r="S53" s="16" t="inlineStr">
        <is>
          <t>-</t>
        </is>
      </c>
      <c r="T53" s="16" t="inlineStr">
        <is>
          <t>-</t>
        </is>
      </c>
      <c r="U53" s="16" t="inlineStr">
        <is>
          <t>-</t>
        </is>
      </c>
      <c r="V53" s="16" t="inlineStr">
        <is>
          <t>-</t>
        </is>
      </c>
    </row>
    <row r="54" ht="19" customHeight="1">
      <c r="A54" s="12" t="inlineStr">
        <is>
          <t>3/8''</t>
        </is>
      </c>
      <c r="B54" s="13" t="n">
        <v>10</v>
      </c>
      <c r="C54" s="23" t="n">
        <v>0.675</v>
      </c>
      <c r="D54" s="17" t="n">
        <v>17.14</v>
      </c>
      <c r="E54" s="16" t="inlineStr">
        <is>
          <t>-</t>
        </is>
      </c>
      <c r="F54" s="16" t="inlineStr">
        <is>
          <t>-</t>
        </is>
      </c>
      <c r="G54" s="14" t="n">
        <v>0.065</v>
      </c>
      <c r="H54" s="14" t="n">
        <v>0.065</v>
      </c>
      <c r="I54" s="16" t="inlineStr">
        <is>
          <t>-</t>
        </is>
      </c>
      <c r="J54" s="14" t="n">
        <v>0.073</v>
      </c>
      <c r="K54" s="14" t="n">
        <v>0.091</v>
      </c>
      <c r="L54" s="14" t="n">
        <v>0.091</v>
      </c>
      <c r="M54" s="14" t="n">
        <v>0.091</v>
      </c>
      <c r="N54" s="16" t="inlineStr">
        <is>
          <t>-</t>
        </is>
      </c>
      <c r="O54" s="14" t="n">
        <v>0.126</v>
      </c>
      <c r="P54" s="14" t="n">
        <v>0.126</v>
      </c>
      <c r="Q54" s="14" t="n">
        <v>0.126</v>
      </c>
      <c r="R54" s="16" t="inlineStr">
        <is>
          <t>-</t>
        </is>
      </c>
      <c r="S54" s="16" t="inlineStr">
        <is>
          <t>-</t>
        </is>
      </c>
      <c r="T54" s="16" t="inlineStr">
        <is>
          <t>-</t>
        </is>
      </c>
      <c r="U54" s="16" t="inlineStr">
        <is>
          <t>-</t>
        </is>
      </c>
      <c r="V54" s="16" t="inlineStr">
        <is>
          <t>-</t>
        </is>
      </c>
    </row>
    <row r="55" ht="19" customHeight="1">
      <c r="A55" s="18" t="inlineStr">
        <is>
          <t>1/2''</t>
        </is>
      </c>
      <c r="B55" s="19" t="n">
        <v>15</v>
      </c>
      <c r="C55" s="24" t="n">
        <v>0.84</v>
      </c>
      <c r="D55" s="22" t="n">
        <v>21.34</v>
      </c>
      <c r="E55" s="20" t="n">
        <v>0.065</v>
      </c>
      <c r="F55" s="20" t="n">
        <v>0.065</v>
      </c>
      <c r="G55" s="20" t="n">
        <v>0.083</v>
      </c>
      <c r="H55" s="20" t="n">
        <v>0.083</v>
      </c>
      <c r="I55" s="16" t="inlineStr">
        <is>
          <t>-</t>
        </is>
      </c>
      <c r="J55" s="20" t="n">
        <v>0.095</v>
      </c>
      <c r="K55" s="20" t="n">
        <v>0.109</v>
      </c>
      <c r="L55" s="20" t="n">
        <v>0.109</v>
      </c>
      <c r="M55" s="20" t="n">
        <v>0.109</v>
      </c>
      <c r="N55" s="16" t="inlineStr">
        <is>
          <t>-</t>
        </is>
      </c>
      <c r="O55" s="20" t="n">
        <v>0.147</v>
      </c>
      <c r="P55" s="20" t="n">
        <v>0.147</v>
      </c>
      <c r="Q55" s="20" t="n">
        <v>0.147</v>
      </c>
      <c r="R55" s="16" t="inlineStr">
        <is>
          <t>-</t>
        </is>
      </c>
      <c r="S55" s="16" t="inlineStr">
        <is>
          <t>-</t>
        </is>
      </c>
      <c r="T55" s="16" t="inlineStr">
        <is>
          <t>-</t>
        </is>
      </c>
      <c r="U55" s="20" t="n">
        <v>0.188</v>
      </c>
      <c r="V55" s="20" t="n">
        <v>0.294</v>
      </c>
    </row>
    <row r="56" ht="19" customHeight="1">
      <c r="A56" s="12" t="inlineStr">
        <is>
          <t>3/4''</t>
        </is>
      </c>
      <c r="B56" s="13" t="n">
        <v>20</v>
      </c>
      <c r="C56" s="23" t="n">
        <v>1.05</v>
      </c>
      <c r="D56" s="17" t="n">
        <v>26.67</v>
      </c>
      <c r="E56" s="14" t="n">
        <v>0.065</v>
      </c>
      <c r="F56" s="14" t="n">
        <v>0.065</v>
      </c>
      <c r="G56" s="14" t="n">
        <v>0.083</v>
      </c>
      <c r="H56" s="14" t="n">
        <v>0.083</v>
      </c>
      <c r="I56" s="16" t="inlineStr">
        <is>
          <t>-</t>
        </is>
      </c>
      <c r="J56" s="14" t="n">
        <v>0.095</v>
      </c>
      <c r="K56" s="14" t="n">
        <v>0.113</v>
      </c>
      <c r="L56" s="14" t="n">
        <v>0.113</v>
      </c>
      <c r="M56" s="14" t="n">
        <v>0.113</v>
      </c>
      <c r="N56" s="16" t="inlineStr">
        <is>
          <t>-</t>
        </is>
      </c>
      <c r="O56" s="14" t="n">
        <v>0.154</v>
      </c>
      <c r="P56" s="14" t="n">
        <v>0.154</v>
      </c>
      <c r="Q56" s="14" t="n">
        <v>0.154</v>
      </c>
      <c r="R56" s="16" t="inlineStr">
        <is>
          <t>-</t>
        </is>
      </c>
      <c r="S56" s="16" t="inlineStr">
        <is>
          <t>-</t>
        </is>
      </c>
      <c r="T56" s="16" t="inlineStr">
        <is>
          <t>-</t>
        </is>
      </c>
      <c r="U56" s="14" t="n">
        <v>0.219</v>
      </c>
      <c r="V56" s="14" t="n">
        <v>0.308</v>
      </c>
    </row>
    <row r="57" ht="19" customHeight="1">
      <c r="A57" s="18" t="inlineStr">
        <is>
          <t>1''</t>
        </is>
      </c>
      <c r="B57" s="19" t="n">
        <v>25</v>
      </c>
      <c r="C57" s="24" t="n">
        <v>1.315</v>
      </c>
      <c r="D57" s="22" t="n">
        <v>33.4</v>
      </c>
      <c r="E57" s="20" t="n">
        <v>0.065</v>
      </c>
      <c r="F57" s="20" t="n">
        <v>0.065</v>
      </c>
      <c r="G57" s="20" t="n">
        <v>0.109</v>
      </c>
      <c r="H57" s="20" t="n">
        <v>0.109</v>
      </c>
      <c r="I57" s="16" t="inlineStr">
        <is>
          <t>-</t>
        </is>
      </c>
      <c r="J57" s="20" t="n">
        <v>0.114</v>
      </c>
      <c r="K57" s="20" t="n">
        <v>0.133</v>
      </c>
      <c r="L57" s="20" t="n">
        <v>0.133</v>
      </c>
      <c r="M57" s="20" t="n">
        <v>0.133</v>
      </c>
      <c r="N57" s="16" t="inlineStr">
        <is>
          <t>-</t>
        </is>
      </c>
      <c r="O57" s="20" t="n">
        <v>0.179</v>
      </c>
      <c r="P57" s="20" t="n">
        <v>0.179</v>
      </c>
      <c r="Q57" s="20" t="n">
        <v>0.179</v>
      </c>
      <c r="R57" s="16" t="inlineStr">
        <is>
          <t>-</t>
        </is>
      </c>
      <c r="S57" s="16" t="inlineStr">
        <is>
          <t>-</t>
        </is>
      </c>
      <c r="T57" s="16" t="inlineStr">
        <is>
          <t>-</t>
        </is>
      </c>
      <c r="U57" s="20" t="n">
        <v>0.25</v>
      </c>
      <c r="V57" s="20" t="n">
        <v>0.358</v>
      </c>
    </row>
    <row r="58" ht="19" customHeight="1">
      <c r="A58" s="12" t="inlineStr">
        <is>
          <t>1-1/4''</t>
        </is>
      </c>
      <c r="B58" s="13" t="n">
        <v>32</v>
      </c>
      <c r="C58" s="23" t="n">
        <v>1.66</v>
      </c>
      <c r="D58" s="17" t="n">
        <v>42.16</v>
      </c>
      <c r="E58" s="14" t="n">
        <v>0.065</v>
      </c>
      <c r="F58" s="14" t="n">
        <v>0.065</v>
      </c>
      <c r="G58" s="14" t="n">
        <v>0.109</v>
      </c>
      <c r="H58" s="14" t="n">
        <v>0.109</v>
      </c>
      <c r="I58" s="16" t="inlineStr">
        <is>
          <t>-</t>
        </is>
      </c>
      <c r="J58" s="14" t="n">
        <v>0.117</v>
      </c>
      <c r="K58" s="14" t="n">
        <v>0.14</v>
      </c>
      <c r="L58" s="14" t="n">
        <v>0.14</v>
      </c>
      <c r="M58" s="14" t="n">
        <v>0.14</v>
      </c>
      <c r="N58" s="16" t="inlineStr">
        <is>
          <t>-</t>
        </is>
      </c>
      <c r="O58" s="14" t="n">
        <v>0.191</v>
      </c>
      <c r="P58" s="14" t="n">
        <v>0.191</v>
      </c>
      <c r="Q58" s="14" t="n">
        <v>0.191</v>
      </c>
      <c r="R58" s="16" t="inlineStr">
        <is>
          <t>-</t>
        </is>
      </c>
      <c r="S58" s="16" t="inlineStr">
        <is>
          <t>-</t>
        </is>
      </c>
      <c r="T58" s="16" t="inlineStr">
        <is>
          <t>-</t>
        </is>
      </c>
      <c r="U58" s="14" t="n">
        <v>0.25</v>
      </c>
      <c r="V58" s="14" t="n">
        <v>0.382</v>
      </c>
    </row>
    <row r="59" ht="19" customHeight="1">
      <c r="A59" s="18" t="inlineStr">
        <is>
          <t>1-1/2''</t>
        </is>
      </c>
      <c r="B59" s="19" t="n">
        <v>40</v>
      </c>
      <c r="C59" s="24" t="n">
        <v>1.9</v>
      </c>
      <c r="D59" s="22" t="n">
        <v>48.26</v>
      </c>
      <c r="E59" s="20" t="n">
        <v>0.065</v>
      </c>
      <c r="F59" s="20" t="n">
        <v>0.065</v>
      </c>
      <c r="G59" s="20" t="n">
        <v>0.109</v>
      </c>
      <c r="H59" s="20" t="n">
        <v>0.109</v>
      </c>
      <c r="I59" s="16" t="inlineStr">
        <is>
          <t>-</t>
        </is>
      </c>
      <c r="J59" s="20" t="n">
        <v>0.125</v>
      </c>
      <c r="K59" s="20" t="n">
        <v>0.145</v>
      </c>
      <c r="L59" s="20" t="n">
        <v>0.145</v>
      </c>
      <c r="M59" s="20" t="n">
        <v>0.145</v>
      </c>
      <c r="N59" s="16" t="inlineStr">
        <is>
          <t>-</t>
        </is>
      </c>
      <c r="O59" s="20" t="n">
        <v>0.2</v>
      </c>
      <c r="P59" s="20" t="n">
        <v>0.2</v>
      </c>
      <c r="Q59" s="20" t="n">
        <v>0.2</v>
      </c>
      <c r="R59" s="16" t="inlineStr">
        <is>
          <t>-</t>
        </is>
      </c>
      <c r="S59" s="16" t="inlineStr">
        <is>
          <t>-</t>
        </is>
      </c>
      <c r="T59" s="16" t="inlineStr">
        <is>
          <t>-</t>
        </is>
      </c>
      <c r="U59" s="20" t="n">
        <v>0.281</v>
      </c>
      <c r="V59" s="20" t="n">
        <v>0.4</v>
      </c>
    </row>
    <row r="60" ht="19" customHeight="1">
      <c r="A60" s="12" t="inlineStr">
        <is>
          <t>2''</t>
        </is>
      </c>
      <c r="B60" s="13" t="n">
        <v>50</v>
      </c>
      <c r="C60" s="23" t="n">
        <v>2.375</v>
      </c>
      <c r="D60" s="17" t="n">
        <v>60.32</v>
      </c>
      <c r="E60" s="14" t="n">
        <v>0.065</v>
      </c>
      <c r="F60" s="14" t="n">
        <v>0.065</v>
      </c>
      <c r="G60" s="14" t="n">
        <v>0.109</v>
      </c>
      <c r="H60" s="14" t="n">
        <v>0.109</v>
      </c>
      <c r="I60" s="16" t="inlineStr">
        <is>
          <t>-</t>
        </is>
      </c>
      <c r="J60" s="14" t="n">
        <v>0.125</v>
      </c>
      <c r="K60" s="14" t="n">
        <v>0.154</v>
      </c>
      <c r="L60" s="14" t="n">
        <v>0.154</v>
      </c>
      <c r="M60" s="14" t="n">
        <v>0.154</v>
      </c>
      <c r="N60" s="16" t="inlineStr">
        <is>
          <t>-</t>
        </is>
      </c>
      <c r="O60" s="14" t="n">
        <v>0.218</v>
      </c>
      <c r="P60" s="14" t="n">
        <v>0.218</v>
      </c>
      <c r="Q60" s="14" t="n">
        <v>0.218</v>
      </c>
      <c r="R60" s="16" t="inlineStr">
        <is>
          <t>-</t>
        </is>
      </c>
      <c r="S60" s="16" t="inlineStr">
        <is>
          <t>-</t>
        </is>
      </c>
      <c r="T60" s="16" t="inlineStr">
        <is>
          <t>-</t>
        </is>
      </c>
      <c r="U60" s="14" t="n">
        <v>0.344</v>
      </c>
      <c r="V60" s="14" t="n">
        <v>0.436</v>
      </c>
    </row>
    <row r="61" ht="19" customHeight="1">
      <c r="A61" s="18" t="inlineStr">
        <is>
          <t>2-1/2''</t>
        </is>
      </c>
      <c r="B61" s="19" t="n">
        <v>65</v>
      </c>
      <c r="C61" s="24" t="n">
        <v>2.875</v>
      </c>
      <c r="D61" s="22" t="n">
        <v>73.02</v>
      </c>
      <c r="E61" s="20" t="n">
        <v>0.083</v>
      </c>
      <c r="F61" s="20" t="n">
        <v>0.083</v>
      </c>
      <c r="G61" s="20" t="n">
        <v>0.12</v>
      </c>
      <c r="H61" s="20" t="n">
        <v>0.12</v>
      </c>
      <c r="I61" s="16" t="inlineStr">
        <is>
          <t>-</t>
        </is>
      </c>
      <c r="J61" s="20" t="n">
        <v>0.188</v>
      </c>
      <c r="K61" s="20" t="n">
        <v>0.203</v>
      </c>
      <c r="L61" s="20" t="n">
        <v>0.203</v>
      </c>
      <c r="M61" s="20" t="n">
        <v>0.203</v>
      </c>
      <c r="N61" s="16" t="inlineStr">
        <is>
          <t>-</t>
        </is>
      </c>
      <c r="O61" s="20" t="n">
        <v>0.276</v>
      </c>
      <c r="P61" s="20" t="n">
        <v>0.276</v>
      </c>
      <c r="Q61" s="20" t="n">
        <v>0.276</v>
      </c>
      <c r="R61" s="16" t="inlineStr">
        <is>
          <t>-</t>
        </is>
      </c>
      <c r="S61" s="16" t="inlineStr">
        <is>
          <t>-</t>
        </is>
      </c>
      <c r="T61" s="16" t="inlineStr">
        <is>
          <t>-</t>
        </is>
      </c>
      <c r="U61" s="20" t="n">
        <v>0.375</v>
      </c>
      <c r="V61" s="20" t="n">
        <v>0.552</v>
      </c>
    </row>
    <row r="62" ht="19" customHeight="1">
      <c r="A62" s="12" t="inlineStr">
        <is>
          <t>3''</t>
        </is>
      </c>
      <c r="B62" s="13" t="n">
        <v>80</v>
      </c>
      <c r="C62" s="23" t="n">
        <v>3.5</v>
      </c>
      <c r="D62" s="17" t="n">
        <v>88.90000000000001</v>
      </c>
      <c r="E62" s="14" t="n">
        <v>0.083</v>
      </c>
      <c r="F62" s="14" t="n">
        <v>0.083</v>
      </c>
      <c r="G62" s="14" t="n">
        <v>0.12</v>
      </c>
      <c r="H62" s="14" t="n">
        <v>0.12</v>
      </c>
      <c r="I62" s="16" t="inlineStr">
        <is>
          <t>-</t>
        </is>
      </c>
      <c r="J62" s="14" t="n">
        <v>0.188</v>
      </c>
      <c r="K62" s="14" t="n">
        <v>0.216</v>
      </c>
      <c r="L62" s="14" t="n">
        <v>0.216</v>
      </c>
      <c r="M62" s="14" t="n">
        <v>0.216</v>
      </c>
      <c r="N62" s="16" t="inlineStr">
        <is>
          <t>-</t>
        </is>
      </c>
      <c r="O62" s="14" t="n">
        <v>0.3</v>
      </c>
      <c r="P62" s="14" t="n">
        <v>0.3</v>
      </c>
      <c r="Q62" s="14" t="n">
        <v>0.3</v>
      </c>
      <c r="R62" s="16" t="inlineStr">
        <is>
          <t>-</t>
        </is>
      </c>
      <c r="S62" s="16" t="inlineStr">
        <is>
          <t>-</t>
        </is>
      </c>
      <c r="T62" s="16" t="inlineStr">
        <is>
          <t>-</t>
        </is>
      </c>
      <c r="U62" s="14" t="n">
        <v>0.438</v>
      </c>
      <c r="V62" s="14" t="n">
        <v>0.6</v>
      </c>
    </row>
    <row r="63" ht="19" customHeight="1">
      <c r="A63" s="18" t="inlineStr">
        <is>
          <t>3-1/2''</t>
        </is>
      </c>
      <c r="B63" s="19" t="n">
        <v>90</v>
      </c>
      <c r="C63" s="24" t="n">
        <v>4</v>
      </c>
      <c r="D63" s="22" t="n">
        <v>101.6</v>
      </c>
      <c r="E63" s="20" t="n">
        <v>0.083</v>
      </c>
      <c r="F63" s="20" t="n">
        <v>0.083</v>
      </c>
      <c r="G63" s="20" t="n">
        <v>0.12</v>
      </c>
      <c r="H63" s="20" t="n">
        <v>0.12</v>
      </c>
      <c r="I63" s="16" t="inlineStr">
        <is>
          <t>-</t>
        </is>
      </c>
      <c r="J63" s="20" t="n">
        <v>0.188</v>
      </c>
      <c r="K63" s="20" t="n">
        <v>0.226</v>
      </c>
      <c r="L63" s="20" t="n">
        <v>0.226</v>
      </c>
      <c r="M63" s="20" t="n">
        <v>0.226</v>
      </c>
      <c r="N63" s="16" t="inlineStr">
        <is>
          <t>-</t>
        </is>
      </c>
      <c r="O63" s="20" t="n">
        <v>0.318</v>
      </c>
      <c r="P63" s="20" t="n">
        <v>0.318</v>
      </c>
      <c r="Q63" s="20" t="n">
        <v>0.318</v>
      </c>
      <c r="R63" s="16" t="inlineStr">
        <is>
          <t>-</t>
        </is>
      </c>
      <c r="S63" s="16" t="inlineStr">
        <is>
          <t>-</t>
        </is>
      </c>
      <c r="T63" s="16" t="inlineStr">
        <is>
          <t>-</t>
        </is>
      </c>
      <c r="U63" s="16" t="inlineStr">
        <is>
          <t>-</t>
        </is>
      </c>
      <c r="V63" s="20" t="n">
        <v>0.636</v>
      </c>
    </row>
    <row r="64" ht="19" customHeight="1">
      <c r="A64" s="12" t="inlineStr">
        <is>
          <t>4''</t>
        </is>
      </c>
      <c r="B64" s="13" t="n">
        <v>100</v>
      </c>
      <c r="C64" s="23" t="n">
        <v>4.5</v>
      </c>
      <c r="D64" s="17" t="n">
        <v>114.3</v>
      </c>
      <c r="E64" s="14" t="n">
        <v>0.083</v>
      </c>
      <c r="F64" s="14" t="n">
        <v>0.083</v>
      </c>
      <c r="G64" s="14" t="n">
        <v>0.12</v>
      </c>
      <c r="H64" s="14" t="n">
        <v>0.12</v>
      </c>
      <c r="I64" s="16" t="inlineStr">
        <is>
          <t>-</t>
        </is>
      </c>
      <c r="J64" s="14" t="n">
        <v>0.188</v>
      </c>
      <c r="K64" s="14" t="n">
        <v>0.237</v>
      </c>
      <c r="L64" s="14" t="n">
        <v>0.237</v>
      </c>
      <c r="M64" s="14" t="n">
        <v>0.237</v>
      </c>
      <c r="N64" s="14" t="n">
        <v>0.281</v>
      </c>
      <c r="O64" s="14" t="n">
        <v>0.337</v>
      </c>
      <c r="P64" s="14" t="n">
        <v>0.337</v>
      </c>
      <c r="Q64" s="14" t="n">
        <v>0.337</v>
      </c>
      <c r="R64" s="16" t="inlineStr">
        <is>
          <t>-</t>
        </is>
      </c>
      <c r="S64" s="14" t="n">
        <v>0.438</v>
      </c>
      <c r="T64" s="16" t="inlineStr">
        <is>
          <t>-</t>
        </is>
      </c>
      <c r="U64" s="14" t="n">
        <v>0.531</v>
      </c>
      <c r="V64" s="14" t="n">
        <v>0.674</v>
      </c>
    </row>
    <row r="65" ht="19" customHeight="1">
      <c r="A65" s="18" t="inlineStr">
        <is>
          <t>5''</t>
        </is>
      </c>
      <c r="B65" s="19" t="n">
        <v>125</v>
      </c>
      <c r="C65" s="24" t="n">
        <v>5.563</v>
      </c>
      <c r="D65" s="22" t="n">
        <v>141.3</v>
      </c>
      <c r="E65" s="20" t="n">
        <v>0.109</v>
      </c>
      <c r="F65" s="20" t="n">
        <v>0.109</v>
      </c>
      <c r="G65" s="20" t="n">
        <v>0.134</v>
      </c>
      <c r="H65" s="20" t="n">
        <v>0.134</v>
      </c>
      <c r="I65" s="16" t="inlineStr">
        <is>
          <t>-</t>
        </is>
      </c>
      <c r="J65" s="16" t="inlineStr">
        <is>
          <t>-</t>
        </is>
      </c>
      <c r="K65" s="20" t="n">
        <v>0.258</v>
      </c>
      <c r="L65" s="20" t="n">
        <v>0.258</v>
      </c>
      <c r="M65" s="20" t="n">
        <v>0.258</v>
      </c>
      <c r="N65" s="16" t="inlineStr">
        <is>
          <t>-</t>
        </is>
      </c>
      <c r="O65" s="20" t="n">
        <v>0.375</v>
      </c>
      <c r="P65" s="20" t="n">
        <v>0.375</v>
      </c>
      <c r="Q65" s="20" t="n">
        <v>0.375</v>
      </c>
      <c r="R65" s="16" t="inlineStr">
        <is>
          <t>-</t>
        </is>
      </c>
      <c r="S65" s="20" t="n">
        <v>0.5</v>
      </c>
      <c r="T65" s="16" t="inlineStr">
        <is>
          <t>-</t>
        </is>
      </c>
      <c r="U65" s="20" t="n">
        <v>0.625</v>
      </c>
      <c r="V65" s="20" t="n">
        <v>0.75</v>
      </c>
    </row>
    <row r="66" ht="19" customHeight="1">
      <c r="A66" s="12" t="inlineStr">
        <is>
          <t>6''</t>
        </is>
      </c>
      <c r="B66" s="13" t="n">
        <v>150</v>
      </c>
      <c r="C66" s="23" t="n">
        <v>6.625</v>
      </c>
      <c r="D66" s="17" t="n">
        <v>168.27</v>
      </c>
      <c r="E66" s="14" t="n">
        <v>0.109</v>
      </c>
      <c r="F66" s="14" t="n">
        <v>0.109</v>
      </c>
      <c r="G66" s="14" t="n">
        <v>0.134</v>
      </c>
      <c r="H66" s="14" t="n">
        <v>0.134</v>
      </c>
      <c r="I66" s="16" t="inlineStr">
        <is>
          <t>-</t>
        </is>
      </c>
      <c r="J66" s="16" t="inlineStr">
        <is>
          <t>-</t>
        </is>
      </c>
      <c r="K66" s="14" t="n">
        <v>0.28</v>
      </c>
      <c r="L66" s="14" t="n">
        <v>0.28</v>
      </c>
      <c r="M66" s="14" t="n">
        <v>0.28</v>
      </c>
      <c r="N66" s="16" t="inlineStr">
        <is>
          <t>-</t>
        </is>
      </c>
      <c r="O66" s="14" t="n">
        <v>0.432</v>
      </c>
      <c r="P66" s="14" t="n">
        <v>0.432</v>
      </c>
      <c r="Q66" s="14" t="n">
        <v>0.432</v>
      </c>
      <c r="R66" s="16" t="inlineStr">
        <is>
          <t>-</t>
        </is>
      </c>
      <c r="S66" s="14" t="n">
        <v>0.5620000000000001</v>
      </c>
      <c r="T66" s="16" t="inlineStr">
        <is>
          <t>-</t>
        </is>
      </c>
      <c r="U66" s="14" t="n">
        <v>0.719</v>
      </c>
      <c r="V66" s="14" t="n">
        <v>0.864</v>
      </c>
    </row>
    <row r="67" ht="19" customHeight="1">
      <c r="A67" s="18" t="inlineStr">
        <is>
          <t>8''</t>
        </is>
      </c>
      <c r="B67" s="19" t="n">
        <v>200</v>
      </c>
      <c r="C67" s="24" t="n">
        <v>8.625</v>
      </c>
      <c r="D67" s="22" t="n">
        <v>219.07</v>
      </c>
      <c r="E67" s="20" t="n">
        <v>0.109</v>
      </c>
      <c r="F67" s="20" t="n">
        <v>0.109</v>
      </c>
      <c r="G67" s="20" t="n">
        <v>0.148</v>
      </c>
      <c r="H67" s="20" t="n">
        <v>0.148</v>
      </c>
      <c r="I67" s="20" t="n">
        <v>0.25</v>
      </c>
      <c r="J67" s="20" t="n">
        <v>0.277</v>
      </c>
      <c r="K67" s="20" t="n">
        <v>0.322</v>
      </c>
      <c r="L67" s="20" t="n">
        <v>0.322</v>
      </c>
      <c r="M67" s="20" t="n">
        <v>0.322</v>
      </c>
      <c r="N67" s="20" t="n">
        <v>0.406</v>
      </c>
      <c r="O67" s="20" t="n">
        <v>0.5</v>
      </c>
      <c r="P67" s="20" t="n">
        <v>0.5</v>
      </c>
      <c r="Q67" s="20" t="n">
        <v>0.5</v>
      </c>
      <c r="R67" s="20" t="n">
        <v>0.594</v>
      </c>
      <c r="S67" s="20" t="n">
        <v>0.719</v>
      </c>
      <c r="T67" s="20" t="n">
        <v>0.8120000000000001</v>
      </c>
      <c r="U67" s="20" t="n">
        <v>0.906</v>
      </c>
      <c r="V67" s="20" t="n">
        <v>0.875</v>
      </c>
    </row>
    <row r="68" ht="19" customHeight="1">
      <c r="A68" s="12" t="inlineStr">
        <is>
          <t>10''</t>
        </is>
      </c>
      <c r="B68" s="13" t="n">
        <v>250</v>
      </c>
      <c r="C68" s="23" t="n">
        <v>10.75</v>
      </c>
      <c r="D68" s="17" t="n">
        <v>273.05</v>
      </c>
      <c r="E68" s="14" t="n">
        <v>0.134</v>
      </c>
      <c r="F68" s="14" t="n">
        <v>0.134</v>
      </c>
      <c r="G68" s="14" t="n">
        <v>0.165</v>
      </c>
      <c r="H68" s="14" t="n">
        <v>0.165</v>
      </c>
      <c r="I68" s="14" t="n">
        <v>0.25</v>
      </c>
      <c r="J68" s="14" t="n">
        <v>0.307</v>
      </c>
      <c r="K68" s="14" t="n">
        <v>0.365</v>
      </c>
      <c r="L68" s="14" t="n">
        <v>0.365</v>
      </c>
      <c r="M68" s="14" t="n">
        <v>0.365</v>
      </c>
      <c r="N68" s="14" t="n">
        <v>0.5</v>
      </c>
      <c r="O68" s="14" t="n">
        <v>0.5</v>
      </c>
      <c r="P68" s="14" t="n">
        <v>0.5</v>
      </c>
      <c r="Q68" s="14" t="n">
        <v>0.594</v>
      </c>
      <c r="R68" s="14" t="n">
        <v>0.719</v>
      </c>
      <c r="S68" s="14" t="n">
        <v>0.844</v>
      </c>
      <c r="T68" s="14" t="n">
        <v>1</v>
      </c>
      <c r="U68" s="14" t="n">
        <v>1.125</v>
      </c>
      <c r="V68" s="14" t="n">
        <v>1</v>
      </c>
    </row>
    <row r="69" ht="19" customHeight="1">
      <c r="A69" s="18" t="inlineStr">
        <is>
          <t>12''</t>
        </is>
      </c>
      <c r="B69" s="19" t="n">
        <v>300</v>
      </c>
      <c r="C69" s="24" t="n">
        <v>12.75</v>
      </c>
      <c r="D69" s="22" t="n">
        <v>323.85</v>
      </c>
      <c r="E69" s="20" t="n">
        <v>0.156</v>
      </c>
      <c r="F69" s="20" t="n">
        <v>0.156</v>
      </c>
      <c r="G69" s="20" t="n">
        <v>0.18</v>
      </c>
      <c r="H69" s="20" t="n">
        <v>0.18</v>
      </c>
      <c r="I69" s="20" t="n">
        <v>0.25</v>
      </c>
      <c r="J69" s="20" t="n">
        <v>0.33</v>
      </c>
      <c r="K69" s="20" t="n">
        <v>0.375</v>
      </c>
      <c r="L69" s="20" t="n">
        <v>0.375</v>
      </c>
      <c r="M69" s="20" t="n">
        <v>0.406</v>
      </c>
      <c r="N69" s="20" t="n">
        <v>0.5620000000000001</v>
      </c>
      <c r="O69" s="20" t="n">
        <v>0.5</v>
      </c>
      <c r="P69" s="20" t="n">
        <v>0.5</v>
      </c>
      <c r="Q69" s="20" t="n">
        <v>0.6879999999999999</v>
      </c>
      <c r="R69" s="20" t="n">
        <v>0.844</v>
      </c>
      <c r="S69" s="20" t="n">
        <v>1</v>
      </c>
      <c r="T69" s="20" t="n">
        <v>1.125</v>
      </c>
      <c r="U69" s="20" t="n">
        <v>1.312</v>
      </c>
      <c r="V69" s="20" t="n">
        <v>1</v>
      </c>
    </row>
    <row r="70" ht="19" customHeight="1">
      <c r="A70" s="12" t="inlineStr">
        <is>
          <t>14''</t>
        </is>
      </c>
      <c r="B70" s="13" t="n">
        <v>350</v>
      </c>
      <c r="C70" s="23" t="n">
        <v>14</v>
      </c>
      <c r="D70" s="17" t="n">
        <v>355.6</v>
      </c>
      <c r="E70" s="14" t="n">
        <v>0.156</v>
      </c>
      <c r="F70" s="14" t="n">
        <v>0.156</v>
      </c>
      <c r="G70" s="14" t="n">
        <v>0.188</v>
      </c>
      <c r="H70" s="14" t="n">
        <v>0.25</v>
      </c>
      <c r="I70" s="14" t="n">
        <v>0.312</v>
      </c>
      <c r="J70" s="14" t="n">
        <v>0.375</v>
      </c>
      <c r="K70" s="14" t="n">
        <v>0.375</v>
      </c>
      <c r="L70" s="14" t="n">
        <v>0.375</v>
      </c>
      <c r="M70" s="14" t="n">
        <v>0.438</v>
      </c>
      <c r="N70" s="14" t="n">
        <v>0.594</v>
      </c>
      <c r="O70" s="14" t="n">
        <v>0.5</v>
      </c>
      <c r="P70" s="14" t="n">
        <v>0.5</v>
      </c>
      <c r="Q70" s="14" t="n">
        <v>0.75</v>
      </c>
      <c r="R70" s="14" t="n">
        <v>0.9379999999999999</v>
      </c>
      <c r="S70" s="14" t="n">
        <v>1.094</v>
      </c>
      <c r="T70" s="14" t="n">
        <v>1.25</v>
      </c>
      <c r="U70" s="14" t="n">
        <v>1.406</v>
      </c>
      <c r="V70" s="16" t="inlineStr">
        <is>
          <t>-</t>
        </is>
      </c>
    </row>
    <row r="71" ht="19" customHeight="1">
      <c r="A71" s="18" t="inlineStr">
        <is>
          <t>16''</t>
        </is>
      </c>
      <c r="B71" s="19" t="n">
        <v>400</v>
      </c>
      <c r="C71" s="24" t="n">
        <v>16</v>
      </c>
      <c r="D71" s="22" t="n">
        <v>406.4</v>
      </c>
      <c r="E71" s="20" t="n">
        <v>0.165</v>
      </c>
      <c r="F71" s="20" t="n">
        <v>0.165</v>
      </c>
      <c r="G71" s="20" t="n">
        <v>0.188</v>
      </c>
      <c r="H71" s="20" t="n">
        <v>0.25</v>
      </c>
      <c r="I71" s="20" t="n">
        <v>0.312</v>
      </c>
      <c r="J71" s="20" t="n">
        <v>0.375</v>
      </c>
      <c r="K71" s="20" t="n">
        <v>0.375</v>
      </c>
      <c r="L71" s="20" t="n">
        <v>0.375</v>
      </c>
      <c r="M71" s="20" t="n">
        <v>0.5</v>
      </c>
      <c r="N71" s="20" t="n">
        <v>0.656</v>
      </c>
      <c r="O71" s="20" t="n">
        <v>0.5</v>
      </c>
      <c r="P71" s="20" t="n">
        <v>0.5</v>
      </c>
      <c r="Q71" s="20" t="n">
        <v>0.844</v>
      </c>
      <c r="R71" s="20" t="n">
        <v>1.031</v>
      </c>
      <c r="S71" s="20" t="n">
        <v>1.219</v>
      </c>
      <c r="T71" s="20" t="n">
        <v>1.438</v>
      </c>
      <c r="U71" s="20" t="n">
        <v>1.594</v>
      </c>
      <c r="V71" s="16" t="inlineStr">
        <is>
          <t>-</t>
        </is>
      </c>
    </row>
    <row r="72" ht="19" customHeight="1">
      <c r="A72" s="12" t="inlineStr">
        <is>
          <t>18''</t>
        </is>
      </c>
      <c r="B72" s="13" t="n">
        <v>450</v>
      </c>
      <c r="C72" s="23" t="n">
        <v>18</v>
      </c>
      <c r="D72" s="17" t="n">
        <v>457.2</v>
      </c>
      <c r="E72" s="14" t="n">
        <v>0.165</v>
      </c>
      <c r="F72" s="14" t="n">
        <v>0.165</v>
      </c>
      <c r="G72" s="14" t="n">
        <v>0.188</v>
      </c>
      <c r="H72" s="14" t="n">
        <v>0.25</v>
      </c>
      <c r="I72" s="14" t="n">
        <v>0.312</v>
      </c>
      <c r="J72" s="14" t="n">
        <v>0.438</v>
      </c>
      <c r="K72" s="14" t="n">
        <v>0.375</v>
      </c>
      <c r="L72" s="14" t="n">
        <v>0.375</v>
      </c>
      <c r="M72" s="14" t="n">
        <v>0.5620000000000001</v>
      </c>
      <c r="N72" s="14" t="n">
        <v>0.75</v>
      </c>
      <c r="O72" s="14" t="n">
        <v>0.5</v>
      </c>
      <c r="P72" s="14" t="n">
        <v>0.5</v>
      </c>
      <c r="Q72" s="14" t="n">
        <v>0.9379999999999999</v>
      </c>
      <c r="R72" s="14" t="n">
        <v>1.156</v>
      </c>
      <c r="S72" s="14" t="n">
        <v>1.375</v>
      </c>
      <c r="T72" s="14" t="n">
        <v>1.562</v>
      </c>
      <c r="U72" s="14" t="n">
        <v>1.781</v>
      </c>
      <c r="V72" s="16" t="inlineStr">
        <is>
          <t>-</t>
        </is>
      </c>
    </row>
    <row r="73" ht="19" customHeight="1">
      <c r="A73" s="18" t="inlineStr">
        <is>
          <t>20''</t>
        </is>
      </c>
      <c r="B73" s="19" t="n">
        <v>500</v>
      </c>
      <c r="C73" s="24" t="n">
        <v>20</v>
      </c>
      <c r="D73" s="22" t="n">
        <v>508</v>
      </c>
      <c r="E73" s="20" t="n">
        <v>0.188</v>
      </c>
      <c r="F73" s="20" t="n">
        <v>0.188</v>
      </c>
      <c r="G73" s="20" t="n">
        <v>0.218</v>
      </c>
      <c r="H73" s="20" t="n">
        <v>0.25</v>
      </c>
      <c r="I73" s="20" t="n">
        <v>0.375</v>
      </c>
      <c r="J73" s="20" t="n">
        <v>0.5</v>
      </c>
      <c r="K73" s="20" t="n">
        <v>0.375</v>
      </c>
      <c r="L73" s="20" t="n">
        <v>0.375</v>
      </c>
      <c r="M73" s="20" t="n">
        <v>0.594</v>
      </c>
      <c r="N73" s="20" t="n">
        <v>0.8120000000000001</v>
      </c>
      <c r="O73" s="20" t="n">
        <v>0.5</v>
      </c>
      <c r="P73" s="20" t="n">
        <v>0.5</v>
      </c>
      <c r="Q73" s="20" t="n">
        <v>1.031</v>
      </c>
      <c r="R73" s="20" t="n">
        <v>1.281</v>
      </c>
      <c r="S73" s="20" t="n">
        <v>1.5</v>
      </c>
      <c r="T73" s="20" t="n">
        <v>1.75</v>
      </c>
      <c r="U73" s="20" t="n">
        <v>1.969</v>
      </c>
      <c r="V73" s="16" t="inlineStr">
        <is>
          <t>-</t>
        </is>
      </c>
    </row>
    <row r="74" ht="19" customHeight="1">
      <c r="A74" s="12" t="inlineStr">
        <is>
          <t>22''</t>
        </is>
      </c>
      <c r="B74" s="13" t="n">
        <v>550</v>
      </c>
      <c r="C74" s="23" t="n">
        <v>22</v>
      </c>
      <c r="D74" s="17" t="n">
        <v>558.8</v>
      </c>
      <c r="E74" s="14" t="n">
        <v>0.188</v>
      </c>
      <c r="F74" s="14" t="n">
        <v>0.188</v>
      </c>
      <c r="G74" s="14" t="n">
        <v>0.218</v>
      </c>
      <c r="H74" s="14" t="n">
        <v>0.25</v>
      </c>
      <c r="I74" s="14" t="n">
        <v>0.375</v>
      </c>
      <c r="J74" s="14" t="n">
        <v>0.5</v>
      </c>
      <c r="K74" s="14" t="n">
        <v>0.375</v>
      </c>
      <c r="L74" s="14" t="n">
        <v>0.375</v>
      </c>
      <c r="M74" s="16" t="inlineStr">
        <is>
          <t>-</t>
        </is>
      </c>
      <c r="N74" s="14" t="n">
        <v>0.875</v>
      </c>
      <c r="O74" s="14" t="n">
        <v>0.5</v>
      </c>
      <c r="P74" s="14" t="n">
        <v>0.5</v>
      </c>
      <c r="Q74" s="14" t="n">
        <v>1.125</v>
      </c>
      <c r="R74" s="14" t="n">
        <v>1.375</v>
      </c>
      <c r="S74" s="14" t="n">
        <v>1.625</v>
      </c>
      <c r="T74" s="14" t="n">
        <v>1.875</v>
      </c>
      <c r="U74" s="14" t="n">
        <v>2.125</v>
      </c>
      <c r="V74" s="16" t="inlineStr">
        <is>
          <t>-</t>
        </is>
      </c>
    </row>
    <row r="75" ht="19" customHeight="1">
      <c r="A75" s="18" t="inlineStr">
        <is>
          <t>24''</t>
        </is>
      </c>
      <c r="B75" s="19" t="n">
        <v>600</v>
      </c>
      <c r="C75" s="24" t="n">
        <v>24</v>
      </c>
      <c r="D75" s="22" t="n">
        <v>609.6</v>
      </c>
      <c r="E75" s="20" t="n">
        <v>0.218</v>
      </c>
      <c r="F75" s="20" t="n">
        <v>0.218</v>
      </c>
      <c r="G75" s="20" t="n">
        <v>0.25</v>
      </c>
      <c r="H75" s="20" t="n">
        <v>0.25</v>
      </c>
      <c r="I75" s="20" t="n">
        <v>0.375</v>
      </c>
      <c r="J75" s="20" t="n">
        <v>0.5620000000000001</v>
      </c>
      <c r="K75" s="20" t="n">
        <v>0.375</v>
      </c>
      <c r="L75" s="20" t="n">
        <v>0.375</v>
      </c>
      <c r="M75" s="20" t="n">
        <v>0.6879999999999999</v>
      </c>
      <c r="N75" s="20" t="n">
        <v>0.969</v>
      </c>
      <c r="O75" s="20" t="n">
        <v>0.5</v>
      </c>
      <c r="P75" s="20" t="n">
        <v>0.5</v>
      </c>
      <c r="Q75" s="20" t="n">
        <v>1.219</v>
      </c>
      <c r="R75" s="20" t="n">
        <v>1.531</v>
      </c>
      <c r="S75" s="20" t="n">
        <v>1.812</v>
      </c>
      <c r="T75" s="20" t="n">
        <v>2.062</v>
      </c>
      <c r="U75" s="20" t="n">
        <v>2.344</v>
      </c>
      <c r="V75" s="16" t="inlineStr">
        <is>
          <t>-</t>
        </is>
      </c>
    </row>
    <row r="76" ht="19" customHeight="1">
      <c r="A76" s="12" t="inlineStr">
        <is>
          <t>26''</t>
        </is>
      </c>
      <c r="B76" s="13" t="n">
        <v>650</v>
      </c>
      <c r="C76" s="23" t="n">
        <v>26</v>
      </c>
      <c r="D76" s="17" t="n">
        <v>660.4</v>
      </c>
      <c r="E76" s="16" t="inlineStr">
        <is>
          <t>-</t>
        </is>
      </c>
      <c r="F76" s="16" t="inlineStr">
        <is>
          <t>-</t>
        </is>
      </c>
      <c r="G76" s="16" t="inlineStr">
        <is>
          <t>-</t>
        </is>
      </c>
      <c r="H76" s="14" t="n">
        <v>0.312</v>
      </c>
      <c r="I76" s="14" t="n">
        <v>0.5</v>
      </c>
      <c r="J76" s="16" t="inlineStr">
        <is>
          <t>-</t>
        </is>
      </c>
      <c r="K76" s="16" t="inlineStr">
        <is>
          <t>-</t>
        </is>
      </c>
      <c r="L76" s="14" t="n">
        <v>0.375</v>
      </c>
      <c r="M76" s="16" t="inlineStr">
        <is>
          <t>-</t>
        </is>
      </c>
      <c r="N76" s="16" t="inlineStr">
        <is>
          <t>-</t>
        </is>
      </c>
      <c r="O76" s="16" t="inlineStr">
        <is>
          <t>-</t>
        </is>
      </c>
      <c r="P76" s="14" t="n">
        <v>0.5</v>
      </c>
      <c r="Q76" s="16" t="inlineStr">
        <is>
          <t>-</t>
        </is>
      </c>
      <c r="R76" s="16" t="inlineStr">
        <is>
          <t>-</t>
        </is>
      </c>
      <c r="S76" s="16" t="inlineStr">
        <is>
          <t>-</t>
        </is>
      </c>
      <c r="T76" s="16" t="inlineStr">
        <is>
          <t>-</t>
        </is>
      </c>
      <c r="U76" s="16" t="inlineStr">
        <is>
          <t>-</t>
        </is>
      </c>
      <c r="V76" s="16" t="inlineStr">
        <is>
          <t>-</t>
        </is>
      </c>
    </row>
    <row r="77" ht="19" customHeight="1">
      <c r="A77" s="18" t="inlineStr">
        <is>
          <t>28''</t>
        </is>
      </c>
      <c r="B77" s="19" t="n">
        <v>700</v>
      </c>
      <c r="C77" s="24" t="n">
        <v>28</v>
      </c>
      <c r="D77" s="22" t="n">
        <v>711.2</v>
      </c>
      <c r="E77" s="16" t="inlineStr">
        <is>
          <t>-</t>
        </is>
      </c>
      <c r="F77" s="16" t="inlineStr">
        <is>
          <t>-</t>
        </is>
      </c>
      <c r="G77" s="16" t="inlineStr">
        <is>
          <t>-</t>
        </is>
      </c>
      <c r="H77" s="20" t="n">
        <v>0.312</v>
      </c>
      <c r="I77" s="20" t="n">
        <v>0.5</v>
      </c>
      <c r="J77" s="20" t="n">
        <v>0.625</v>
      </c>
      <c r="K77" s="16" t="inlineStr">
        <is>
          <t>-</t>
        </is>
      </c>
      <c r="L77" s="20" t="n">
        <v>0.375</v>
      </c>
      <c r="M77" s="16" t="inlineStr">
        <is>
          <t>-</t>
        </is>
      </c>
      <c r="N77" s="16" t="inlineStr">
        <is>
          <t>-</t>
        </is>
      </c>
      <c r="O77" s="16" t="inlineStr">
        <is>
          <t>-</t>
        </is>
      </c>
      <c r="P77" s="20" t="n">
        <v>0.5</v>
      </c>
      <c r="Q77" s="16" t="inlineStr">
        <is>
          <t>-</t>
        </is>
      </c>
      <c r="R77" s="16" t="inlineStr">
        <is>
          <t>-</t>
        </is>
      </c>
      <c r="S77" s="16" t="inlineStr">
        <is>
          <t>-</t>
        </is>
      </c>
      <c r="T77" s="16" t="inlineStr">
        <is>
          <t>-</t>
        </is>
      </c>
      <c r="U77" s="16" t="inlineStr">
        <is>
          <t>-</t>
        </is>
      </c>
      <c r="V77" s="16" t="inlineStr">
        <is>
          <t>-</t>
        </is>
      </c>
    </row>
    <row r="78" ht="19" customHeight="1">
      <c r="A78" s="12" t="inlineStr">
        <is>
          <t>30''</t>
        </is>
      </c>
      <c r="B78" s="13" t="n">
        <v>750</v>
      </c>
      <c r="C78" s="23" t="n">
        <v>30</v>
      </c>
      <c r="D78" s="17" t="n">
        <v>762</v>
      </c>
      <c r="E78" s="14" t="n">
        <v>0.25</v>
      </c>
      <c r="F78" s="14" t="n">
        <v>0.25</v>
      </c>
      <c r="G78" s="14" t="n">
        <v>0.312</v>
      </c>
      <c r="H78" s="14" t="n">
        <v>0.312</v>
      </c>
      <c r="I78" s="14" t="n">
        <v>0.5</v>
      </c>
      <c r="J78" s="14" t="n">
        <v>0.625</v>
      </c>
      <c r="K78" s="14" t="n">
        <v>0.375</v>
      </c>
      <c r="L78" s="14" t="n">
        <v>0.375</v>
      </c>
      <c r="M78" s="16" t="inlineStr">
        <is>
          <t>-</t>
        </is>
      </c>
      <c r="N78" s="16" t="inlineStr">
        <is>
          <t>-</t>
        </is>
      </c>
      <c r="O78" s="14" t="n">
        <v>0.5</v>
      </c>
      <c r="P78" s="14" t="n">
        <v>0.5</v>
      </c>
      <c r="Q78" s="16" t="inlineStr">
        <is>
          <t>-</t>
        </is>
      </c>
      <c r="R78" s="16" t="inlineStr">
        <is>
          <t>-</t>
        </is>
      </c>
      <c r="S78" s="16" t="inlineStr">
        <is>
          <t>-</t>
        </is>
      </c>
      <c r="T78" s="16" t="inlineStr">
        <is>
          <t>-</t>
        </is>
      </c>
      <c r="U78" s="16" t="inlineStr">
        <is>
          <t>-</t>
        </is>
      </c>
      <c r="V78" s="16" t="inlineStr">
        <is>
          <t>-</t>
        </is>
      </c>
    </row>
    <row r="79" ht="19" customHeight="1">
      <c r="A79" s="18" t="inlineStr">
        <is>
          <t>32''</t>
        </is>
      </c>
      <c r="B79" s="19" t="n">
        <v>800</v>
      </c>
      <c r="C79" s="24" t="n">
        <v>32</v>
      </c>
      <c r="D79" s="22" t="n">
        <v>812.8</v>
      </c>
      <c r="E79" s="16" t="inlineStr">
        <is>
          <t>-</t>
        </is>
      </c>
      <c r="F79" s="16" t="inlineStr">
        <is>
          <t>-</t>
        </is>
      </c>
      <c r="G79" s="16" t="inlineStr">
        <is>
          <t>-</t>
        </is>
      </c>
      <c r="H79" s="20" t="n">
        <v>0.312</v>
      </c>
      <c r="I79" s="20" t="n">
        <v>0.5</v>
      </c>
      <c r="J79" s="20" t="n">
        <v>0.625</v>
      </c>
      <c r="K79" s="16" t="inlineStr">
        <is>
          <t>-</t>
        </is>
      </c>
      <c r="L79" s="20" t="n">
        <v>0.375</v>
      </c>
      <c r="M79" s="20" t="n">
        <v>0.6879999999999999</v>
      </c>
      <c r="N79" s="16" t="inlineStr">
        <is>
          <t>-</t>
        </is>
      </c>
      <c r="O79" s="16" t="inlineStr">
        <is>
          <t>-</t>
        </is>
      </c>
      <c r="P79" s="20" t="n">
        <v>0.5</v>
      </c>
      <c r="Q79" s="16" t="inlineStr">
        <is>
          <t>-</t>
        </is>
      </c>
      <c r="R79" s="16" t="inlineStr">
        <is>
          <t>-</t>
        </is>
      </c>
      <c r="S79" s="16" t="inlineStr">
        <is>
          <t>-</t>
        </is>
      </c>
      <c r="T79" s="16" t="inlineStr">
        <is>
          <t>-</t>
        </is>
      </c>
      <c r="U79" s="16" t="inlineStr">
        <is>
          <t>-</t>
        </is>
      </c>
      <c r="V79" s="16" t="inlineStr">
        <is>
          <t>-</t>
        </is>
      </c>
    </row>
    <row r="80" ht="19" customHeight="1">
      <c r="A80" s="12" t="inlineStr">
        <is>
          <t>34''</t>
        </is>
      </c>
      <c r="B80" s="13" t="n">
        <v>850</v>
      </c>
      <c r="C80" s="23" t="n">
        <v>34</v>
      </c>
      <c r="D80" s="17" t="n">
        <v>863.6</v>
      </c>
      <c r="E80" s="16" t="inlineStr">
        <is>
          <t>-</t>
        </is>
      </c>
      <c r="F80" s="16" t="inlineStr">
        <is>
          <t>-</t>
        </is>
      </c>
      <c r="G80" s="16" t="inlineStr">
        <is>
          <t>-</t>
        </is>
      </c>
      <c r="H80" s="14" t="n">
        <v>0.312</v>
      </c>
      <c r="I80" s="14" t="n">
        <v>0.5</v>
      </c>
      <c r="J80" s="14" t="n">
        <v>0.625</v>
      </c>
      <c r="K80" s="16" t="inlineStr">
        <is>
          <t>-</t>
        </is>
      </c>
      <c r="L80" s="14" t="n">
        <v>0.375</v>
      </c>
      <c r="M80" s="14" t="n">
        <v>0.6879999999999999</v>
      </c>
      <c r="N80" s="16" t="inlineStr">
        <is>
          <t>-</t>
        </is>
      </c>
      <c r="O80" s="16" t="inlineStr">
        <is>
          <t>-</t>
        </is>
      </c>
      <c r="P80" s="14" t="n">
        <v>0.5</v>
      </c>
      <c r="Q80" s="16" t="inlineStr">
        <is>
          <t>-</t>
        </is>
      </c>
      <c r="R80" s="16" t="inlineStr">
        <is>
          <t>-</t>
        </is>
      </c>
      <c r="S80" s="16" t="inlineStr">
        <is>
          <t>-</t>
        </is>
      </c>
      <c r="T80" s="16" t="inlineStr">
        <is>
          <t>-</t>
        </is>
      </c>
      <c r="U80" s="16" t="inlineStr">
        <is>
          <t>-</t>
        </is>
      </c>
      <c r="V80" s="16" t="inlineStr">
        <is>
          <t>-</t>
        </is>
      </c>
    </row>
    <row r="81" ht="19" customHeight="1">
      <c r="A81" s="18" t="inlineStr">
        <is>
          <t>36''</t>
        </is>
      </c>
      <c r="B81" s="19" t="n">
        <v>900</v>
      </c>
      <c r="C81" s="24" t="n">
        <v>36</v>
      </c>
      <c r="D81" s="22" t="n">
        <v>914.4</v>
      </c>
      <c r="E81" s="16" t="inlineStr">
        <is>
          <t>-</t>
        </is>
      </c>
      <c r="F81" s="16" t="inlineStr">
        <is>
          <t>-</t>
        </is>
      </c>
      <c r="G81" s="16" t="inlineStr">
        <is>
          <t>-</t>
        </is>
      </c>
      <c r="H81" s="20" t="n">
        <v>0.312</v>
      </c>
      <c r="I81" s="20" t="n">
        <v>0.5</v>
      </c>
      <c r="J81" s="20" t="n">
        <v>0.625</v>
      </c>
      <c r="K81" s="20" t="n">
        <v>0.375</v>
      </c>
      <c r="L81" s="20" t="n">
        <v>0.375</v>
      </c>
      <c r="M81" s="20" t="n">
        <v>0.75</v>
      </c>
      <c r="N81" s="16" t="inlineStr">
        <is>
          <t>-</t>
        </is>
      </c>
      <c r="O81" s="20" t="n">
        <v>0.5</v>
      </c>
      <c r="P81" s="20" t="n">
        <v>0.5</v>
      </c>
      <c r="Q81" s="16" t="inlineStr">
        <is>
          <t>-</t>
        </is>
      </c>
      <c r="R81" s="16" t="inlineStr">
        <is>
          <t>-</t>
        </is>
      </c>
      <c r="S81" s="16" t="inlineStr">
        <is>
          <t>-</t>
        </is>
      </c>
      <c r="T81" s="16" t="inlineStr">
        <is>
          <t>-</t>
        </is>
      </c>
      <c r="U81" s="16" t="inlineStr">
        <is>
          <t>-</t>
        </is>
      </c>
      <c r="V81" s="16" t="inlineStr">
        <is>
          <t>-</t>
        </is>
      </c>
    </row>
    <row r="82" ht="19" customHeight="1">
      <c r="A82" s="12" t="inlineStr">
        <is>
          <t>38''</t>
        </is>
      </c>
      <c r="B82" s="13" t="n">
        <v>950</v>
      </c>
      <c r="C82" s="23" t="n">
        <v>38</v>
      </c>
      <c r="D82" s="17" t="n">
        <v>965.2</v>
      </c>
      <c r="E82" s="16" t="inlineStr">
        <is>
          <t>-</t>
        </is>
      </c>
      <c r="F82" s="16" t="inlineStr">
        <is>
          <t>-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4" t="n">
        <v>0.375</v>
      </c>
      <c r="M82" s="16" t="inlineStr">
        <is>
          <t>-</t>
        </is>
      </c>
      <c r="N82" s="16" t="inlineStr">
        <is>
          <t>-</t>
        </is>
      </c>
      <c r="O82" s="16" t="inlineStr">
        <is>
          <t>-</t>
        </is>
      </c>
      <c r="P82" s="14" t="n">
        <v>0.5</v>
      </c>
      <c r="Q82" s="16" t="inlineStr">
        <is>
          <t>-</t>
        </is>
      </c>
      <c r="R82" s="16" t="inlineStr">
        <is>
          <t>-</t>
        </is>
      </c>
      <c r="S82" s="16" t="inlineStr">
        <is>
          <t>-</t>
        </is>
      </c>
      <c r="T82" s="16" t="inlineStr">
        <is>
          <t>-</t>
        </is>
      </c>
      <c r="U82" s="16" t="inlineStr">
        <is>
          <t>-</t>
        </is>
      </c>
      <c r="V82" s="16" t="inlineStr">
        <is>
          <t>-</t>
        </is>
      </c>
    </row>
    <row r="83" ht="19" customHeight="1">
      <c r="A83" s="18" t="inlineStr">
        <is>
          <t>40''</t>
        </is>
      </c>
      <c r="B83" s="19" t="n">
        <v>1000</v>
      </c>
      <c r="C83" s="24" t="n">
        <v>40</v>
      </c>
      <c r="D83" s="22" t="n">
        <v>1016</v>
      </c>
      <c r="E83" s="16" t="inlineStr">
        <is>
          <t>-</t>
        </is>
      </c>
      <c r="F83" s="16" t="inlineStr">
        <is>
          <t>-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20" t="n">
        <v>0.375</v>
      </c>
      <c r="M83" s="16" t="inlineStr">
        <is>
          <t>-</t>
        </is>
      </c>
      <c r="N83" s="16" t="inlineStr">
        <is>
          <t>-</t>
        </is>
      </c>
      <c r="O83" s="16" t="inlineStr">
        <is>
          <t>-</t>
        </is>
      </c>
      <c r="P83" s="20" t="n">
        <v>0.5</v>
      </c>
      <c r="Q83" s="16" t="inlineStr">
        <is>
          <t>-</t>
        </is>
      </c>
      <c r="R83" s="16" t="inlineStr">
        <is>
          <t>-</t>
        </is>
      </c>
      <c r="S83" s="16" t="inlineStr">
        <is>
          <t>-</t>
        </is>
      </c>
      <c r="T83" s="16" t="inlineStr">
        <is>
          <t>-</t>
        </is>
      </c>
      <c r="U83" s="16" t="inlineStr">
        <is>
          <t>-</t>
        </is>
      </c>
      <c r="V83" s="16" t="inlineStr">
        <is>
          <t>-</t>
        </is>
      </c>
    </row>
    <row r="84" ht="19" customHeight="1">
      <c r="A84" s="12" t="inlineStr">
        <is>
          <t>42''</t>
        </is>
      </c>
      <c r="B84" s="13" t="n">
        <v>1050</v>
      </c>
      <c r="C84" s="23" t="n">
        <v>42</v>
      </c>
      <c r="D84" s="17" t="n">
        <v>1066.8</v>
      </c>
      <c r="E84" s="16" t="inlineStr">
        <is>
          <t>-</t>
        </is>
      </c>
      <c r="F84" s="16" t="inlineStr">
        <is>
          <t>-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4" t="n">
        <v>0.375</v>
      </c>
      <c r="M84" s="16" t="inlineStr">
        <is>
          <t>-</t>
        </is>
      </c>
      <c r="N84" s="16" t="inlineStr">
        <is>
          <t>-</t>
        </is>
      </c>
      <c r="O84" s="16" t="inlineStr">
        <is>
          <t>-</t>
        </is>
      </c>
      <c r="P84" s="14" t="n">
        <v>0.5</v>
      </c>
      <c r="Q84" s="16" t="inlineStr">
        <is>
          <t>-</t>
        </is>
      </c>
      <c r="R84" s="16" t="inlineStr">
        <is>
          <t>-</t>
        </is>
      </c>
      <c r="S84" s="16" t="inlineStr">
        <is>
          <t>-</t>
        </is>
      </c>
      <c r="T84" s="16" t="inlineStr">
        <is>
          <t>-</t>
        </is>
      </c>
      <c r="U84" s="16" t="inlineStr">
        <is>
          <t>-</t>
        </is>
      </c>
      <c r="V84" s="16" t="inlineStr">
        <is>
          <t>-</t>
        </is>
      </c>
    </row>
    <row r="85" ht="19" customHeight="1">
      <c r="A85" s="18" t="inlineStr">
        <is>
          <t>44''</t>
        </is>
      </c>
      <c r="B85" s="19" t="n">
        <v>1100</v>
      </c>
      <c r="C85" s="24" t="n">
        <v>44</v>
      </c>
      <c r="D85" s="22" t="n">
        <v>1117.6</v>
      </c>
      <c r="E85" s="16" t="inlineStr">
        <is>
          <t>-</t>
        </is>
      </c>
      <c r="F85" s="16" t="inlineStr">
        <is>
          <t>-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20" t="n">
        <v>0.375</v>
      </c>
      <c r="M85" s="16" t="inlineStr">
        <is>
          <t>-</t>
        </is>
      </c>
      <c r="N85" s="16" t="inlineStr">
        <is>
          <t>-</t>
        </is>
      </c>
      <c r="O85" s="16" t="inlineStr">
        <is>
          <t>-</t>
        </is>
      </c>
      <c r="P85" s="20" t="n">
        <v>0.5</v>
      </c>
      <c r="Q85" s="16" t="inlineStr">
        <is>
          <t>-</t>
        </is>
      </c>
      <c r="R85" s="16" t="inlineStr">
        <is>
          <t>-</t>
        </is>
      </c>
      <c r="S85" s="16" t="inlineStr">
        <is>
          <t>-</t>
        </is>
      </c>
      <c r="T85" s="16" t="inlineStr">
        <is>
          <t>-</t>
        </is>
      </c>
      <c r="U85" s="16" t="inlineStr">
        <is>
          <t>-</t>
        </is>
      </c>
      <c r="V85" s="16" t="inlineStr">
        <is>
          <t>-</t>
        </is>
      </c>
    </row>
    <row r="86" ht="19" customHeight="1">
      <c r="A86" s="12" t="inlineStr">
        <is>
          <t>46''</t>
        </is>
      </c>
      <c r="B86" s="13" t="n">
        <v>1150</v>
      </c>
      <c r="C86" s="23" t="n">
        <v>46</v>
      </c>
      <c r="D86" s="17" t="n">
        <v>1168.4</v>
      </c>
      <c r="E86" s="16" t="inlineStr">
        <is>
          <t>-</t>
        </is>
      </c>
      <c r="F86" s="16" t="inlineStr">
        <is>
          <t>-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4" t="n">
        <v>0.375</v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4" t="n">
        <v>0.5</v>
      </c>
      <c r="Q86" s="16" t="inlineStr">
        <is>
          <t>-</t>
        </is>
      </c>
      <c r="R86" s="16" t="inlineStr">
        <is>
          <t>-</t>
        </is>
      </c>
      <c r="S86" s="16" t="inlineStr">
        <is>
          <t>-</t>
        </is>
      </c>
      <c r="T86" s="16" t="inlineStr">
        <is>
          <t>-</t>
        </is>
      </c>
      <c r="U86" s="16" t="inlineStr">
        <is>
          <t>-</t>
        </is>
      </c>
      <c r="V86" s="16" t="inlineStr">
        <is>
          <t>-</t>
        </is>
      </c>
    </row>
    <row r="87" ht="19" customHeight="1">
      <c r="A87" s="18" t="inlineStr">
        <is>
          <t>48''</t>
        </is>
      </c>
      <c r="B87" s="19" t="n">
        <v>1200</v>
      </c>
      <c r="C87" s="24" t="n">
        <v>48</v>
      </c>
      <c r="D87" s="22" t="n">
        <v>1219.2</v>
      </c>
      <c r="E87" s="16" t="inlineStr">
        <is>
          <t>-</t>
        </is>
      </c>
      <c r="F87" s="16" t="inlineStr">
        <is>
          <t>-</t>
        </is>
      </c>
      <c r="G87" s="16" t="inlineStr">
        <is>
          <t>-</t>
        </is>
      </c>
      <c r="H87" s="16" t="inlineStr">
        <is>
          <t>-</t>
        </is>
      </c>
      <c r="I87" s="16" t="inlineStr">
        <is>
          <t>-</t>
        </is>
      </c>
      <c r="J87" s="16" t="inlineStr">
        <is>
          <t>-</t>
        </is>
      </c>
      <c r="K87" s="20" t="n">
        <v>0.375</v>
      </c>
      <c r="L87" s="20" t="n">
        <v>0.375</v>
      </c>
      <c r="M87" s="16" t="inlineStr">
        <is>
          <t>-</t>
        </is>
      </c>
      <c r="N87" s="16" t="inlineStr">
        <is>
          <t>-</t>
        </is>
      </c>
      <c r="O87" s="20" t="n">
        <v>0.5</v>
      </c>
      <c r="P87" s="20" t="n">
        <v>0.5</v>
      </c>
      <c r="Q87" s="16" t="inlineStr">
        <is>
          <t>-</t>
        </is>
      </c>
      <c r="R87" s="16" t="inlineStr">
        <is>
          <t>-</t>
        </is>
      </c>
      <c r="S87" s="16" t="inlineStr">
        <is>
          <t>-</t>
        </is>
      </c>
      <c r="T87" s="16" t="inlineStr">
        <is>
          <t>-</t>
        </is>
      </c>
      <c r="U87" s="16" t="inlineStr">
        <is>
          <t>-</t>
        </is>
      </c>
      <c r="V87" s="16" t="inlineStr">
        <is>
          <t>-</t>
        </is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2026-10-25T00:54:42Z</dcterms:created>
  <dcterms:modified xsi:type="dcterms:W3CDTF">2026-10-25T00:54:43Z</dcterms:modified>
</cp:coreProperties>
</file>